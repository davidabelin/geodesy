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Local_Python\geodesy\data\"/>
    </mc:Choice>
  </mc:AlternateContent>
  <xr:revisionPtr revIDLastSave="0" documentId="13_ncr:1_{519B7CE3-DFBE-4B84-B914-3D45FB36226A}" xr6:coauthVersionLast="47" xr6:coauthVersionMax="47" xr10:uidLastSave="{00000000-0000-0000-0000-000000000000}"/>
  <bookViews>
    <workbookView xWindow="-78" yWindow="0" windowWidth="11676" windowHeight="12318" tabRatio="738" firstSheet="5" activeTab="5" xr2:uid="{2D205D53-7F95-4322-A406-67C93608CCA4}"/>
  </bookViews>
  <sheets>
    <sheet name="az_mix" sheetId="15" r:id="rId1"/>
    <sheet name="d_mix" sheetId="14" r:id="rId2"/>
    <sheet name="d_tris_ell" sheetId="28" r:id="rId3"/>
    <sheet name="d_mix_ell" sheetId="22" r:id="rId4"/>
    <sheet name="special nums" sheetId="12" r:id="rId5"/>
    <sheet name="special angles" sheetId="13" r:id="rId6"/>
    <sheet name="NB" sheetId="20" r:id="rId7"/>
    <sheet name="colormap" sheetId="24" r:id="rId8"/>
    <sheet name="az_colormap" sheetId="25" r:id="rId9"/>
    <sheet name="d_colormap" sheetId="26" r:id="rId10"/>
  </sheets>
  <externalReferences>
    <externalReference r:id="rId11"/>
  </externalReferences>
  <definedNames>
    <definedName name="ExternalData_1" localSheetId="3" hidden="1">d_mix_ell!$A$1:$L$17</definedName>
    <definedName name="ExternalData_2" localSheetId="2" hidden="1">d_tris_ell!$A$1:$L$196</definedName>
    <definedName name="ExternalData_4" localSheetId="1" hidden="1">d_mix!$A$1:$L$210</definedName>
    <definedName name="ExternalData_5" localSheetId="0" hidden="1">az_mix!$A$1:$L$450</definedName>
    <definedName name="focuspnts">'[1]triad table'!$A$2:$A$16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6" l="1"/>
  <c r="C14" i="26"/>
  <c r="C15" i="26"/>
  <c r="C16" i="26"/>
  <c r="C17" i="26"/>
  <c r="C18" i="26"/>
  <c r="C12" i="26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D25" i="24"/>
  <c r="C32" i="24"/>
  <c r="C31" i="24"/>
  <c r="C30" i="24"/>
  <c r="C28" i="24"/>
  <c r="C27" i="24"/>
  <c r="C26" i="24"/>
  <c r="C24" i="24"/>
  <c r="C23" i="24"/>
  <c r="C22" i="24"/>
  <c r="C20" i="24"/>
  <c r="C19" i="24"/>
  <c r="C18" i="24"/>
  <c r="D29" i="24"/>
  <c r="D28" i="24"/>
  <c r="D27" i="24"/>
  <c r="D26" i="24"/>
  <c r="D24" i="24"/>
  <c r="D23" i="24"/>
  <c r="D22" i="24"/>
  <c r="D21" i="24"/>
  <c r="D20" i="24"/>
  <c r="D19" i="24"/>
  <c r="D18" i="24"/>
  <c r="E17" i="24"/>
  <c r="C16" i="24"/>
  <c r="E16" i="24" s="1"/>
  <c r="C15" i="24"/>
  <c r="E15" i="24" s="1"/>
  <c r="C14" i="24"/>
  <c r="E14" i="24" s="1"/>
  <c r="B13" i="24"/>
  <c r="E13" i="24" s="1"/>
  <c r="C12" i="24"/>
  <c r="B12" i="24"/>
  <c r="E12" i="24" s="1"/>
  <c r="C11" i="24"/>
  <c r="B11" i="24"/>
  <c r="E11" i="24" s="1"/>
  <c r="C10" i="24"/>
  <c r="B10" i="24"/>
  <c r="E10" i="24" s="1"/>
  <c r="E9" i="24"/>
  <c r="B9" i="24"/>
  <c r="C8" i="24"/>
  <c r="B8" i="24"/>
  <c r="E8" i="24" s="1"/>
  <c r="C7" i="24"/>
  <c r="B7" i="24"/>
  <c r="E7" i="24" s="1"/>
  <c r="C6" i="24"/>
  <c r="B6" i="24"/>
  <c r="E6" i="24" s="1"/>
  <c r="B5" i="24"/>
  <c r="E5" i="24" s="1"/>
  <c r="C4" i="24"/>
  <c r="B4" i="24"/>
  <c r="E4" i="24" s="1"/>
  <c r="E3" i="24"/>
  <c r="C3" i="24"/>
  <c r="B3" i="24"/>
  <c r="C2" i="24"/>
  <c r="E2" i="24" s="1"/>
  <c r="B2" i="24"/>
  <c r="E1" i="24"/>
  <c r="B53" i="13"/>
  <c r="B52" i="13"/>
  <c r="D43" i="13"/>
  <c r="D44" i="13"/>
  <c r="C44" i="13"/>
  <c r="C43" i="13"/>
  <c r="B43" i="13"/>
  <c r="H70" i="12"/>
  <c r="H71" i="12"/>
  <c r="H72" i="12"/>
  <c r="H69" i="12"/>
  <c r="G70" i="12"/>
  <c r="G71" i="12"/>
  <c r="G72" i="12"/>
  <c r="G69" i="12"/>
  <c r="D56" i="13"/>
  <c r="C56" i="13"/>
  <c r="D55" i="13"/>
  <c r="C55" i="13"/>
  <c r="B55" i="13"/>
  <c r="B49" i="13"/>
  <c r="B46" i="13"/>
  <c r="D70" i="12"/>
  <c r="D69" i="12"/>
  <c r="F2" i="13"/>
  <c r="J6" i="13"/>
  <c r="M159" i="14"/>
  <c r="M160" i="14"/>
  <c r="M162" i="14"/>
  <c r="M163" i="14"/>
  <c r="M151" i="14"/>
  <c r="M153" i="14"/>
  <c r="M154" i="14"/>
  <c r="M152" i="14"/>
  <c r="M164" i="14"/>
  <c r="M137" i="14"/>
  <c r="M139" i="14"/>
  <c r="M138" i="14"/>
  <c r="M161" i="14"/>
  <c r="M140" i="14"/>
  <c r="M158" i="14"/>
  <c r="O15" i="14"/>
  <c r="M141" i="14"/>
  <c r="M156" i="14"/>
  <c r="M207" i="14"/>
  <c r="M210" i="14"/>
  <c r="M4" i="14"/>
  <c r="M6" i="14"/>
  <c r="M12" i="14"/>
  <c r="M5" i="14"/>
  <c r="M13" i="14"/>
  <c r="M157" i="14"/>
  <c r="M3" i="14"/>
  <c r="M2" i="14"/>
  <c r="M208" i="14"/>
  <c r="M209" i="14"/>
  <c r="M11" i="14"/>
  <c r="M142" i="14"/>
  <c r="M169" i="14"/>
  <c r="M121" i="14"/>
  <c r="M122" i="14"/>
  <c r="M123" i="14"/>
  <c r="M200" i="14"/>
  <c r="M119" i="14"/>
  <c r="M118" i="14"/>
  <c r="M120" i="14"/>
  <c r="M116" i="14"/>
  <c r="M114" i="14"/>
  <c r="M115" i="14"/>
  <c r="M113" i="14"/>
  <c r="M112" i="14"/>
  <c r="M136" i="14"/>
  <c r="M133" i="14"/>
  <c r="M135" i="14"/>
  <c r="M134" i="14"/>
  <c r="M124" i="14"/>
  <c r="M125" i="14"/>
  <c r="M132" i="14"/>
  <c r="M131" i="14"/>
  <c r="M193" i="14"/>
  <c r="M175" i="14"/>
  <c r="M117" i="14"/>
  <c r="M174" i="14"/>
  <c r="M111" i="14"/>
  <c r="M173" i="14"/>
  <c r="M189" i="14"/>
  <c r="M85" i="14"/>
  <c r="M83" i="14"/>
  <c r="M79" i="14"/>
  <c r="M170" i="14"/>
  <c r="M192" i="14"/>
  <c r="M190" i="14"/>
  <c r="M80" i="14"/>
  <c r="M84" i="14"/>
  <c r="M171" i="14"/>
  <c r="M86" i="14"/>
  <c r="M87" i="14"/>
  <c r="M172" i="14"/>
  <c r="M82" i="14"/>
  <c r="M81" i="14"/>
  <c r="M191" i="14"/>
  <c r="O166" i="14"/>
  <c r="O167" i="14"/>
  <c r="O165" i="14"/>
  <c r="M75" i="14"/>
  <c r="M76" i="14"/>
  <c r="M78" i="14"/>
  <c r="M61" i="14"/>
  <c r="M70" i="14"/>
  <c r="M66" i="14"/>
  <c r="M69" i="14"/>
  <c r="M63" i="14"/>
  <c r="M71" i="14"/>
  <c r="M67" i="14"/>
  <c r="M74" i="14"/>
  <c r="M68" i="14"/>
  <c r="M64" i="14"/>
  <c r="M65" i="14"/>
  <c r="M73" i="14"/>
  <c r="M72" i="14"/>
  <c r="M77" i="14"/>
  <c r="M48" i="14"/>
  <c r="M46" i="14"/>
  <c r="M62" i="14"/>
  <c r="M55" i="14"/>
  <c r="M57" i="14"/>
  <c r="M51" i="14"/>
  <c r="M58" i="14"/>
  <c r="M60" i="14"/>
  <c r="M39" i="14"/>
  <c r="M54" i="14"/>
  <c r="M41" i="14"/>
  <c r="M53" i="14"/>
  <c r="M56" i="14"/>
  <c r="M52" i="14"/>
  <c r="M59" i="14"/>
  <c r="M31" i="14"/>
  <c r="M32" i="14"/>
  <c r="M49" i="14"/>
  <c r="M38" i="14"/>
  <c r="M44" i="14"/>
  <c r="M50" i="14"/>
  <c r="M47" i="14"/>
  <c r="M45" i="14"/>
  <c r="M40" i="14"/>
  <c r="M43" i="14"/>
  <c r="M42" i="14"/>
  <c r="M145" i="14"/>
  <c r="M37" i="14"/>
  <c r="M155" i="14"/>
  <c r="M34" i="14"/>
  <c r="M148" i="14"/>
  <c r="M36" i="14"/>
  <c r="M107" i="14"/>
  <c r="M108" i="14"/>
  <c r="M143" i="14"/>
  <c r="M104" i="14"/>
  <c r="M35" i="14"/>
  <c r="M106" i="14"/>
  <c r="M146" i="14"/>
  <c r="M103" i="14"/>
  <c r="M33" i="14"/>
  <c r="M149" i="14"/>
  <c r="M109" i="14"/>
  <c r="M105" i="14"/>
  <c r="M150" i="14"/>
  <c r="M147" i="14"/>
  <c r="M144" i="14"/>
  <c r="M110" i="14"/>
  <c r="M188" i="14"/>
  <c r="M10" i="14"/>
  <c r="M98" i="14"/>
  <c r="M184" i="14"/>
  <c r="M95" i="14"/>
  <c r="M96" i="14"/>
  <c r="M187" i="14"/>
  <c r="M185" i="14"/>
  <c r="M100" i="14"/>
  <c r="M99" i="14"/>
  <c r="M181" i="14"/>
  <c r="M182" i="14"/>
  <c r="M176" i="14"/>
  <c r="M186" i="14"/>
  <c r="M102" i="14"/>
  <c r="M101" i="14"/>
  <c r="M179" i="14"/>
  <c r="M177" i="14"/>
  <c r="M183" i="14"/>
  <c r="M180" i="14"/>
  <c r="M178" i="14"/>
  <c r="M97" i="14"/>
  <c r="M7" i="14"/>
  <c r="M128" i="14"/>
  <c r="M93" i="14"/>
  <c r="M198" i="14"/>
  <c r="M91" i="14"/>
  <c r="M202" i="14"/>
  <c r="M201" i="14"/>
  <c r="M206" i="14"/>
  <c r="M28" i="14"/>
  <c r="M205" i="14"/>
  <c r="M18" i="14"/>
  <c r="M204" i="14"/>
  <c r="M90" i="14"/>
  <c r="M14" i="14"/>
  <c r="M199" i="14"/>
  <c r="M9" i="14"/>
  <c r="M26" i="14"/>
  <c r="M16" i="14"/>
  <c r="M29" i="14"/>
  <c r="M27" i="14"/>
  <c r="M194" i="14"/>
  <c r="M129" i="14"/>
  <c r="M15" i="14"/>
  <c r="M20" i="14"/>
  <c r="M168" i="14"/>
  <c r="M24" i="14"/>
  <c r="M30" i="14"/>
  <c r="M126" i="14"/>
  <c r="M22" i="14"/>
  <c r="M88" i="14"/>
  <c r="M8" i="14"/>
  <c r="M92" i="14"/>
  <c r="M127" i="14"/>
  <c r="M196" i="14"/>
  <c r="M17" i="14"/>
  <c r="M23" i="14"/>
  <c r="M19" i="14"/>
  <c r="M94" i="14"/>
  <c r="M203" i="14"/>
  <c r="M165" i="14"/>
  <c r="M167" i="14"/>
  <c r="M166" i="14"/>
  <c r="M195" i="14"/>
  <c r="M197" i="14"/>
  <c r="M21" i="14"/>
  <c r="M25" i="14"/>
  <c r="M89" i="14"/>
  <c r="H7" i="20"/>
  <c r="D49" i="13"/>
  <c r="C49" i="13"/>
  <c r="D50" i="13"/>
  <c r="C50" i="13"/>
  <c r="B41" i="12"/>
  <c r="B40" i="12"/>
  <c r="A40" i="12"/>
  <c r="M130" i="14"/>
  <c r="D47" i="13"/>
  <c r="D46" i="13"/>
  <c r="C46" i="13"/>
  <c r="C47" i="13"/>
  <c r="J40" i="13"/>
  <c r="M40" i="13" s="1"/>
  <c r="D40" i="13"/>
  <c r="I40" i="13" s="1"/>
  <c r="L40" i="13" s="1"/>
  <c r="C40" i="13"/>
  <c r="H40" i="13" s="1"/>
  <c r="K40" i="13" s="1"/>
  <c r="E39" i="13"/>
  <c r="L38" i="13"/>
  <c r="J38" i="13"/>
  <c r="M38" i="13" s="1"/>
  <c r="I38" i="13"/>
  <c r="H38" i="13"/>
  <c r="K38" i="13" s="1"/>
  <c r="E37" i="13"/>
  <c r="C37" i="13" s="1"/>
  <c r="M36" i="13"/>
  <c r="L36" i="13"/>
  <c r="J36" i="13"/>
  <c r="I36" i="13"/>
  <c r="H36" i="13"/>
  <c r="K36" i="13" s="1"/>
  <c r="G35" i="13"/>
  <c r="E35" i="13"/>
  <c r="C35" i="13"/>
  <c r="M34" i="13"/>
  <c r="J34" i="13"/>
  <c r="E33" i="13"/>
  <c r="D34" i="13" s="1"/>
  <c r="I34" i="13" s="1"/>
  <c r="L34" i="13" s="1"/>
  <c r="J32" i="13"/>
  <c r="M32" i="13" s="1"/>
  <c r="I32" i="13"/>
  <c r="L32" i="13" s="1"/>
  <c r="D32" i="13"/>
  <c r="C32" i="13"/>
  <c r="H32" i="13" s="1"/>
  <c r="K32" i="13" s="1"/>
  <c r="B31" i="13"/>
  <c r="M30" i="13"/>
  <c r="L30" i="13"/>
  <c r="J30" i="13"/>
  <c r="I30" i="13"/>
  <c r="H30" i="13"/>
  <c r="K30" i="13" s="1"/>
  <c r="G29" i="13"/>
  <c r="D29" i="13"/>
  <c r="C29" i="13"/>
  <c r="M28" i="13"/>
  <c r="L28" i="13"/>
  <c r="J28" i="13"/>
  <c r="I28" i="13"/>
  <c r="H28" i="13"/>
  <c r="K28" i="13" s="1"/>
  <c r="C28" i="13"/>
  <c r="D27" i="13"/>
  <c r="M26" i="13"/>
  <c r="J26" i="13"/>
  <c r="K25" i="13"/>
  <c r="E25" i="13"/>
  <c r="C26" i="13" s="1"/>
  <c r="H26" i="13" s="1"/>
  <c r="K26" i="13" s="1"/>
  <c r="D25" i="13"/>
  <c r="D26" i="13" s="1"/>
  <c r="I26" i="13" s="1"/>
  <c r="L26" i="13" s="1"/>
  <c r="C25" i="13"/>
  <c r="V21" i="13"/>
  <c r="U21" i="13"/>
  <c r="T21" i="13"/>
  <c r="S21" i="13"/>
  <c r="R21" i="13"/>
  <c r="Q21" i="13"/>
  <c r="O21" i="13"/>
  <c r="N21" i="13"/>
  <c r="M21" i="13"/>
  <c r="L21" i="13"/>
  <c r="K21" i="13"/>
  <c r="J21" i="13"/>
  <c r="I21" i="13"/>
  <c r="H21" i="13"/>
  <c r="G21" i="13"/>
  <c r="F21" i="13"/>
  <c r="E21" i="13"/>
  <c r="C21" i="13"/>
  <c r="V20" i="13"/>
  <c r="U20" i="13"/>
  <c r="T20" i="13"/>
  <c r="S20" i="13"/>
  <c r="R20" i="13"/>
  <c r="Q20" i="13"/>
  <c r="O20" i="13"/>
  <c r="N20" i="13"/>
  <c r="M20" i="13"/>
  <c r="L20" i="13"/>
  <c r="K20" i="13"/>
  <c r="J20" i="13"/>
  <c r="I20" i="13"/>
  <c r="H20" i="13"/>
  <c r="G20" i="13"/>
  <c r="F20" i="13"/>
  <c r="E20" i="13"/>
  <c r="C20" i="13"/>
  <c r="U19" i="13"/>
  <c r="T19" i="13"/>
  <c r="S19" i="13"/>
  <c r="R19" i="13"/>
  <c r="Q19" i="13"/>
  <c r="O19" i="13"/>
  <c r="N19" i="13"/>
  <c r="M19" i="13"/>
  <c r="L19" i="13"/>
  <c r="K19" i="13"/>
  <c r="J19" i="13"/>
  <c r="I19" i="13"/>
  <c r="H19" i="13"/>
  <c r="G19" i="13"/>
  <c r="F19" i="13"/>
  <c r="E19" i="13"/>
  <c r="A19" i="13"/>
  <c r="B19" i="13" s="1"/>
  <c r="D19" i="13" s="1"/>
  <c r="V18" i="13"/>
  <c r="T18" i="13"/>
  <c r="S18" i="13"/>
  <c r="R18" i="13"/>
  <c r="Q18" i="13"/>
  <c r="O18" i="13"/>
  <c r="N18" i="13"/>
  <c r="M18" i="13"/>
  <c r="L18" i="13"/>
  <c r="K18" i="13"/>
  <c r="J18" i="13"/>
  <c r="I18" i="13"/>
  <c r="H18" i="13"/>
  <c r="G18" i="13"/>
  <c r="F18" i="13"/>
  <c r="E18" i="13"/>
  <c r="A18" i="13"/>
  <c r="B18" i="13" s="1"/>
  <c r="D18" i="13" s="1"/>
  <c r="V17" i="13"/>
  <c r="U17" i="13"/>
  <c r="S17" i="13"/>
  <c r="R17" i="13"/>
  <c r="Q17" i="13"/>
  <c r="O17" i="13"/>
  <c r="N17" i="13"/>
  <c r="M17" i="13"/>
  <c r="L17" i="13"/>
  <c r="K17" i="13"/>
  <c r="J17" i="13"/>
  <c r="I17" i="13"/>
  <c r="H17" i="13"/>
  <c r="G17" i="13"/>
  <c r="F17" i="13"/>
  <c r="E17" i="13"/>
  <c r="A17" i="13"/>
  <c r="B17" i="13" s="1"/>
  <c r="D17" i="13" s="1"/>
  <c r="V16" i="13"/>
  <c r="U16" i="13"/>
  <c r="T16" i="13"/>
  <c r="R16" i="13"/>
  <c r="Q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B16" i="13"/>
  <c r="A16" i="13"/>
  <c r="V15" i="13"/>
  <c r="U15" i="13"/>
  <c r="T15" i="13"/>
  <c r="S15" i="13"/>
  <c r="Q15" i="13"/>
  <c r="O15" i="13"/>
  <c r="N15" i="13"/>
  <c r="M15" i="13"/>
  <c r="L15" i="13"/>
  <c r="K15" i="13"/>
  <c r="J15" i="13"/>
  <c r="I15" i="13"/>
  <c r="H15" i="13"/>
  <c r="G15" i="13"/>
  <c r="F15" i="13"/>
  <c r="E15" i="13"/>
  <c r="A15" i="13"/>
  <c r="B15" i="13" s="1"/>
  <c r="D15" i="13" s="1"/>
  <c r="V14" i="13"/>
  <c r="U14" i="13"/>
  <c r="T14" i="13"/>
  <c r="S14" i="13"/>
  <c r="R14" i="13"/>
  <c r="O14" i="13"/>
  <c r="N14" i="13"/>
  <c r="M14" i="13"/>
  <c r="L14" i="13"/>
  <c r="K14" i="13"/>
  <c r="J14" i="13"/>
  <c r="I14" i="13"/>
  <c r="H14" i="13"/>
  <c r="G14" i="13"/>
  <c r="F14" i="13"/>
  <c r="E14" i="13"/>
  <c r="A14" i="13"/>
  <c r="B14" i="13" s="1"/>
  <c r="D14" i="13" s="1"/>
  <c r="V13" i="13"/>
  <c r="U13" i="13"/>
  <c r="T13" i="13"/>
  <c r="S13" i="13"/>
  <c r="R13" i="13"/>
  <c r="Q13" i="13"/>
  <c r="O13" i="13"/>
  <c r="N13" i="13"/>
  <c r="M13" i="13"/>
  <c r="L13" i="13"/>
  <c r="K13" i="13"/>
  <c r="J13" i="13"/>
  <c r="I13" i="13"/>
  <c r="H13" i="13"/>
  <c r="G13" i="13"/>
  <c r="F13" i="13"/>
  <c r="E13" i="13"/>
  <c r="C13" i="13"/>
  <c r="B13" i="13"/>
  <c r="D13" i="13" s="1"/>
  <c r="A13" i="13"/>
  <c r="V12" i="13"/>
  <c r="U12" i="13"/>
  <c r="T12" i="13"/>
  <c r="S12" i="13"/>
  <c r="R12" i="13"/>
  <c r="Q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V11" i="13"/>
  <c r="U11" i="13"/>
  <c r="T11" i="13"/>
  <c r="S11" i="13"/>
  <c r="R11" i="13"/>
  <c r="Q11" i="13"/>
  <c r="O11" i="13"/>
  <c r="M11" i="13"/>
  <c r="L11" i="13"/>
  <c r="K11" i="13"/>
  <c r="J11" i="13"/>
  <c r="I11" i="13"/>
  <c r="H11" i="13"/>
  <c r="G11" i="13"/>
  <c r="F11" i="13"/>
  <c r="E11" i="13"/>
  <c r="A11" i="13"/>
  <c r="C11" i="13" s="1"/>
  <c r="V10" i="13"/>
  <c r="U10" i="13"/>
  <c r="T10" i="13"/>
  <c r="S10" i="13"/>
  <c r="R10" i="13"/>
  <c r="Q10" i="13"/>
  <c r="O10" i="13"/>
  <c r="N10" i="13"/>
  <c r="L10" i="13"/>
  <c r="K10" i="13"/>
  <c r="J10" i="13"/>
  <c r="I10" i="13"/>
  <c r="H10" i="13"/>
  <c r="G10" i="13"/>
  <c r="F10" i="13"/>
  <c r="E10" i="13"/>
  <c r="A10" i="13"/>
  <c r="C10" i="13" s="1"/>
  <c r="V9" i="13"/>
  <c r="U9" i="13"/>
  <c r="T9" i="13"/>
  <c r="S9" i="13"/>
  <c r="R9" i="13"/>
  <c r="Q9" i="13"/>
  <c r="O9" i="13"/>
  <c r="N9" i="13"/>
  <c r="M9" i="13"/>
  <c r="K9" i="13"/>
  <c r="J9" i="13"/>
  <c r="I9" i="13"/>
  <c r="H9" i="13"/>
  <c r="G9" i="13"/>
  <c r="F9" i="13"/>
  <c r="E9" i="13"/>
  <c r="D9" i="13"/>
  <c r="C9" i="13"/>
  <c r="B9" i="13"/>
  <c r="A9" i="13"/>
  <c r="V8" i="13"/>
  <c r="U8" i="13"/>
  <c r="T8" i="13"/>
  <c r="S8" i="13"/>
  <c r="R8" i="13"/>
  <c r="Q8" i="13"/>
  <c r="P8" i="13"/>
  <c r="O8" i="13"/>
  <c r="N8" i="13"/>
  <c r="M8" i="13"/>
  <c r="L8" i="13"/>
  <c r="J8" i="13"/>
  <c r="I8" i="13"/>
  <c r="H8" i="13"/>
  <c r="G8" i="13"/>
  <c r="F8" i="13"/>
  <c r="E8" i="13"/>
  <c r="D8" i="13"/>
  <c r="C8" i="13"/>
  <c r="B8" i="13"/>
  <c r="A8" i="13"/>
  <c r="V7" i="13"/>
  <c r="U7" i="13"/>
  <c r="T7" i="13"/>
  <c r="S7" i="13"/>
  <c r="R7" i="13"/>
  <c r="Q7" i="13"/>
  <c r="O7" i="13"/>
  <c r="N7" i="13"/>
  <c r="M7" i="13"/>
  <c r="L7" i="13"/>
  <c r="K7" i="13"/>
  <c r="I7" i="13"/>
  <c r="H7" i="13"/>
  <c r="G7" i="13"/>
  <c r="F7" i="13"/>
  <c r="E7" i="13"/>
  <c r="C7" i="13"/>
  <c r="A7" i="13"/>
  <c r="B7" i="13" s="1"/>
  <c r="D7" i="13" s="1"/>
  <c r="V6" i="13"/>
  <c r="U6" i="13"/>
  <c r="T6" i="13"/>
  <c r="S6" i="13"/>
  <c r="R6" i="13"/>
  <c r="Q6" i="13"/>
  <c r="O6" i="13"/>
  <c r="N6" i="13"/>
  <c r="M6" i="13"/>
  <c r="L6" i="13"/>
  <c r="K6" i="13"/>
  <c r="H6" i="13"/>
  <c r="G6" i="13"/>
  <c r="F6" i="13"/>
  <c r="E6" i="13"/>
  <c r="C6" i="13"/>
  <c r="B6" i="13"/>
  <c r="D6" i="13" s="1"/>
  <c r="A6" i="13"/>
  <c r="V5" i="13"/>
  <c r="U5" i="13"/>
  <c r="T5" i="13"/>
  <c r="S5" i="13"/>
  <c r="R5" i="13"/>
  <c r="Q5" i="13"/>
  <c r="O5" i="13"/>
  <c r="N5" i="13"/>
  <c r="M5" i="13"/>
  <c r="L5" i="13"/>
  <c r="K5" i="13"/>
  <c r="J5" i="13"/>
  <c r="I5" i="13"/>
  <c r="G5" i="13"/>
  <c r="F5" i="13"/>
  <c r="E5" i="13"/>
  <c r="C5" i="13"/>
  <c r="B5" i="13"/>
  <c r="D5" i="13" s="1"/>
  <c r="V4" i="13"/>
  <c r="U4" i="13"/>
  <c r="T4" i="13"/>
  <c r="S4" i="13"/>
  <c r="R4" i="13"/>
  <c r="Q4" i="13"/>
  <c r="O4" i="13"/>
  <c r="N4" i="13"/>
  <c r="M4" i="13"/>
  <c r="L4" i="13"/>
  <c r="K4" i="13"/>
  <c r="J4" i="13"/>
  <c r="I4" i="13"/>
  <c r="H4" i="13"/>
  <c r="F4" i="13"/>
  <c r="E4" i="13"/>
  <c r="B4" i="13"/>
  <c r="D4" i="13" s="1"/>
  <c r="A4" i="13"/>
  <c r="C4" i="13" s="1"/>
  <c r="V3" i="13"/>
  <c r="U3" i="13"/>
  <c r="T3" i="13"/>
  <c r="S3" i="13"/>
  <c r="R3" i="13"/>
  <c r="Q3" i="13"/>
  <c r="O3" i="13"/>
  <c r="N3" i="13"/>
  <c r="M3" i="13"/>
  <c r="L3" i="13"/>
  <c r="K3" i="13"/>
  <c r="J3" i="13"/>
  <c r="I3" i="13"/>
  <c r="H3" i="13"/>
  <c r="G3" i="13"/>
  <c r="E3" i="13"/>
  <c r="C3" i="13"/>
  <c r="A3" i="13"/>
  <c r="B3" i="13" s="1"/>
  <c r="D3" i="13" s="1"/>
  <c r="V2" i="13"/>
  <c r="U2" i="13"/>
  <c r="T2" i="13"/>
  <c r="S2" i="13"/>
  <c r="R2" i="13"/>
  <c r="Q2" i="13"/>
  <c r="O2" i="13"/>
  <c r="N2" i="13"/>
  <c r="M2" i="13"/>
  <c r="L2" i="13"/>
  <c r="K2" i="13"/>
  <c r="J2" i="13"/>
  <c r="I2" i="13"/>
  <c r="H2" i="13"/>
  <c r="G2" i="13"/>
  <c r="A2" i="13"/>
  <c r="B2" i="13" s="1"/>
  <c r="D2" i="13" s="1"/>
  <c r="P1" i="13"/>
  <c r="P16" i="13" s="1"/>
  <c r="D1" i="13"/>
  <c r="B1" i="13"/>
  <c r="D64" i="12"/>
  <c r="B64" i="12"/>
  <c r="D63" i="12"/>
  <c r="B63" i="12"/>
  <c r="C62" i="12"/>
  <c r="D61" i="12"/>
  <c r="P59" i="12"/>
  <c r="N59" i="12"/>
  <c r="P58" i="12"/>
  <c r="O58" i="12"/>
  <c r="N58" i="12"/>
  <c r="R57" i="12"/>
  <c r="Q57" i="12"/>
  <c r="O57" i="12"/>
  <c r="N57" i="12"/>
  <c r="K57" i="12"/>
  <c r="J58" i="12" s="1"/>
  <c r="I57" i="12"/>
  <c r="E57" i="12"/>
  <c r="E62" i="12" s="1"/>
  <c r="Q56" i="12"/>
  <c r="P56" i="12"/>
  <c r="N56" i="12"/>
  <c r="J56" i="12"/>
  <c r="D56" i="12"/>
  <c r="R55" i="12"/>
  <c r="Q55" i="12"/>
  <c r="P55" i="12"/>
  <c r="O55" i="12"/>
  <c r="K55" i="12"/>
  <c r="H58" i="12" s="1"/>
  <c r="E55" i="12"/>
  <c r="P54" i="12"/>
  <c r="N54" i="12"/>
  <c r="N64" i="12" s="1"/>
  <c r="P53" i="12"/>
  <c r="O53" i="12"/>
  <c r="N53" i="12"/>
  <c r="R52" i="12"/>
  <c r="Q52" i="12"/>
  <c r="O52" i="12"/>
  <c r="N52" i="12"/>
  <c r="F52" i="12"/>
  <c r="E52" i="12"/>
  <c r="Q51" i="12"/>
  <c r="P51" i="12"/>
  <c r="N51" i="12"/>
  <c r="E51" i="12"/>
  <c r="D51" i="12"/>
  <c r="R50" i="12"/>
  <c r="Q50" i="12"/>
  <c r="P50" i="12"/>
  <c r="O50" i="12"/>
  <c r="F50" i="12"/>
  <c r="E50" i="12"/>
  <c r="E60" i="12" s="1"/>
  <c r="D50" i="12"/>
  <c r="C50" i="12"/>
  <c r="J44" i="12"/>
  <c r="K44" i="12" s="1"/>
  <c r="I44" i="12"/>
  <c r="J43" i="12"/>
  <c r="K43" i="12" s="1"/>
  <c r="I43" i="12"/>
  <c r="T42" i="12"/>
  <c r="R42" i="12"/>
  <c r="Q42" i="12"/>
  <c r="S42" i="12" s="1"/>
  <c r="P42" i="12"/>
  <c r="O42" i="12"/>
  <c r="N42" i="12"/>
  <c r="M42" i="12"/>
  <c r="L42" i="12"/>
  <c r="K42" i="12"/>
  <c r="J42" i="12"/>
  <c r="I42" i="12"/>
  <c r="K41" i="12"/>
  <c r="L41" i="12" s="1"/>
  <c r="N41" i="12" s="1"/>
  <c r="J41" i="12"/>
  <c r="I41" i="12"/>
  <c r="J40" i="12"/>
  <c r="K40" i="12" s="1"/>
  <c r="I40" i="12"/>
  <c r="J39" i="12"/>
  <c r="K39" i="12" s="1"/>
  <c r="I39" i="12"/>
  <c r="T38" i="12"/>
  <c r="R38" i="12"/>
  <c r="Q38" i="12"/>
  <c r="S38" i="12" s="1"/>
  <c r="P38" i="12"/>
  <c r="O38" i="12"/>
  <c r="N38" i="12"/>
  <c r="M38" i="12"/>
  <c r="L38" i="12"/>
  <c r="K38" i="12"/>
  <c r="J38" i="12"/>
  <c r="I38" i="12"/>
  <c r="C38" i="12"/>
  <c r="B38" i="12"/>
  <c r="T37" i="12"/>
  <c r="R37" i="12"/>
  <c r="Q37" i="12"/>
  <c r="S37" i="12" s="1"/>
  <c r="P37" i="12"/>
  <c r="O37" i="12"/>
  <c r="M37" i="12"/>
  <c r="K37" i="12"/>
  <c r="L37" i="12" s="1"/>
  <c r="N37" i="12" s="1"/>
  <c r="I37" i="12"/>
  <c r="B37" i="12"/>
  <c r="T36" i="12"/>
  <c r="F36" i="12"/>
  <c r="E36" i="12"/>
  <c r="D36" i="12"/>
  <c r="C36" i="12"/>
  <c r="B36" i="12"/>
  <c r="J35" i="12"/>
  <c r="K35" i="12" s="1"/>
  <c r="G35" i="12"/>
  <c r="F35" i="12"/>
  <c r="E35" i="12"/>
  <c r="D35" i="12"/>
  <c r="C35" i="12"/>
  <c r="B35" i="12"/>
  <c r="J34" i="12"/>
  <c r="K34" i="12" s="1"/>
  <c r="J33" i="12"/>
  <c r="K33" i="12" s="1"/>
  <c r="D33" i="12"/>
  <c r="C33" i="12"/>
  <c r="B33" i="12"/>
  <c r="J32" i="12"/>
  <c r="K32" i="12" s="1"/>
  <c r="F32" i="12"/>
  <c r="E32" i="12"/>
  <c r="B32" i="12"/>
  <c r="J31" i="12"/>
  <c r="K31" i="12" s="1"/>
  <c r="F31" i="12"/>
  <c r="E31" i="12"/>
  <c r="D31" i="12"/>
  <c r="C31" i="12"/>
  <c r="B31" i="12"/>
  <c r="J30" i="12"/>
  <c r="K30" i="12" s="1"/>
  <c r="G30" i="12"/>
  <c r="F30" i="12"/>
  <c r="E30" i="12"/>
  <c r="D30" i="12"/>
  <c r="C30" i="12"/>
  <c r="B30" i="12"/>
  <c r="J29" i="12"/>
  <c r="K29" i="12" s="1"/>
  <c r="T28" i="12"/>
  <c r="S28" i="12"/>
  <c r="R28" i="12"/>
  <c r="Q28" i="12"/>
  <c r="K28" i="12"/>
  <c r="P28" i="12" s="1"/>
  <c r="D28" i="12"/>
  <c r="C28" i="12"/>
  <c r="B28" i="12"/>
  <c r="T27" i="12"/>
  <c r="B27" i="12"/>
  <c r="K26" i="12"/>
  <c r="M26" i="12" s="1"/>
  <c r="O26" i="12" s="1"/>
  <c r="J26" i="12"/>
  <c r="M25" i="12"/>
  <c r="O25" i="12" s="1"/>
  <c r="L25" i="12"/>
  <c r="N25" i="12" s="1"/>
  <c r="K25" i="12"/>
  <c r="Q25" i="12" s="1"/>
  <c r="S25" i="12" s="1"/>
  <c r="J25" i="12"/>
  <c r="E25" i="12"/>
  <c r="B25" i="12"/>
  <c r="Q24" i="12"/>
  <c r="S24" i="12" s="1"/>
  <c r="P24" i="12"/>
  <c r="N24" i="12"/>
  <c r="M24" i="12"/>
  <c r="O24" i="12" s="1"/>
  <c r="L24" i="12"/>
  <c r="K24" i="12"/>
  <c r="R24" i="12" s="1"/>
  <c r="J24" i="12"/>
  <c r="J23" i="12"/>
  <c r="K23" i="12" s="1"/>
  <c r="G23" i="12"/>
  <c r="G33" i="12" s="1"/>
  <c r="F23" i="12"/>
  <c r="F33" i="12" s="1"/>
  <c r="E23" i="12"/>
  <c r="E33" i="12" s="1"/>
  <c r="D23" i="12"/>
  <c r="D38" i="12" s="1"/>
  <c r="C23" i="12"/>
  <c r="B23" i="12"/>
  <c r="J22" i="12"/>
  <c r="K22" i="12" s="1"/>
  <c r="G22" i="12"/>
  <c r="G27" i="12" s="1"/>
  <c r="F22" i="12"/>
  <c r="F27" i="12" s="1"/>
  <c r="E22" i="12"/>
  <c r="E27" i="12" s="1"/>
  <c r="D22" i="12"/>
  <c r="D27" i="12" s="1"/>
  <c r="C22" i="12"/>
  <c r="C27" i="12" s="1"/>
  <c r="B22" i="12"/>
  <c r="J21" i="12"/>
  <c r="K21" i="12" s="1"/>
  <c r="G21" i="12"/>
  <c r="G26" i="12" s="1"/>
  <c r="F21" i="12"/>
  <c r="F26" i="12" s="1"/>
  <c r="E21" i="12"/>
  <c r="E26" i="12" s="1"/>
  <c r="B21" i="12"/>
  <c r="C21" i="12" s="1"/>
  <c r="K20" i="12"/>
  <c r="P20" i="12" s="1"/>
  <c r="J20" i="12"/>
  <c r="G20" i="12"/>
  <c r="G25" i="12" s="1"/>
  <c r="F20" i="12"/>
  <c r="F25" i="12" s="1"/>
  <c r="D20" i="12"/>
  <c r="D21" i="12" s="1"/>
  <c r="C20" i="12"/>
  <c r="C25" i="12" s="1"/>
  <c r="K19" i="12"/>
  <c r="L19" i="12" s="1"/>
  <c r="N19" i="12" s="1"/>
  <c r="E19" i="12"/>
  <c r="T18" i="12"/>
  <c r="A13" i="12"/>
  <c r="A12" i="12"/>
  <c r="A11" i="12"/>
  <c r="C10" i="12"/>
  <c r="E10" i="12" s="1"/>
  <c r="D10" i="12" s="1"/>
  <c r="B10" i="12"/>
  <c r="A10" i="12"/>
  <c r="K9" i="12"/>
  <c r="J9" i="12" s="1"/>
  <c r="C9" i="12"/>
  <c r="I9" i="12" s="1"/>
  <c r="H9" i="12" s="1"/>
  <c r="B9" i="12"/>
  <c r="A9" i="12"/>
  <c r="K8" i="12"/>
  <c r="J8" i="12"/>
  <c r="I8" i="12"/>
  <c r="H8" i="12"/>
  <c r="G8" i="12"/>
  <c r="F8" i="12" s="1"/>
  <c r="E8" i="12"/>
  <c r="D8" i="12" s="1"/>
  <c r="C8" i="12"/>
  <c r="B8" i="12"/>
  <c r="A8" i="12"/>
  <c r="C7" i="12"/>
  <c r="B7" i="12" s="1"/>
  <c r="A7" i="12"/>
  <c r="K6" i="12"/>
  <c r="J6" i="12" s="1"/>
  <c r="I6" i="12"/>
  <c r="H6" i="12"/>
  <c r="G6" i="12"/>
  <c r="F6" i="12" s="1"/>
  <c r="E6" i="12"/>
  <c r="D6" i="12"/>
  <c r="B6" i="12"/>
  <c r="A6" i="12"/>
  <c r="K5" i="12"/>
  <c r="J5" i="12"/>
  <c r="I5" i="12"/>
  <c r="H5" i="12"/>
  <c r="G5" i="12"/>
  <c r="F5" i="12" s="1"/>
  <c r="E5" i="12"/>
  <c r="D5" i="12" s="1"/>
  <c r="C5" i="12"/>
  <c r="B5" i="12"/>
  <c r="A5" i="12"/>
  <c r="C4" i="12"/>
  <c r="B4" i="12" s="1"/>
  <c r="A4" i="12"/>
  <c r="K2" i="12"/>
  <c r="J2" i="12"/>
  <c r="I2" i="12"/>
  <c r="H2" i="12"/>
  <c r="G2" i="12"/>
  <c r="F2" i="12"/>
  <c r="E2" i="12"/>
  <c r="D2" i="12"/>
  <c r="C2" i="13" l="1"/>
  <c r="P21" i="13"/>
  <c r="P3" i="13"/>
  <c r="P10" i="13"/>
  <c r="P17" i="13"/>
  <c r="P7" i="13"/>
  <c r="P4" i="13"/>
  <c r="B10" i="13"/>
  <c r="D10" i="13" s="1"/>
  <c r="P14" i="13"/>
  <c r="P18" i="13"/>
  <c r="P11" i="13"/>
  <c r="P5" i="13"/>
  <c r="B11" i="13"/>
  <c r="D11" i="13" s="1"/>
  <c r="P15" i="13"/>
  <c r="P19" i="13"/>
  <c r="P2" i="13"/>
  <c r="P12" i="13"/>
  <c r="P20" i="13"/>
  <c r="P9" i="13"/>
  <c r="C34" i="13"/>
  <c r="H34" i="13" s="1"/>
  <c r="K34" i="13" s="1"/>
  <c r="P6" i="13"/>
  <c r="T30" i="12"/>
  <c r="M30" i="12"/>
  <c r="O30" i="12" s="1"/>
  <c r="R30" i="12"/>
  <c r="L30" i="12"/>
  <c r="N30" i="12" s="1"/>
  <c r="Q30" i="12"/>
  <c r="S30" i="12" s="1"/>
  <c r="P30" i="12"/>
  <c r="M21" i="12"/>
  <c r="O21" i="12" s="1"/>
  <c r="T21" i="12"/>
  <c r="Q21" i="12"/>
  <c r="S21" i="12" s="1"/>
  <c r="P21" i="12"/>
  <c r="L21" i="12"/>
  <c r="N21" i="12" s="1"/>
  <c r="R21" i="12"/>
  <c r="Q34" i="12"/>
  <c r="S34" i="12" s="1"/>
  <c r="M34" i="12"/>
  <c r="O34" i="12" s="1"/>
  <c r="T34" i="12"/>
  <c r="P34" i="12"/>
  <c r="L34" i="12"/>
  <c r="N34" i="12" s="1"/>
  <c r="R34" i="12"/>
  <c r="R39" i="12"/>
  <c r="Q39" i="12"/>
  <c r="S39" i="12" s="1"/>
  <c r="P39" i="12"/>
  <c r="M39" i="12"/>
  <c r="O39" i="12" s="1"/>
  <c r="T39" i="12"/>
  <c r="L39" i="12"/>
  <c r="N39" i="12" s="1"/>
  <c r="T31" i="12"/>
  <c r="R31" i="12"/>
  <c r="Q31" i="12"/>
  <c r="S31" i="12" s="1"/>
  <c r="M31" i="12"/>
  <c r="O31" i="12" s="1"/>
  <c r="P31" i="12"/>
  <c r="L31" i="12"/>
  <c r="N31" i="12" s="1"/>
  <c r="P35" i="12"/>
  <c r="M35" i="12"/>
  <c r="O35" i="12" s="1"/>
  <c r="T35" i="12"/>
  <c r="R35" i="12"/>
  <c r="L35" i="12"/>
  <c r="N35" i="12" s="1"/>
  <c r="Q35" i="12"/>
  <c r="S35" i="12" s="1"/>
  <c r="T40" i="12"/>
  <c r="L40" i="12"/>
  <c r="N40" i="12" s="1"/>
  <c r="R40" i="12"/>
  <c r="Q40" i="12"/>
  <c r="S40" i="12" s="1"/>
  <c r="M40" i="12"/>
  <c r="O40" i="12" s="1"/>
  <c r="P40" i="12"/>
  <c r="R43" i="12"/>
  <c r="Q43" i="12"/>
  <c r="S43" i="12" s="1"/>
  <c r="P43" i="12"/>
  <c r="M43" i="12"/>
  <c r="O43" i="12" s="1"/>
  <c r="T43" i="12"/>
  <c r="L43" i="12"/>
  <c r="N43" i="12" s="1"/>
  <c r="D32" i="12"/>
  <c r="D26" i="12"/>
  <c r="D37" i="12"/>
  <c r="P22" i="12"/>
  <c r="L22" i="12"/>
  <c r="N22" i="12" s="1"/>
  <c r="T22" i="12"/>
  <c r="M22" i="12"/>
  <c r="O22" i="12" s="1"/>
  <c r="R22" i="12"/>
  <c r="Q22" i="12"/>
  <c r="S22" i="12" s="1"/>
  <c r="T44" i="12"/>
  <c r="R44" i="12"/>
  <c r="Q44" i="12"/>
  <c r="S44" i="12" s="1"/>
  <c r="P44" i="12"/>
  <c r="M44" i="12"/>
  <c r="O44" i="12" s="1"/>
  <c r="L44" i="12"/>
  <c r="N44" i="12" s="1"/>
  <c r="P29" i="12"/>
  <c r="T29" i="12"/>
  <c r="M29" i="12"/>
  <c r="O29" i="12" s="1"/>
  <c r="R29" i="12"/>
  <c r="Q29" i="12"/>
  <c r="S29" i="12" s="1"/>
  <c r="L29" i="12"/>
  <c r="N29" i="12" s="1"/>
  <c r="T32" i="12"/>
  <c r="R32" i="12"/>
  <c r="Q32" i="12"/>
  <c r="S32" i="12" s="1"/>
  <c r="M32" i="12"/>
  <c r="O32" i="12" s="1"/>
  <c r="P32" i="12"/>
  <c r="L32" i="12"/>
  <c r="N32" i="12" s="1"/>
  <c r="T23" i="12"/>
  <c r="M23" i="12"/>
  <c r="O23" i="12" s="1"/>
  <c r="L23" i="12"/>
  <c r="N23" i="12" s="1"/>
  <c r="R23" i="12"/>
  <c r="Q23" i="12"/>
  <c r="S23" i="12" s="1"/>
  <c r="P23" i="12"/>
  <c r="T33" i="12"/>
  <c r="R33" i="12"/>
  <c r="Q33" i="12"/>
  <c r="S33" i="12" s="1"/>
  <c r="P33" i="12"/>
  <c r="L33" i="12"/>
  <c r="N33" i="12" s="1"/>
  <c r="M33" i="12"/>
  <c r="O33" i="12" s="1"/>
  <c r="C32" i="12"/>
  <c r="C37" i="12"/>
  <c r="C26" i="12"/>
  <c r="M20" i="12"/>
  <c r="O20" i="12" s="1"/>
  <c r="G10" i="12"/>
  <c r="F10" i="12" s="1"/>
  <c r="P26" i="12"/>
  <c r="Q26" i="12"/>
  <c r="S26" i="12" s="1"/>
  <c r="K4" i="12"/>
  <c r="J4" i="12" s="1"/>
  <c r="K7" i="12"/>
  <c r="J7" i="12" s="1"/>
  <c r="E9" i="12"/>
  <c r="D9" i="12" s="1"/>
  <c r="R19" i="12"/>
  <c r="T25" i="12"/>
  <c r="L28" i="12"/>
  <c r="N28" i="12" s="1"/>
  <c r="G37" i="12"/>
  <c r="F38" i="12"/>
  <c r="E4" i="12"/>
  <c r="D4" i="12" s="1"/>
  <c r="E28" i="12"/>
  <c r="Q20" i="12"/>
  <c r="S20" i="12" s="1"/>
  <c r="R25" i="12"/>
  <c r="Q41" i="12"/>
  <c r="S41" i="12" s="1"/>
  <c r="I10" i="12"/>
  <c r="H10" i="12" s="1"/>
  <c r="Q19" i="12"/>
  <c r="S19" i="12" s="1"/>
  <c r="T24" i="12"/>
  <c r="F37" i="12"/>
  <c r="R41" i="12"/>
  <c r="K10" i="12"/>
  <c r="J10" i="12" s="1"/>
  <c r="T20" i="12"/>
  <c r="B26" i="12"/>
  <c r="T26" i="12"/>
  <c r="M28" i="12"/>
  <c r="O28" i="12" s="1"/>
  <c r="G38" i="12"/>
  <c r="T41" i="12"/>
  <c r="L20" i="12"/>
  <c r="N20" i="12" s="1"/>
  <c r="L26" i="12"/>
  <c r="N26" i="12" s="1"/>
  <c r="M41" i="12"/>
  <c r="O41" i="12" s="1"/>
  <c r="F28" i="12"/>
  <c r="P41" i="12"/>
  <c r="I4" i="12"/>
  <c r="H4" i="12" s="1"/>
  <c r="I7" i="12"/>
  <c r="H7" i="12" s="1"/>
  <c r="P19" i="12"/>
  <c r="G28" i="12"/>
  <c r="R26" i="12"/>
  <c r="G9" i="12"/>
  <c r="F9" i="12" s="1"/>
  <c r="T19" i="12"/>
  <c r="D25" i="12"/>
  <c r="E7" i="12"/>
  <c r="D7" i="12" s="1"/>
  <c r="G32" i="12"/>
  <c r="G7" i="12"/>
  <c r="F7" i="12" s="1"/>
  <c r="P25" i="12"/>
  <c r="E37" i="12"/>
  <c r="R20" i="12"/>
  <c r="E38" i="12"/>
  <c r="M19" i="12"/>
  <c r="O19" i="12" s="1"/>
  <c r="G4" i="12"/>
  <c r="F4" i="12" s="1"/>
  <c r="C12" i="12"/>
  <c r="C11" i="12"/>
  <c r="C14" i="12"/>
  <c r="G36" i="12"/>
  <c r="G31" i="12"/>
  <c r="E14" i="12" l="1"/>
  <c r="D14" i="12" s="1"/>
  <c r="I14" i="12"/>
  <c r="H14" i="12" s="1"/>
  <c r="G14" i="12"/>
  <c r="F14" i="12" s="1"/>
  <c r="B14" i="12"/>
  <c r="K14" i="12"/>
  <c r="J14" i="12" s="1"/>
  <c r="C15" i="12"/>
  <c r="E11" i="12"/>
  <c r="D11" i="12" s="1"/>
  <c r="I11" i="12"/>
  <c r="H11" i="12" s="1"/>
  <c r="G11" i="12"/>
  <c r="F11" i="12" s="1"/>
  <c r="B11" i="12"/>
  <c r="K11" i="12"/>
  <c r="J11" i="12" s="1"/>
  <c r="K12" i="12"/>
  <c r="J12" i="12" s="1"/>
  <c r="I12" i="12"/>
  <c r="H12" i="12" s="1"/>
  <c r="B12" i="12"/>
  <c r="G12" i="12"/>
  <c r="F12" i="12" s="1"/>
  <c r="E12" i="12"/>
  <c r="D12" i="12" s="1"/>
  <c r="C13" i="12"/>
  <c r="K15" i="12" l="1"/>
  <c r="J15" i="12" s="1"/>
  <c r="I15" i="12"/>
  <c r="H15" i="12" s="1"/>
  <c r="G15" i="12"/>
  <c r="F15" i="12" s="1"/>
  <c r="B15" i="12"/>
  <c r="E15" i="12"/>
  <c r="D15" i="12" s="1"/>
  <c r="G13" i="12"/>
  <c r="F13" i="12" s="1"/>
  <c r="K13" i="12"/>
  <c r="J13" i="12" s="1"/>
  <c r="E13" i="12"/>
  <c r="D13" i="12" s="1"/>
  <c r="B13" i="12"/>
  <c r="I13" i="12"/>
  <c r="H13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045758-A5A3-495F-84B3-7976DBB0F8CA}" keepAlive="1" name="Query - az_mix" description="Connection to the 'az_mix' query in the workbook." type="5" refreshedVersion="8" background="1" saveData="1">
    <dbPr connection="Provider=Microsoft.Mashup.OleDb.1;Data Source=$Workbook$;Location=az_mix;Extended Properties=&quot;&quot;" command="SELECT * FROM [az_mix]"/>
  </connection>
  <connection id="2" xr16:uid="{CB6ED511-8E42-4C7F-ACAF-6EB55F5B9B72}" keepAlive="1" name="Query - d_colormap" description="Connection to the 'd_colormap' query in the workbook." type="5" refreshedVersion="8" background="1" saveData="1">
    <dbPr connection="Provider=Microsoft.Mashup.OleDb.1;Data Source=$Workbook$;Location=d_colormap;Extended Properties=&quot;&quot;" command="SELECT * FROM [d_colormap]"/>
  </connection>
  <connection id="3" xr16:uid="{7DE1A1A4-1D63-4517-BEA2-38D0DF3794FA}" keepAlive="1" name="Query - d_mix" description="Connection to the 'd_mix' query in the workbook." type="5" refreshedVersion="8" background="1" saveData="1">
    <dbPr connection="Provider=Microsoft.Mashup.OleDb.1;Data Source=$Workbook$;Location=d_mix;Extended Properties=&quot;&quot;" command="SELECT * FROM [d_mix]"/>
  </connection>
  <connection id="4" xr16:uid="{21CF8578-7FC0-4CD4-9874-373E60F9492B}" keepAlive="1" name="Query - d_mix_ell" description="Connection to the 'd_mix_ell' query in the workbook." type="5" refreshedVersion="8" background="1" saveData="1">
    <dbPr connection="Provider=Microsoft.Mashup.OleDb.1;Data Source=$Workbook$;Location=d_mix_ell;Extended Properties=&quot;&quot;" command="SELECT * FROM [d_mix_ell]"/>
  </connection>
  <connection id="5" xr16:uid="{69E3C3C8-FB8A-40CE-9FC4-B5A04D7CB1E3}" keepAlive="1" name="Query - d_tris_ell" description="Connection to the 'd_tris_ell' query in the workbook." type="5" refreshedVersion="8" background="1" saveData="1">
    <dbPr connection="Provider=Microsoft.Mashup.OleDb.1;Data Source=$Workbook$;Location=d_tris_ell;Extended Properties=&quot;&quot;" command="SELECT * FROM [d_tris_ell]"/>
  </connection>
</connections>
</file>

<file path=xl/sharedStrings.xml><?xml version="1.0" encoding="utf-8"?>
<sst xmlns="http://schemas.openxmlformats.org/spreadsheetml/2006/main" count="3111" uniqueCount="572">
  <si>
    <t>Dist</t>
  </si>
  <si>
    <t>Reason</t>
  </si>
  <si>
    <t>H77</t>
  </si>
  <si>
    <t>H12</t>
  </si>
  <si>
    <t>H66</t>
  </si>
  <si>
    <t>H70</t>
  </si>
  <si>
    <t>H88</t>
  </si>
  <si>
    <t>H69</t>
  </si>
  <si>
    <t>H71</t>
  </si>
  <si>
    <t>H38</t>
  </si>
  <si>
    <t>H81</t>
  </si>
  <si>
    <t>H52</t>
  </si>
  <si>
    <t>H24</t>
  </si>
  <si>
    <t>H22</t>
  </si>
  <si>
    <t>H11</t>
  </si>
  <si>
    <t>H27</t>
  </si>
  <si>
    <t>H29</t>
  </si>
  <si>
    <t>H23</t>
  </si>
  <si>
    <t>H51</t>
  </si>
  <si>
    <t>H17</t>
  </si>
  <si>
    <t>H19</t>
  </si>
  <si>
    <t>H56</t>
  </si>
  <si>
    <t>H20</t>
  </si>
  <si>
    <t>H37</t>
  </si>
  <si>
    <t>Dist Whole</t>
  </si>
  <si>
    <t>H28</t>
  </si>
  <si>
    <t>H35</t>
  </si>
  <si>
    <t>H43</t>
  </si>
  <si>
    <t>H32</t>
  </si>
  <si>
    <t>H60</t>
  </si>
  <si>
    <t>H33</t>
  </si>
  <si>
    <t>H47</t>
  </si>
  <si>
    <t>H50</t>
  </si>
  <si>
    <t>H39</t>
  </si>
  <si>
    <t>H44</t>
  </si>
  <si>
    <t>Chk26</t>
  </si>
  <si>
    <t>Chk02</t>
  </si>
  <si>
    <t>Chk04</t>
  </si>
  <si>
    <t>Chk06</t>
  </si>
  <si>
    <t>Chk11</t>
  </si>
  <si>
    <t>Chk10</t>
  </si>
  <si>
    <t>Chk43</t>
  </si>
  <si>
    <t>Chk13</t>
  </si>
  <si>
    <t>Chk38</t>
  </si>
  <si>
    <t>Chk16</t>
  </si>
  <si>
    <t>Chk19</t>
  </si>
  <si>
    <t>Chk35</t>
  </si>
  <si>
    <t>Gs3</t>
  </si>
  <si>
    <t>Gs4</t>
  </si>
  <si>
    <t>H67</t>
  </si>
  <si>
    <t>H42</t>
  </si>
  <si>
    <t>Chk01</t>
  </si>
  <si>
    <t>Chk46</t>
  </si>
  <si>
    <t>Gs2</t>
  </si>
  <si>
    <t>Chk12</t>
  </si>
  <si>
    <t>Chk41</t>
  </si>
  <si>
    <t>Chk45</t>
  </si>
  <si>
    <t>Chj24</t>
  </si>
  <si>
    <t>Chk32</t>
  </si>
  <si>
    <t>Chk37</t>
  </si>
  <si>
    <t>Chk28</t>
  </si>
  <si>
    <t>Chk31</t>
  </si>
  <si>
    <t>K</t>
  </si>
  <si>
    <t>Hk</t>
  </si>
  <si>
    <t>RK</t>
  </si>
  <si>
    <t>KS</t>
  </si>
  <si>
    <t>J</t>
  </si>
  <si>
    <t>WH</t>
  </si>
  <si>
    <t>PO</t>
  </si>
  <si>
    <t>Nb</t>
  </si>
  <si>
    <t>AN</t>
  </si>
  <si>
    <t>M</t>
  </si>
  <si>
    <t>PenE</t>
  </si>
  <si>
    <t>Chk40</t>
  </si>
  <si>
    <t>Chk15</t>
  </si>
  <si>
    <t>Chk03</t>
  </si>
  <si>
    <t>Chk21</t>
  </si>
  <si>
    <t>Chk09</t>
  </si>
  <si>
    <t>H86</t>
  </si>
  <si>
    <t>Chk25</t>
  </si>
  <si>
    <t>Chk42</t>
  </si>
  <si>
    <t>RC</t>
  </si>
  <si>
    <t>Eb</t>
  </si>
  <si>
    <t>Wb</t>
  </si>
  <si>
    <t>Cap</t>
  </si>
  <si>
    <t>B</t>
  </si>
  <si>
    <t>P</t>
  </si>
  <si>
    <t>Chk39</t>
  </si>
  <si>
    <t>Chk17</t>
  </si>
  <si>
    <t>Chk36</t>
  </si>
  <si>
    <t>Chk18</t>
  </si>
  <si>
    <t>H40</t>
  </si>
  <si>
    <t>Chk34</t>
  </si>
  <si>
    <t>Pk01</t>
  </si>
  <si>
    <t>Chk49</t>
  </si>
  <si>
    <t>Pk02</t>
  </si>
  <si>
    <t>Pk03</t>
  </si>
  <si>
    <t>P1</t>
  </si>
  <si>
    <t>P1_lat</t>
  </si>
  <si>
    <t>P1_lon</t>
  </si>
  <si>
    <t>P2</t>
  </si>
  <si>
    <t>P2_lat</t>
  </si>
  <si>
    <t>P2_lon</t>
  </si>
  <si>
    <t>Az12</t>
  </si>
  <si>
    <t>Az21</t>
  </si>
  <si>
    <t>BackAz12</t>
  </si>
  <si>
    <t>BackAz21</t>
  </si>
  <si>
    <t>Chk44</t>
  </si>
  <si>
    <t>Chk51</t>
  </si>
  <si>
    <t>PenA</t>
  </si>
  <si>
    <t>PenC</t>
  </si>
  <si>
    <t>H13</t>
  </si>
  <si>
    <t>Sb</t>
  </si>
  <si>
    <t>PenB</t>
  </si>
  <si>
    <t>Chk47</t>
  </si>
  <si>
    <t>Chk50</t>
  </si>
  <si>
    <t>Chk08</t>
  </si>
  <si>
    <t>H31</t>
  </si>
  <si>
    <t>Chk05</t>
  </si>
  <si>
    <t>H65</t>
  </si>
  <si>
    <t>Dist multiple:1.6180</t>
  </si>
  <si>
    <t>MV</t>
  </si>
  <si>
    <t>RCrkA</t>
  </si>
  <si>
    <t>Gs9</t>
  </si>
  <si>
    <t>Pk04</t>
  </si>
  <si>
    <t>Pk05</t>
  </si>
  <si>
    <t>Gs6</t>
  </si>
  <si>
    <t>Chk52</t>
  </si>
  <si>
    <t>Chk60</t>
  </si>
  <si>
    <t>Chk59</t>
  </si>
  <si>
    <t>Gs7</t>
  </si>
  <si>
    <t>Dist multiple:0.6180</t>
  </si>
  <si>
    <t>Chk23b</t>
  </si>
  <si>
    <t>Sc</t>
  </si>
  <si>
    <t>Ec</t>
  </si>
  <si>
    <t>Nc</t>
  </si>
  <si>
    <t>Wc</t>
  </si>
  <si>
    <t>SF02</t>
  </si>
  <si>
    <t>SF04</t>
  </si>
  <si>
    <t>Dist multiple:0.7071</t>
  </si>
  <si>
    <t>Chk23a</t>
  </si>
  <si>
    <t>I079</t>
  </si>
  <si>
    <t>I014</t>
  </si>
  <si>
    <t>Dist factor of:6.1800</t>
  </si>
  <si>
    <t>Gs1</t>
  </si>
  <si>
    <t>Dist multiple:0.8660</t>
  </si>
  <si>
    <t>I069</t>
  </si>
  <si>
    <t>OtrC</t>
  </si>
  <si>
    <t>Dist multiple:2.2360</t>
  </si>
  <si>
    <t>OtrB</t>
  </si>
  <si>
    <t>OtrA</t>
  </si>
  <si>
    <t>Chk63</t>
  </si>
  <si>
    <t>POOthr3b</t>
  </si>
  <si>
    <t>H98</t>
  </si>
  <si>
    <t>Az21 Whole</t>
  </si>
  <si>
    <t>Az12 Whole</t>
  </si>
  <si>
    <t>Chk14</t>
  </si>
  <si>
    <t>H70b</t>
  </si>
  <si>
    <t>Chk23c</t>
  </si>
  <si>
    <t>POOthr3a</t>
  </si>
  <si>
    <t>Chk30</t>
  </si>
  <si>
    <t>I010</t>
  </si>
  <si>
    <t>POOthr2a</t>
  </si>
  <si>
    <t>OtrD</t>
  </si>
  <si>
    <t>H99</t>
  </si>
  <si>
    <t>Chk56</t>
  </si>
  <si>
    <t>Chk54</t>
  </si>
  <si>
    <t>RCOthr3a</t>
  </si>
  <si>
    <t>POOthr2c</t>
  </si>
  <si>
    <t>AnOthr01</t>
  </si>
  <si>
    <t>HighWb</t>
  </si>
  <si>
    <t>HighWc</t>
  </si>
  <si>
    <t>L</t>
  </si>
  <si>
    <t>SF06</t>
  </si>
  <si>
    <t>NOa</t>
  </si>
  <si>
    <t>CFa</t>
  </si>
  <si>
    <t>Chk20</t>
  </si>
  <si>
    <t>WHz</t>
  </si>
  <si>
    <t>SF03</t>
  </si>
  <si>
    <t>CFc</t>
  </si>
  <si>
    <t>CFd</t>
  </si>
  <si>
    <t>CFe</t>
  </si>
  <si>
    <t>CCnrA</t>
  </si>
  <si>
    <t>CptA</t>
  </si>
  <si>
    <t>Gs5</t>
  </si>
  <si>
    <t>RCrkB</t>
  </si>
  <si>
    <t>CptB</t>
  </si>
  <si>
    <t>Cavg</t>
  </si>
  <si>
    <t>PenD</t>
  </si>
  <si>
    <t>Chk58</t>
  </si>
  <si>
    <t>Chk62</t>
  </si>
  <si>
    <t>Az12 Whole, Az21 Whole</t>
  </si>
  <si>
    <t>Gs8</t>
  </si>
  <si>
    <t>Chk27</t>
  </si>
  <si>
    <t>PenF</t>
  </si>
  <si>
    <t>AnOthr02</t>
  </si>
  <si>
    <t>La</t>
  </si>
  <si>
    <t>Chk53</t>
  </si>
  <si>
    <t>Chk22</t>
  </si>
  <si>
    <t>SF01</t>
  </si>
  <si>
    <t>Chk48</t>
  </si>
  <si>
    <t>Chk57</t>
  </si>
  <si>
    <t>Chk55</t>
  </si>
  <si>
    <t>PenG</t>
  </si>
  <si>
    <t>Feet</t>
  </si>
  <si>
    <t>ft</t>
  </si>
  <si>
    <t>mi</t>
  </si>
  <si>
    <t>radphi</t>
  </si>
  <si>
    <t>rad2radphi</t>
  </si>
  <si>
    <t>Fraction</t>
  </si>
  <si>
    <t>one</t>
  </si>
  <si>
    <t>phi+</t>
  </si>
  <si>
    <t>phi-</t>
  </si>
  <si>
    <t>phi+/2</t>
  </si>
  <si>
    <t>phi-/2</t>
  </si>
  <si>
    <t>rad2</t>
  </si>
  <si>
    <t>rad3</t>
  </si>
  <si>
    <t>rad5</t>
  </si>
  <si>
    <t>rad3/2</t>
  </si>
  <si>
    <t>Miles:</t>
  </si>
  <si>
    <t>Feet:</t>
  </si>
  <si>
    <t>Poles</t>
  </si>
  <si>
    <t>Poles:</t>
  </si>
  <si>
    <t>Chains:</t>
  </si>
  <si>
    <t>Chains</t>
  </si>
  <si>
    <t>Miles</t>
  </si>
  <si>
    <t>Cntr</t>
  </si>
  <si>
    <t>Key</t>
  </si>
  <si>
    <t>JP</t>
  </si>
  <si>
    <t>WHKey</t>
  </si>
  <si>
    <t>CntrCap</t>
  </si>
  <si>
    <t>CapKey</t>
  </si>
  <si>
    <t>phi-rad2</t>
  </si>
  <si>
    <t>phi+rad2</t>
  </si>
  <si>
    <t xml:space="preserve">JP </t>
  </si>
  <si>
    <t>div</t>
  </si>
  <si>
    <t>golden angle:</t>
  </si>
  <si>
    <t>TRIANGLES</t>
  </si>
  <si>
    <t>Type</t>
  </si>
  <si>
    <t>a</t>
  </si>
  <si>
    <t>b</t>
  </si>
  <si>
    <t>c</t>
  </si>
  <si>
    <t>Sides</t>
  </si>
  <si>
    <t>r2 r3 r5</t>
  </si>
  <si>
    <t>s</t>
  </si>
  <si>
    <t>rads/pi</t>
  </si>
  <si>
    <t>Angles</t>
  </si>
  <si>
    <t>30 60 90</t>
  </si>
  <si>
    <t>r2 r2 1</t>
  </si>
  <si>
    <t>18 72 90</t>
  </si>
  <si>
    <t>36 54 90</t>
  </si>
  <si>
    <t>CFf</t>
  </si>
  <si>
    <t>Dist multiple:0.8740</t>
  </si>
  <si>
    <t>CFb</t>
  </si>
  <si>
    <t>Dist multiple:0.3338</t>
  </si>
  <si>
    <t>HighWa</t>
  </si>
  <si>
    <t>H70a</t>
  </si>
  <si>
    <t>Dist multiple:0.5401</t>
  </si>
  <si>
    <t>SCb</t>
  </si>
  <si>
    <t>Dist multiple:3.7025</t>
  </si>
  <si>
    <t>Dist factor of:2.2360, Dist multiple:2.2360</t>
  </si>
  <si>
    <t>Chk61</t>
  </si>
  <si>
    <t>Dist Half</t>
  </si>
  <si>
    <t>CFg</t>
  </si>
  <si>
    <t>Dist factor of:5.6050</t>
  </si>
  <si>
    <t>SCa</t>
  </si>
  <si>
    <t>Dist multiple:0.8660, Dist multiple:3.4641</t>
  </si>
  <si>
    <t>Dist factor of:5.6050, Dist multiple:5.6050</t>
  </si>
  <si>
    <t>Dist multiple:2.2882</t>
  </si>
  <si>
    <t>Dist multiple:5.6050</t>
  </si>
  <si>
    <t>Dist factor of:2.2882, Dist multiple:2.2882</t>
  </si>
  <si>
    <t>Dist factor of:3.7025</t>
  </si>
  <si>
    <t>Dist factor of:5.9907</t>
  </si>
  <si>
    <t>Factor</t>
  </si>
  <si>
    <t>golden</t>
  </si>
  <si>
    <t>Dist factor of:1.4142</t>
  </si>
  <si>
    <t>Az12 Whole, Az12 multiple:15.00, Az12 multiple:18.00</t>
  </si>
  <si>
    <t>Az21 multiple:15.00, Az21 multiple:18.00</t>
  </si>
  <si>
    <t>Az12 Whole, Az12 multiple:15.00, Az12 multiple:18.00, Az21 Whole, Az21 multiple:15.00, Az21 multiple:18.00</t>
  </si>
  <si>
    <t>Az12 Whole, Az12 multiple:18.00</t>
  </si>
  <si>
    <t>Az21 multiple:15.00</t>
  </si>
  <si>
    <t>Az21 Whole, Az21 target:136.00</t>
  </si>
  <si>
    <t>Az12 multiple:15.00, Az12 multiple:18.00, Az21 Whole, Az21 multiple:15.00, Az21 multiple:18.00</t>
  </si>
  <si>
    <t>Az12 multiple:15.00, Az12 multiple:18.00, Az21 multiple:15.00, Az21 multiple:18.00</t>
  </si>
  <si>
    <t>Az12 multiple:15.00, Az12 multiple:18.00</t>
  </si>
  <si>
    <t>Az21 Whole, Az21 multiple:15.00</t>
  </si>
  <si>
    <t>Az12 target:1.00, Az21 Whole</t>
  </si>
  <si>
    <t>Az12 multiple:18.00</t>
  </si>
  <si>
    <t>Az12 Whole, Az12 multiple:15.00</t>
  </si>
  <si>
    <t>Az12 target:10.00, Az21 Whole</t>
  </si>
  <si>
    <t>Az21 target:136.00</t>
  </si>
  <si>
    <t>Az21 multiple:18.00</t>
  </si>
  <si>
    <t>Az12 target:89.00</t>
  </si>
  <si>
    <t>Az21 target:53.13</t>
  </si>
  <si>
    <t>Az12 target:109.00</t>
  </si>
  <si>
    <t>Az21 Whole, Az21 multiple:15.00, Az21 multiple:18.00</t>
  </si>
  <si>
    <t>Az12 Whole, Az12 target:107.00</t>
  </si>
  <si>
    <t>Az12 target:119.00</t>
  </si>
  <si>
    <t>Az21 target:109.50</t>
  </si>
  <si>
    <t>Az21 target:132.50</t>
  </si>
  <si>
    <t>Az12 target:172.00</t>
  </si>
  <si>
    <t>Az12 target:61.00</t>
  </si>
  <si>
    <t>Az21 Whole, Az21 target:61.00</t>
  </si>
  <si>
    <t>Az21 target:61.00</t>
  </si>
  <si>
    <t>Az12 multiple:15.00</t>
  </si>
  <si>
    <t>Az12 target:359.00</t>
  </si>
  <si>
    <t>Az21 target:143.13</t>
  </si>
  <si>
    <t>Az21 target:269.00</t>
  </si>
  <si>
    <t>Az21 target:126.87</t>
  </si>
  <si>
    <t>Az21 target:29.00</t>
  </si>
  <si>
    <t>Az12 target:1.00</t>
  </si>
  <si>
    <t>Az21 Whole, Az21 multiple:18.00</t>
  </si>
  <si>
    <t>Az12 target:46.00</t>
  </si>
  <si>
    <t>Az12 Whole, Az12 multiple:15.00, Az12 multiple:18.00, Az21 multiple:15.00, Az21 multiple:18.00</t>
  </si>
  <si>
    <t>Az12 target:10.00</t>
  </si>
  <si>
    <t>Az21 target:44.00</t>
  </si>
  <si>
    <t>Az21 target:31.00</t>
  </si>
  <si>
    <t>Az12 target:132.50</t>
  </si>
  <si>
    <t>Az12 target:31.00</t>
  </si>
  <si>
    <t>Az12 Whole, Az12 target:179.00, Az21 Whole, Az21 target:359.00</t>
  </si>
  <si>
    <t>Az12 Whole, Az12 target:61.00</t>
  </si>
  <si>
    <t>Az21 Whole, Az21 target:134.00</t>
  </si>
  <si>
    <t>Az12 target:126.87</t>
  </si>
  <si>
    <t>Az12 target:143.13</t>
  </si>
  <si>
    <t>Az21 Whole, Az21 target:59.00</t>
  </si>
  <si>
    <t>Az12 Whole, Az12 target:82.00</t>
  </si>
  <si>
    <t>Az21 target:46.00</t>
  </si>
  <si>
    <t>Az12 Whole, Az12 target:109.00</t>
  </si>
  <si>
    <t>Az21 target:10.00</t>
  </si>
  <si>
    <t>Az21 Whole, Az21 target:91.00</t>
  </si>
  <si>
    <t>Az21 Whole, Az21 target:82.00</t>
  </si>
  <si>
    <t>Az21 target:134.00</t>
  </si>
  <si>
    <t>Az12 multiple:18.00, Az12 target:198.00</t>
  </si>
  <si>
    <t>Az21 target:121.00</t>
  </si>
  <si>
    <t>Az12 Whole, Az21 Whole, Az21 target:172.00</t>
  </si>
  <si>
    <t>Az12 Whole, Az12 target:121.00</t>
  </si>
  <si>
    <t>Dist factor of:2.2360, Dist factor of:3.4610</t>
  </si>
  <si>
    <t>Dist factor of:3.4610</t>
  </si>
  <si>
    <t>Pentagon dimensions:</t>
  </si>
  <si>
    <t>Avg Cntr to Verts:</t>
  </si>
  <si>
    <t>Avg Outer Sides:</t>
  </si>
  <si>
    <t>R</t>
  </si>
  <si>
    <t>S</t>
  </si>
  <si>
    <t>D</t>
  </si>
  <si>
    <t>H</t>
  </si>
  <si>
    <t>Diag(star side):</t>
  </si>
  <si>
    <t>Height:</t>
  </si>
  <si>
    <t>1 - 2 - r5</t>
  </si>
  <si>
    <t>1 - phi - phi^2</t>
  </si>
  <si>
    <t>Az12 target:42.50</t>
  </si>
  <si>
    <t>CapK</t>
  </si>
  <si>
    <t>Dist factor of:1.6180, Dist multiple:1.6180</t>
  </si>
  <si>
    <t>FF</t>
  </si>
  <si>
    <t>AA</t>
  </si>
  <si>
    <t>BB</t>
  </si>
  <si>
    <t>GG</t>
  </si>
  <si>
    <t>RR</t>
  </si>
  <si>
    <t>reason_set</t>
  </si>
  <si>
    <t>color</t>
  </si>
  <si>
    <t>['Az multiple:15.00', 'Az multiple:18.00']</t>
  </si>
  <si>
    <t>FFFF33FF</t>
  </si>
  <si>
    <t>['Az multiple:15.00']</t>
  </si>
  <si>
    <t>['Az multiple:18.00', 'Az target:198.00']</t>
  </si>
  <si>
    <t>FF99FFFF</t>
  </si>
  <si>
    <t>['Az multiple:18.00']</t>
  </si>
  <si>
    <t>['Az target:116.57']</t>
  </si>
  <si>
    <t>FF5599FF</t>
  </si>
  <si>
    <t>['Az target:26.57']</t>
  </si>
  <si>
    <t>['Az target:128.17']</t>
  </si>
  <si>
    <t>FF55FFFF</t>
  </si>
  <si>
    <t>['Az target:50.77']</t>
  </si>
  <si>
    <t>FF0055FF</t>
  </si>
  <si>
    <t>['Az target:140.77']</t>
  </si>
  <si>
    <t>['Az target:153.44']</t>
  </si>
  <si>
    <t>FF0099FF</t>
  </si>
  <si>
    <t>['Az target:63.44']</t>
  </si>
  <si>
    <t>['Az target:39.23']</t>
  </si>
  <si>
    <t>FF9999FF</t>
  </si>
  <si>
    <t>['Az target:1.00']</t>
  </si>
  <si>
    <t>['Az target:269.00']</t>
  </si>
  <si>
    <t>FF9955FF</t>
  </si>
  <si>
    <t>['Az target:134.00']</t>
  </si>
  <si>
    <t>['Az target:44.00']</t>
  </si>
  <si>
    <t>['Az target:121.00']</t>
  </si>
  <si>
    <t>FFFF00FF</t>
  </si>
  <si>
    <t>['Az target:59.00']</t>
  </si>
  <si>
    <t>['Az target:61.00']</t>
  </si>
  <si>
    <t>['Az target:31.00']</t>
  </si>
  <si>
    <t>['Az target:73.00']</t>
  </si>
  <si>
    <t>FF0000FF</t>
  </si>
  <si>
    <t>['Az target:74.00']</t>
  </si>
  <si>
    <t>['Az target:10.00']</t>
  </si>
  <si>
    <t>FFFF99FF</t>
  </si>
  <si>
    <t>['Az target:172.00']</t>
  </si>
  <si>
    <t>FF5500FF</t>
  </si>
  <si>
    <t>['Az target:82.00']</t>
  </si>
  <si>
    <t>FF9900FF</t>
  </si>
  <si>
    <t>['Az target:34.25']</t>
  </si>
  <si>
    <t>FF00FFFF</t>
  </si>
  <si>
    <t>['Az target:42.50']</t>
  </si>
  <si>
    <t>['Az target:132.50']</t>
  </si>
  <si>
    <t>group</t>
  </si>
  <si>
    <t>['Dist factor of:1.3143']</t>
  </si>
  <si>
    <t>36 - 54 - 90</t>
  </si>
  <si>
    <t>['Dist multiple:1.3143']</t>
  </si>
  <si>
    <t>['Dist factor of:1.6180', 'Dist multiple:1.6180']</t>
  </si>
  <si>
    <t>FIp</t>
  </si>
  <si>
    <t>['Dist multiple:1.6180']</t>
  </si>
  <si>
    <t>['Dist multiple:0.6180']</t>
  </si>
  <si>
    <t>FIm</t>
  </si>
  <si>
    <t>['Dist factor of:2.2361', 'Dist multiple:2.2361']</t>
  </si>
  <si>
    <t>r5</t>
  </si>
  <si>
    <t>['Dist multiple:2.2361']</t>
  </si>
  <si>
    <t>['Dist factor of:1.4142']</t>
  </si>
  <si>
    <t>r2</t>
  </si>
  <si>
    <t>['Dist multiple:1.4142']</t>
  </si>
  <si>
    <t>FFFF0099</t>
  </si>
  <si>
    <t>['Dist multiple:0.4755']</t>
  </si>
  <si>
    <t>18 - 72 - 90</t>
  </si>
  <si>
    <t>['Dist multiple:1.5388']</t>
  </si>
  <si>
    <t>['Dist multiple:4.0000']</t>
  </si>
  <si>
    <t>['Dist factor of:4.0000']</t>
  </si>
  <si>
    <t>['Dist multiple:1.7321']</t>
  </si>
  <si>
    <t>r3</t>
  </si>
  <si>
    <t>['Dist factor of:1.7321']</t>
  </si>
  <si>
    <t>['Dist factor of:3.0000']</t>
  </si>
  <si>
    <t>['Dist factor of:5.0000', 'Dist multiple:5.0000']</t>
  </si>
  <si>
    <t>['Dist factor of:0.4755', 'Dist factor of:1.7321', 'Dist factor of:2.2883', 'Dist factor of:3.0000', 'Dist factor of:6.2666']</t>
  </si>
  <si>
    <t>EEEEE0E0</t>
  </si>
  <si>
    <t>Zero</t>
  </si>
  <si>
    <t>FFFF00CC</t>
  </si>
  <si>
    <t>['Dist factor of:0.4755', 'Dist multiple:0.4755']</t>
  </si>
  <si>
    <t>['Dist factor of:1.5388', 'Dist factor of:2.2361']</t>
  </si>
  <si>
    <t>FFFF20B0</t>
  </si>
  <si>
    <t>['Dist factor of:1.5388', 'Dist multiple:1.5388']</t>
  </si>
  <si>
    <t>FFFF20B1</t>
  </si>
  <si>
    <t>['Dist factor of:1.5388']</t>
  </si>
  <si>
    <t>FFFF20B2</t>
  </si>
  <si>
    <t>FFFF10C0</t>
  </si>
  <si>
    <t>FFFF10C1</t>
  </si>
  <si>
    <t>['Dist factor of:1.3143', 'Dist multiple:1.3143']</t>
  </si>
  <si>
    <t>FFFF10C2</t>
  </si>
  <si>
    <t>['Dist factor of:4.0000', 'Dist factor of:6.2666']</t>
  </si>
  <si>
    <t>FFCCFF00</t>
  </si>
  <si>
    <t>['Dist factor of:4.0000', 'Dist multiple:4.0000']</t>
  </si>
  <si>
    <t>FFCCFF01</t>
  </si>
  <si>
    <t>FFCCFF02</t>
  </si>
  <si>
    <t>FFCCFF03</t>
  </si>
  <si>
    <t>FFCCFF22</t>
  </si>
  <si>
    <t>FFCCFF44</t>
  </si>
  <si>
    <t>['Dist factor of:3.0000', 'Dist multiple:3.0000']</t>
  </si>
  <si>
    <t>FFCCFF45</t>
  </si>
  <si>
    <t>['Dist factor of:1.4142', 'Dist factor of:3.0000']</t>
  </si>
  <si>
    <t>FFFF9944</t>
  </si>
  <si>
    <t>['Dist factor of:1.4142', 'Dist multiple:1.4142']</t>
  </si>
  <si>
    <t>['Dist factor of:1.4142', 'Dist factor of:2.3936']</t>
  </si>
  <si>
    <t>FFFF4499</t>
  </si>
  <si>
    <t>['Dist factor of:2.2883', 'Dist multiple:2.2883']</t>
  </si>
  <si>
    <t>FFFF0066</t>
  </si>
  <si>
    <t>r2 FIp</t>
  </si>
  <si>
    <t>['Dist factor of:2.2883']</t>
  </si>
  <si>
    <t>FFFF0067</t>
  </si>
  <si>
    <t>['Dist multiple:2.2883']</t>
  </si>
  <si>
    <t>FFFF0068</t>
  </si>
  <si>
    <t>['Dist factor of:0.8740', 'Dist multiple:0.8740']</t>
  </si>
  <si>
    <t>FFFF0030</t>
  </si>
  <si>
    <t>r2 FIm</t>
  </si>
  <si>
    <t>['Dist factor of:0.8740']</t>
  </si>
  <si>
    <t>FFFF0031</t>
  </si>
  <si>
    <t>['Dist multiple:0.8740']</t>
  </si>
  <si>
    <t>FFFF0032</t>
  </si>
  <si>
    <t>['Dist factor of:1.7321', 'Dist multiple:1.7321']</t>
  </si>
  <si>
    <t>FF00FF00</t>
  </si>
  <si>
    <t>FF00FF01</t>
  </si>
  <si>
    <t>FF00FF02</t>
  </si>
  <si>
    <t>['Dist factor of:2.8025', 'Dist multiple:2.8025']</t>
  </si>
  <si>
    <t>FF00FF40</t>
  </si>
  <si>
    <t>r3 FIp</t>
  </si>
  <si>
    <t>['Dist factor of:2.8025']</t>
  </si>
  <si>
    <t>FF00FF41</t>
  </si>
  <si>
    <t>['Dist multiple:2.8025']</t>
  </si>
  <si>
    <t>FF00FF42</t>
  </si>
  <si>
    <t>['Dist multiple:1.0705']</t>
  </si>
  <si>
    <t>FF00FF70</t>
  </si>
  <si>
    <t>r3 FIm</t>
  </si>
  <si>
    <t>['Dist factor of:1.0705', 'Dist multiple:1.0705']</t>
  </si>
  <si>
    <t>FF00FF71</t>
  </si>
  <si>
    <t>['Dist factor of:1.0705']</t>
  </si>
  <si>
    <t>FF00FF72</t>
  </si>
  <si>
    <t>FFFFF004</t>
  </si>
  <si>
    <t>FFFFF005</t>
  </si>
  <si>
    <t>['Dist factor of:2.2361']</t>
  </si>
  <si>
    <t>FFFFF006</t>
  </si>
  <si>
    <t>['Dist factor of:1.3143', 'Dist factor of:6.2666']</t>
  </si>
  <si>
    <t>FFFDD007</t>
  </si>
  <si>
    <t>r5 FIp</t>
  </si>
  <si>
    <t>['Dist factor of:6.2666', 'Dist multiple:6.2666']</t>
  </si>
  <si>
    <t>FFFDD008</t>
  </si>
  <si>
    <t>['Dist factor of:6.2666']</t>
  </si>
  <si>
    <t>FFFDD009</t>
  </si>
  <si>
    <t>['Dist factor of:2.3936', 'Dist multiple:2.3936']</t>
  </si>
  <si>
    <t>FFFBB004</t>
  </si>
  <si>
    <t>r5 FIm</t>
  </si>
  <si>
    <t>['Dist factor of:2.3936']</t>
  </si>
  <si>
    <t>FFFBB005</t>
  </si>
  <si>
    <t>['Dist multiple:2.3936']</t>
  </si>
  <si>
    <t>FFFBB006</t>
  </si>
  <si>
    <t>FFE0A091</t>
  </si>
  <si>
    <t>FFE0A092</t>
  </si>
  <si>
    <t>['Dist factor of:1.6180']</t>
  </si>
  <si>
    <t>FFE0A093</t>
  </si>
  <si>
    <t>FFE0B090</t>
  </si>
  <si>
    <t>['Dist factor of:0.6180']</t>
  </si>
  <si>
    <t>FFE0B091</t>
  </si>
  <si>
    <t>Dist multiple:1.5388</t>
  </si>
  <si>
    <t>Lcnr</t>
  </si>
  <si>
    <t>Dist multiple:0.4755</t>
  </si>
  <si>
    <t>WHs</t>
  </si>
  <si>
    <t>WHb</t>
  </si>
  <si>
    <t>WHc</t>
  </si>
  <si>
    <t>Dist factor of:2.2361, Dist multiple:2.2361</t>
  </si>
  <si>
    <t>Dist multiple:1.4142</t>
  </si>
  <si>
    <t>Dist factor of:4.0000</t>
  </si>
  <si>
    <t>Dist multiple:2.2361</t>
  </si>
  <si>
    <t>Dist multiple:1.3143</t>
  </si>
  <si>
    <t>Dist multiple:4.0000</t>
  </si>
  <si>
    <t>Dist factor of:1.3143</t>
  </si>
  <si>
    <t>elEc</t>
  </si>
  <si>
    <t>Dist factor of:2.3936</t>
  </si>
  <si>
    <t>Dist factor of:2.2883, Dist multiple:2.2883</t>
  </si>
  <si>
    <t>Dist factor of:1.0705</t>
  </si>
  <si>
    <t>elNc</t>
  </si>
  <si>
    <t>Dist factor of:1.7321</t>
  </si>
  <si>
    <t>Dist factor of:1.3143, Dist multiple:1.3143</t>
  </si>
  <si>
    <t>Dist multiple:1.0705</t>
  </si>
  <si>
    <t>Dist multiple:2.3936</t>
  </si>
  <si>
    <t>WH SEcnr</t>
  </si>
  <si>
    <t>Dist factor of:1.5388</t>
  </si>
  <si>
    <t>Dist multiple:1.7321</t>
  </si>
  <si>
    <t>Dist factor of:2.8025, Dist multiple:2.8025</t>
  </si>
  <si>
    <t>Dist factor of:2.3936, Dist multiple:2.3936</t>
  </si>
  <si>
    <t>Dist factor of:1.4142, Dist multiple:1.4142</t>
  </si>
  <si>
    <t>Dist factor of:5.0000, Dist multiple:5.0000</t>
  </si>
  <si>
    <t>MVa</t>
  </si>
  <si>
    <t>WHn</t>
  </si>
  <si>
    <t>Dist factor of:5.0000</t>
  </si>
  <si>
    <t>WHa</t>
  </si>
  <si>
    <t>elSc</t>
  </si>
  <si>
    <t>Dist factor of:0.8740</t>
  </si>
  <si>
    <t>Dist factor of:1.6180</t>
  </si>
  <si>
    <t>Dist factor of:1.5388, Dist factor of:2.3936</t>
  </si>
  <si>
    <t>WHe</t>
  </si>
  <si>
    <t>Dist factor of:3.0000</t>
  </si>
  <si>
    <t>Dist factor of:1.5388, Dist factor of:2.2361</t>
  </si>
  <si>
    <t>Dist factor of:2.2361</t>
  </si>
  <si>
    <t>Dist factor of:0.4755, Dist multiple:0.4755</t>
  </si>
  <si>
    <t>Dist factor of:1.7321, Dist multiple:1.7321</t>
  </si>
  <si>
    <t>Dist factor of:4.0000, Dist factor of:6.2666</t>
  </si>
  <si>
    <t>Dist factor of:0.6180</t>
  </si>
  <si>
    <t>Dist multiple:2.8025</t>
  </si>
  <si>
    <t>elWc</t>
  </si>
  <si>
    <t>Dist factor of:6.2666</t>
  </si>
  <si>
    <t>Dist factor of:2.2883</t>
  </si>
  <si>
    <t>Dist factor of:1.5388, Dist multiple:1.5388</t>
  </si>
  <si>
    <t>Bs</t>
  </si>
  <si>
    <t>Dist factor of:0.4755, Dist factor of:1.7321, Dist factor of:2.2883, Dist factor of:6.2666</t>
  </si>
  <si>
    <t>Dist multiple:2.2883</t>
  </si>
  <si>
    <t>Lz</t>
  </si>
  <si>
    <t>Dist factor of:4.0000, Dist multiple:4.0000</t>
  </si>
  <si>
    <t>Dist factor of:2.8025</t>
  </si>
  <si>
    <t>Dist factor of:0.8740, Dist multiple:0.8740</t>
  </si>
  <si>
    <t>Dist factor of:6.2666, Dist multiple:6.2666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</si>
</sst>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"/>
    <numFmt numFmtId="168" formatCode="0.000000"/>
  </numFmts>
  <fonts count="5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1"/>
      <color rgb="FF0064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rgb="FF7030A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C901FF"/>
      <name val="Aptos Narrow"/>
      <family val="2"/>
      <scheme val="minor"/>
    </font>
    <font>
      <sz val="11"/>
      <color rgb="FF00FF00"/>
      <name val="Aptos Narrow"/>
      <family val="2"/>
      <scheme val="minor"/>
    </font>
    <font>
      <b/>
      <sz val="11"/>
      <color rgb="FF00FF00"/>
      <name val="Aptos Narrow"/>
      <family val="2"/>
      <scheme val="minor"/>
    </font>
    <font>
      <sz val="11"/>
      <color rgb="FFC901FF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7030A0"/>
      <name val="Aptos Narrow"/>
      <scheme val="minor"/>
    </font>
    <font>
      <b/>
      <sz val="11"/>
      <color rgb="FF00640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3820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rgb="FFF913B2"/>
      <name val="Aptos Narrow"/>
      <family val="2"/>
      <scheme val="minor"/>
    </font>
    <font>
      <b/>
      <sz val="11"/>
      <color rgb="FFF913B2"/>
      <name val="Aptos Narrow"/>
      <family val="2"/>
      <scheme val="minor"/>
    </font>
    <font>
      <sz val="11"/>
      <color rgb="FF1428FF"/>
      <name val="Aptos Narrow"/>
      <family val="2"/>
      <scheme val="minor"/>
    </font>
    <font>
      <b/>
      <sz val="11"/>
      <color rgb="FF1428FF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F3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1" fillId="0" borderId="10" xfId="0" applyFont="1" applyBorder="1"/>
    <xf numFmtId="0" fontId="22" fillId="0" borderId="0" xfId="0" applyFont="1"/>
    <xf numFmtId="0" fontId="21" fillId="0" borderId="10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0" fillId="0" borderId="11" xfId="0" applyBorder="1" applyAlignment="1">
      <alignment horizontal="center" vertical="center"/>
    </xf>
    <xf numFmtId="0" fontId="22" fillId="0" borderId="12" xfId="0" applyFont="1" applyBorder="1"/>
    <xf numFmtId="0" fontId="21" fillId="0" borderId="11" xfId="0" applyFont="1" applyBorder="1"/>
    <xf numFmtId="0" fontId="21" fillId="0" borderId="11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1" fillId="0" borderId="12" xfId="0" applyFont="1" applyBorder="1"/>
    <xf numFmtId="1" fontId="22" fillId="0" borderId="0" xfId="0" applyNumberFormat="1" applyFont="1"/>
    <xf numFmtId="164" fontId="21" fillId="0" borderId="10" xfId="0" applyNumberFormat="1" applyFont="1" applyBorder="1"/>
    <xf numFmtId="165" fontId="21" fillId="0" borderId="10" xfId="0" applyNumberFormat="1" applyFont="1" applyBorder="1" applyAlignment="1">
      <alignment horizontal="center"/>
    </xf>
    <xf numFmtId="1" fontId="22" fillId="0" borderId="0" xfId="0" applyNumberFormat="1" applyFont="1" applyAlignment="1">
      <alignment horizontal="center"/>
    </xf>
    <xf numFmtId="165" fontId="21" fillId="0" borderId="10" xfId="0" applyNumberFormat="1" applyFont="1" applyBorder="1"/>
    <xf numFmtId="165" fontId="21" fillId="0" borderId="0" xfId="0" applyNumberFormat="1" applyFont="1"/>
    <xf numFmtId="1" fontId="22" fillId="0" borderId="12" xfId="0" applyNumberFormat="1" applyFont="1" applyBorder="1"/>
    <xf numFmtId="165" fontId="23" fillId="0" borderId="11" xfId="0" applyNumberFormat="1" applyFont="1" applyBorder="1"/>
    <xf numFmtId="165" fontId="21" fillId="0" borderId="11" xfId="0" applyNumberFormat="1" applyFont="1" applyBorder="1" applyAlignment="1">
      <alignment horizontal="center"/>
    </xf>
    <xf numFmtId="1" fontId="22" fillId="0" borderId="12" xfId="0" applyNumberFormat="1" applyFont="1" applyBorder="1" applyAlignment="1">
      <alignment horizontal="center"/>
    </xf>
    <xf numFmtId="165" fontId="21" fillId="0" borderId="11" xfId="0" applyNumberFormat="1" applyFont="1" applyBorder="1"/>
    <xf numFmtId="165" fontId="21" fillId="0" borderId="12" xfId="0" applyNumberFormat="1" applyFont="1" applyBorder="1"/>
    <xf numFmtId="1" fontId="24" fillId="0" borderId="0" xfId="0" applyNumberFormat="1" applyFont="1"/>
    <xf numFmtId="165" fontId="25" fillId="0" borderId="10" xfId="0" applyNumberFormat="1" applyFont="1" applyBorder="1" applyAlignment="1">
      <alignment horizontal="center"/>
    </xf>
    <xf numFmtId="1" fontId="24" fillId="0" borderId="0" xfId="0" applyNumberFormat="1" applyFont="1" applyAlignment="1">
      <alignment horizontal="center"/>
    </xf>
    <xf numFmtId="165" fontId="25" fillId="0" borderId="10" xfId="0" applyNumberFormat="1" applyFont="1" applyBorder="1"/>
    <xf numFmtId="165" fontId="23" fillId="0" borderId="0" xfId="0" applyNumberFormat="1" applyFont="1"/>
    <xf numFmtId="165" fontId="23" fillId="0" borderId="10" xfId="0" applyNumberFormat="1" applyFont="1" applyBorder="1"/>
    <xf numFmtId="165" fontId="23" fillId="0" borderId="10" xfId="0" applyNumberFormat="1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1" fontId="22" fillId="0" borderId="14" xfId="0" applyNumberFormat="1" applyFont="1" applyBorder="1"/>
    <xf numFmtId="165" fontId="21" fillId="0" borderId="13" xfId="0" applyNumberFormat="1" applyFont="1" applyBorder="1"/>
    <xf numFmtId="165" fontId="21" fillId="0" borderId="13" xfId="0" applyNumberFormat="1" applyFont="1" applyBorder="1" applyAlignment="1">
      <alignment horizontal="center"/>
    </xf>
    <xf numFmtId="1" fontId="22" fillId="0" borderId="14" xfId="0" applyNumberFormat="1" applyFont="1" applyBorder="1" applyAlignment="1">
      <alignment horizontal="center"/>
    </xf>
    <xf numFmtId="165" fontId="21" fillId="0" borderId="14" xfId="0" applyNumberFormat="1" applyFont="1" applyBorder="1"/>
    <xf numFmtId="165" fontId="2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center" vertical="center"/>
    </xf>
    <xf numFmtId="164" fontId="25" fillId="0" borderId="0" xfId="0" applyNumberFormat="1" applyFont="1" applyAlignment="1">
      <alignment horizontal="right"/>
    </xf>
    <xf numFmtId="1" fontId="27" fillId="0" borderId="0" xfId="0" applyNumberFormat="1" applyFont="1" applyAlignment="1">
      <alignment horizontal="right"/>
    </xf>
    <xf numFmtId="1" fontId="26" fillId="0" borderId="0" xfId="0" applyNumberFormat="1" applyFont="1" applyAlignment="1">
      <alignment horizontal="right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4" fontId="29" fillId="0" borderId="0" xfId="0" applyNumberFormat="1" applyFont="1" applyAlignment="1">
      <alignment horizontal="right" vertical="center"/>
    </xf>
    <xf numFmtId="1" fontId="29" fillId="0" borderId="0" xfId="0" applyNumberFormat="1" applyFont="1" applyAlignment="1">
      <alignment horizontal="right" vertical="center"/>
    </xf>
    <xf numFmtId="164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0" fontId="0" fillId="0" borderId="10" xfId="0" applyBorder="1"/>
    <xf numFmtId="0" fontId="24" fillId="0" borderId="0" xfId="0" applyFont="1" applyAlignment="1">
      <alignment horizontal="left" vertical="center"/>
    </xf>
    <xf numFmtId="0" fontId="30" fillId="0" borderId="15" xfId="0" applyFont="1" applyBorder="1" applyAlignment="1">
      <alignment horizontal="center"/>
    </xf>
    <xf numFmtId="0" fontId="30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right"/>
    </xf>
    <xf numFmtId="0" fontId="32" fillId="0" borderId="16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33" fillId="0" borderId="0" xfId="0" applyNumberFormat="1" applyFont="1" applyAlignment="1">
      <alignment horizontal="center"/>
    </xf>
    <xf numFmtId="165" fontId="34" fillId="0" borderId="10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2" fontId="33" fillId="0" borderId="0" xfId="0" applyNumberFormat="1" applyFont="1" applyAlignment="1">
      <alignment horizontal="center"/>
    </xf>
    <xf numFmtId="0" fontId="34" fillId="0" borderId="10" xfId="0" applyFont="1" applyBorder="1"/>
    <xf numFmtId="0" fontId="31" fillId="0" borderId="0" xfId="0" applyFont="1" applyAlignment="1">
      <alignment horizontal="center"/>
    </xf>
    <xf numFmtId="2" fontId="35" fillId="0" borderId="0" xfId="0" applyNumberFormat="1" applyFont="1" applyAlignment="1">
      <alignment horizontal="center"/>
    </xf>
    <xf numFmtId="2" fontId="36" fillId="33" borderId="10" xfId="0" applyNumberFormat="1" applyFont="1" applyFill="1" applyBorder="1" applyAlignment="1">
      <alignment horizontal="center" vertical="center"/>
    </xf>
    <xf numFmtId="165" fontId="37" fillId="0" borderId="0" xfId="0" applyNumberFormat="1" applyFont="1" applyAlignment="1">
      <alignment horizontal="center"/>
    </xf>
    <xf numFmtId="165" fontId="38" fillId="0" borderId="0" xfId="0" applyNumberFormat="1" applyFont="1" applyAlignment="1">
      <alignment horizontal="center"/>
    </xf>
    <xf numFmtId="0" fontId="37" fillId="0" borderId="0" xfId="0" applyFont="1"/>
    <xf numFmtId="165" fontId="39" fillId="0" borderId="0" xfId="0" applyNumberFormat="1" applyFont="1" applyAlignment="1">
      <alignment horizontal="center"/>
    </xf>
    <xf numFmtId="2" fontId="40" fillId="0" borderId="0" xfId="0" applyNumberFormat="1" applyFont="1" applyAlignment="1">
      <alignment horizontal="center"/>
    </xf>
    <xf numFmtId="2" fontId="38" fillId="0" borderId="0" xfId="0" applyNumberFormat="1" applyFont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0" fontId="37" fillId="0" borderId="0" xfId="0" applyFont="1" applyAlignment="1">
      <alignment horizontal="center"/>
    </xf>
    <xf numFmtId="165" fontId="19" fillId="0" borderId="0" xfId="0" applyNumberFormat="1" applyFont="1" applyAlignment="1">
      <alignment horizontal="center"/>
    </xf>
    <xf numFmtId="165" fontId="21" fillId="0" borderId="10" xfId="0" applyNumberFormat="1" applyFont="1" applyBorder="1" applyAlignment="1">
      <alignment horizontal="center" vertical="center"/>
    </xf>
    <xf numFmtId="2" fontId="19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2" fontId="21" fillId="0" borderId="10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2" fontId="0" fillId="0" borderId="10" xfId="0" applyNumberFormat="1" applyBorder="1"/>
    <xf numFmtId="0" fontId="3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31" fillId="0" borderId="17" xfId="0" applyFont="1" applyBorder="1" applyAlignment="1">
      <alignment horizontal="center"/>
    </xf>
    <xf numFmtId="2" fontId="16" fillId="33" borderId="16" xfId="0" applyNumberFormat="1" applyFont="1" applyFill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5" xfId="0" applyNumberFormat="1" applyBorder="1"/>
    <xf numFmtId="0" fontId="28" fillId="0" borderId="0" xfId="0" applyFont="1" applyAlignment="1">
      <alignment horizontal="left" vertical="center"/>
    </xf>
    <xf numFmtId="1" fontId="0" fillId="0" borderId="0" xfId="0" applyNumberFormat="1" applyAlignment="1">
      <alignment horizontal="center"/>
    </xf>
    <xf numFmtId="1" fontId="35" fillId="0" borderId="0" xfId="0" applyNumberFormat="1" applyFont="1" applyAlignment="1">
      <alignment horizontal="center"/>
    </xf>
    <xf numFmtId="1" fontId="36" fillId="33" borderId="10" xfId="0" applyNumberFormat="1" applyFont="1" applyFill="1" applyBorder="1" applyAlignment="1">
      <alignment horizontal="center" vertical="center"/>
    </xf>
    <xf numFmtId="1" fontId="40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1" fontId="0" fillId="0" borderId="10" xfId="0" applyNumberFormat="1" applyBorder="1" applyAlignment="1">
      <alignment horizontal="center" vertical="center"/>
    </xf>
    <xf numFmtId="1" fontId="37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" fontId="21" fillId="0" borderId="10" xfId="0" applyNumberFormat="1" applyFont="1" applyBorder="1" applyAlignment="1">
      <alignment horizontal="center" vertical="center"/>
    </xf>
    <xf numFmtId="1" fontId="33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36" fillId="33" borderId="0" xfId="0" applyNumberFormat="1" applyFont="1" applyFill="1" applyAlignment="1">
      <alignment horizontal="center"/>
    </xf>
    <xf numFmtId="11" fontId="33" fillId="0" borderId="0" xfId="0" applyNumberFormat="1" applyFont="1" applyAlignment="1">
      <alignment horizontal="center"/>
    </xf>
    <xf numFmtId="11" fontId="37" fillId="0" borderId="0" xfId="0" applyNumberFormat="1" applyFont="1" applyAlignment="1">
      <alignment horizontal="center"/>
    </xf>
    <xf numFmtId="11" fontId="19" fillId="0" borderId="0" xfId="0" applyNumberFormat="1" applyFont="1" applyAlignment="1">
      <alignment horizontal="center"/>
    </xf>
    <xf numFmtId="0" fontId="16" fillId="0" borderId="0" xfId="0" applyFont="1"/>
    <xf numFmtId="0" fontId="24" fillId="0" borderId="0" xfId="0" applyFont="1" applyAlignment="1">
      <alignment horizontal="center"/>
    </xf>
    <xf numFmtId="166" fontId="24" fillId="0" borderId="0" xfId="0" applyNumberFormat="1" applyFont="1"/>
    <xf numFmtId="0" fontId="24" fillId="0" borderId="0" xfId="0" applyFont="1" applyAlignment="1">
      <alignment horizontal="right"/>
    </xf>
    <xf numFmtId="166" fontId="35" fillId="0" borderId="0" xfId="0" applyNumberFormat="1" applyFont="1"/>
    <xf numFmtId="166" fontId="41" fillId="0" borderId="0" xfId="0" applyNumberFormat="1" applyFont="1"/>
    <xf numFmtId="0" fontId="19" fillId="0" borderId="0" xfId="0" applyFont="1" applyAlignment="1">
      <alignment horizontal="right"/>
    </xf>
    <xf numFmtId="0" fontId="19" fillId="0" borderId="0" xfId="0" applyFont="1"/>
    <xf numFmtId="166" fontId="14" fillId="0" borderId="0" xfId="0" applyNumberFormat="1" applyFont="1"/>
    <xf numFmtId="166" fontId="19" fillId="0" borderId="0" xfId="0" applyNumberFormat="1" applyFont="1"/>
    <xf numFmtId="0" fontId="40" fillId="0" borderId="0" xfId="0" applyFont="1"/>
    <xf numFmtId="0" fontId="42" fillId="0" borderId="0" xfId="0" applyFont="1" applyAlignment="1">
      <alignment horizontal="center" vertical="center"/>
    </xf>
    <xf numFmtId="0" fontId="33" fillId="0" borderId="0" xfId="0" applyFont="1"/>
    <xf numFmtId="164" fontId="35" fillId="34" borderId="0" xfId="0" applyNumberFormat="1" applyFont="1" applyFill="1"/>
    <xf numFmtId="164" fontId="35" fillId="35" borderId="0" xfId="0" applyNumberFormat="1" applyFont="1" applyFill="1"/>
    <xf numFmtId="164" fontId="35" fillId="36" borderId="0" xfId="0" applyNumberFormat="1" applyFont="1" applyFill="1"/>
    <xf numFmtId="164" fontId="35" fillId="36" borderId="0" xfId="0" applyNumberFormat="1" applyFont="1" applyFill="1" applyAlignment="1">
      <alignment horizontal="center" vertical="center"/>
    </xf>
    <xf numFmtId="0" fontId="43" fillId="0" borderId="0" xfId="0" applyFont="1"/>
    <xf numFmtId="0" fontId="0" fillId="0" borderId="12" xfId="0" applyBorder="1"/>
    <xf numFmtId="164" fontId="44" fillId="0" borderId="12" xfId="0" applyNumberFormat="1" applyFont="1" applyBorder="1"/>
    <xf numFmtId="0" fontId="44" fillId="0" borderId="12" xfId="0" applyFont="1" applyBorder="1"/>
    <xf numFmtId="0" fontId="44" fillId="0" borderId="12" xfId="0" applyFont="1" applyBorder="1" applyAlignment="1">
      <alignment horizontal="center" vertical="center"/>
    </xf>
    <xf numFmtId="164" fontId="0" fillId="0" borderId="10" xfId="0" applyNumberFormat="1" applyBorder="1"/>
    <xf numFmtId="0" fontId="35" fillId="0" borderId="0" xfId="0" applyFont="1"/>
    <xf numFmtId="14" fontId="0" fillId="0" borderId="0" xfId="0" applyNumberFormat="1"/>
    <xf numFmtId="165" fontId="40" fillId="0" borderId="0" xfId="0" applyNumberFormat="1" applyFont="1"/>
    <xf numFmtId="164" fontId="42" fillId="0" borderId="0" xfId="0" applyNumberFormat="1" applyFont="1" applyAlignment="1">
      <alignment horizontal="center" vertical="center"/>
    </xf>
    <xf numFmtId="1" fontId="44" fillId="0" borderId="12" xfId="0" applyNumberFormat="1" applyFont="1" applyBorder="1"/>
    <xf numFmtId="0" fontId="45" fillId="0" borderId="0" xfId="0" applyFont="1" applyAlignment="1">
      <alignment horizontal="center"/>
    </xf>
    <xf numFmtId="2" fontId="45" fillId="0" borderId="0" xfId="0" applyNumberFormat="1" applyFont="1"/>
    <xf numFmtId="0" fontId="45" fillId="0" borderId="0" xfId="0" applyFont="1" applyAlignment="1">
      <alignment horizontal="right"/>
    </xf>
    <xf numFmtId="0" fontId="45" fillId="0" borderId="0" xfId="0" applyFont="1"/>
    <xf numFmtId="168" fontId="44" fillId="0" borderId="12" xfId="0" applyNumberFormat="1" applyFont="1" applyBorder="1"/>
    <xf numFmtId="0" fontId="0" fillId="0" borderId="19" xfId="0" applyBorder="1"/>
    <xf numFmtId="166" fontId="0" fillId="0" borderId="0" xfId="0" applyNumberFormat="1" applyAlignment="1">
      <alignment horizontal="center" vertical="center"/>
    </xf>
    <xf numFmtId="164" fontId="34" fillId="0" borderId="0" xfId="0" applyNumberFormat="1" applyFont="1"/>
    <xf numFmtId="166" fontId="47" fillId="0" borderId="0" xfId="0" applyNumberFormat="1" applyFont="1" applyAlignment="1">
      <alignment horizontal="center" vertical="center"/>
    </xf>
    <xf numFmtId="167" fontId="0" fillId="0" borderId="0" xfId="0" applyNumberFormat="1"/>
    <xf numFmtId="2" fontId="48" fillId="0" borderId="0" xfId="0" applyNumberFormat="1" applyFont="1" applyAlignment="1">
      <alignment horizontal="center" vertical="center"/>
    </xf>
    <xf numFmtId="0" fontId="14" fillId="0" borderId="0" xfId="0" applyFont="1"/>
    <xf numFmtId="0" fontId="49" fillId="0" borderId="0" xfId="0" applyFont="1"/>
    <xf numFmtId="2" fontId="50" fillId="0" borderId="0" xfId="0" applyNumberFormat="1" applyFont="1" applyAlignment="1">
      <alignment horizontal="center" vertical="center"/>
    </xf>
    <xf numFmtId="164" fontId="51" fillId="0" borderId="0" xfId="0" applyNumberFormat="1" applyFont="1" applyAlignment="1">
      <alignment horizontal="center" vertical="center"/>
    </xf>
    <xf numFmtId="166" fontId="48" fillId="0" borderId="0" xfId="0" applyNumberFormat="1" applyFont="1" applyAlignment="1">
      <alignment horizontal="center" vertical="center"/>
    </xf>
    <xf numFmtId="166" fontId="5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38" borderId="18" xfId="0" applyFill="1" applyBorder="1"/>
    <xf numFmtId="0" fontId="0" fillId="38" borderId="19" xfId="0" applyFill="1" applyBorder="1"/>
    <xf numFmtId="164" fontId="54" fillId="38" borderId="19" xfId="0" applyNumberFormat="1" applyFont="1" applyFill="1" applyBorder="1"/>
    <xf numFmtId="1" fontId="52" fillId="38" borderId="19" xfId="0" applyNumberFormat="1" applyFont="1" applyFill="1" applyBorder="1"/>
    <xf numFmtId="166" fontId="21" fillId="38" borderId="19" xfId="0" applyNumberFormat="1" applyFont="1" applyFill="1" applyBorder="1" applyAlignment="1">
      <alignment horizontal="center" vertical="center"/>
    </xf>
    <xf numFmtId="166" fontId="20" fillId="38" borderId="20" xfId="0" applyNumberFormat="1" applyFont="1" applyFill="1" applyBorder="1" applyAlignment="1">
      <alignment horizontal="center" vertical="center"/>
    </xf>
    <xf numFmtId="0" fontId="0" fillId="37" borderId="18" xfId="0" applyFill="1" applyBorder="1"/>
    <xf numFmtId="0" fontId="0" fillId="37" borderId="19" xfId="0" applyFill="1" applyBorder="1"/>
    <xf numFmtId="164" fontId="54" fillId="37" borderId="19" xfId="0" applyNumberFormat="1" applyFont="1" applyFill="1" applyBorder="1"/>
    <xf numFmtId="1" fontId="52" fillId="37" borderId="19" xfId="0" applyNumberFormat="1" applyFont="1" applyFill="1" applyBorder="1"/>
    <xf numFmtId="166" fontId="21" fillId="37" borderId="19" xfId="0" applyNumberFormat="1" applyFont="1" applyFill="1" applyBorder="1" applyAlignment="1">
      <alignment horizontal="center" vertical="center"/>
    </xf>
    <xf numFmtId="166" fontId="20" fillId="37" borderId="20" xfId="0" applyNumberFormat="1" applyFont="1" applyFill="1" applyBorder="1" applyAlignment="1">
      <alignment horizontal="center" vertical="center"/>
    </xf>
    <xf numFmtId="0" fontId="16" fillId="34" borderId="18" xfId="0" applyFont="1" applyFill="1" applyBorder="1"/>
    <xf numFmtId="0" fontId="16" fillId="34" borderId="19" xfId="0" applyFont="1" applyFill="1" applyBorder="1"/>
    <xf numFmtId="164" fontId="55" fillId="34" borderId="19" xfId="0" applyNumberFormat="1" applyFont="1" applyFill="1" applyBorder="1"/>
    <xf numFmtId="1" fontId="53" fillId="34" borderId="19" xfId="0" applyNumberFormat="1" applyFont="1" applyFill="1" applyBorder="1"/>
    <xf numFmtId="166" fontId="25" fillId="34" borderId="19" xfId="0" applyNumberFormat="1" applyFont="1" applyFill="1" applyBorder="1" applyAlignment="1">
      <alignment horizontal="center" vertical="center"/>
    </xf>
    <xf numFmtId="166" fontId="46" fillId="34" borderId="20" xfId="0" applyNumberFormat="1" applyFont="1" applyFill="1" applyBorder="1" applyAlignment="1">
      <alignment horizontal="center" vertical="center"/>
    </xf>
    <xf numFmtId="0" fontId="0" fillId="0" borderId="18" xfId="0" applyBorder="1"/>
    <xf numFmtId="164" fontId="54" fillId="0" borderId="19" xfId="0" applyNumberFormat="1" applyFont="1" applyBorder="1"/>
    <xf numFmtId="1" fontId="52" fillId="0" borderId="19" xfId="0" applyNumberFormat="1" applyFont="1" applyBorder="1"/>
    <xf numFmtId="166" fontId="21" fillId="0" borderId="19" xfId="0" applyNumberFormat="1" applyFont="1" applyBorder="1" applyAlignment="1">
      <alignment horizontal="center" vertical="center"/>
    </xf>
    <xf numFmtId="166" fontId="20" fillId="0" borderId="20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19" xfId="0" applyNumberFormat="1" applyBorder="1" applyAlignment="1">
      <alignment horizontal="center" vertical="center"/>
    </xf>
    <xf numFmtId="167" fontId="0" fillId="0" borderId="0" xfId="0" applyNumberFormat="1" applyAlignment="1">
      <alignment horizontal="right"/>
    </xf>
    <xf numFmtId="0" fontId="18" fillId="0" borderId="21" xfId="0" applyFont="1" applyBorder="1" applyAlignment="1">
      <alignment vertical="center"/>
    </xf>
    <xf numFmtId="0" fontId="0" fillId="0" borderId="22" xfId="0" applyBorder="1"/>
    <xf numFmtId="167" fontId="0" fillId="0" borderId="22" xfId="0" applyNumberFormat="1" applyBorder="1" applyAlignment="1">
      <alignment horizontal="right"/>
    </xf>
    <xf numFmtId="1" fontId="0" fillId="0" borderId="22" xfId="0" applyNumberFormat="1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vertical="center"/>
    </xf>
    <xf numFmtId="2" fontId="0" fillId="0" borderId="25" xfId="0" applyNumberFormat="1" applyBorder="1" applyAlignment="1">
      <alignment horizontal="right"/>
    </xf>
    <xf numFmtId="0" fontId="0" fillId="0" borderId="26" xfId="0" applyBorder="1" applyAlignment="1">
      <alignment vertical="center"/>
    </xf>
    <xf numFmtId="167" fontId="0" fillId="0" borderId="12" xfId="0" applyNumberFormat="1" applyBorder="1" applyAlignment="1">
      <alignment horizontal="right"/>
    </xf>
    <xf numFmtId="1" fontId="0" fillId="0" borderId="12" xfId="0" applyNumberFormat="1" applyBorder="1" applyAlignment="1">
      <alignment horizontal="right"/>
    </xf>
    <xf numFmtId="2" fontId="0" fillId="0" borderId="27" xfId="0" applyNumberFormat="1" applyBorder="1" applyAlignment="1">
      <alignment horizontal="right"/>
    </xf>
    <xf numFmtId="0" fontId="56" fillId="0" borderId="0" xfId="0" applyFont="1"/>
    <xf numFmtId="167" fontId="21" fillId="0" borderId="0" xfId="0" applyNumberFormat="1" applyFont="1"/>
    <xf numFmtId="167" fontId="22" fillId="0" borderId="0" xfId="0" applyNumberFormat="1" applyFont="1"/>
    <xf numFmtId="167" fontId="21" fillId="0" borderId="0" xfId="0" applyNumberFormat="1" applyFont="1" applyAlignment="1">
      <alignment horizontal="center"/>
    </xf>
    <xf numFmtId="167" fontId="22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8" tint="0.39997558519241921"/>
        <name val="Aptos Narrow"/>
        <family val="2"/>
        <scheme val="minor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8" tint="0.39997558519241921"/>
        <name val="Aptos Narrow"/>
        <family val="2"/>
        <scheme val="minor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2060"/>
        <name val="Aptos Narrow"/>
        <family val="2"/>
        <scheme val="minor"/>
      </font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numFmt numFmtId="166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164" formatCode="0.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38200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</dxfs>
  <tableStyles count="0" defaultTableStyle="TableStyleMedium2" defaultPivotStyle="PivotStyleLight16"/>
  <colors>
    <mruColors>
      <color rgb="FF1428FF"/>
      <color rgb="FFF913B2"/>
      <color rgb="FF006400"/>
      <color rgb="FF038200"/>
      <color rgb="FF05E200"/>
      <color rgb="FFC8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cuments\Local_Data\WashDC\data\geomeasures.xlsx" TargetMode="External"/><Relationship Id="rId1" Type="http://schemas.openxmlformats.org/officeDocument/2006/relationships/externalLinkPath" Target="/Users/David/Documents/Local_Data/WashDC/data/geomeas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ad table"/>
      <sheetName val="locpnts"/>
      <sheetName val="tridata_mall"/>
      <sheetName val="distances"/>
      <sheetName val="angles"/>
    </sheetNames>
    <sheetDataSet>
      <sheetData sheetId="0">
        <row r="2">
          <cell r="A2" t="str">
            <v>CAP2</v>
          </cell>
        </row>
        <row r="3">
          <cell r="A3" t="str">
            <v>CAP2KEY</v>
          </cell>
        </row>
        <row r="4">
          <cell r="A4" t="str">
            <v>CAP3</v>
          </cell>
        </row>
        <row r="5">
          <cell r="A5" t="str">
            <v>CAP3KEY</v>
          </cell>
        </row>
        <row r="6">
          <cell r="A6" t="str">
            <v>CAP5</v>
          </cell>
        </row>
        <row r="7">
          <cell r="A7" t="str">
            <v>CAP5KEY</v>
          </cell>
        </row>
        <row r="8">
          <cell r="A8" t="str">
            <v>JP3</v>
          </cell>
        </row>
        <row r="9">
          <cell r="A9" t="str">
            <v>KEYJP2</v>
          </cell>
        </row>
        <row r="10">
          <cell r="A10" t="str">
            <v>KEYN0</v>
          </cell>
        </row>
        <row r="11">
          <cell r="A11" t="str">
            <v>KEYS0</v>
          </cell>
        </row>
        <row r="12">
          <cell r="A12" t="str">
            <v>AN</v>
          </cell>
        </row>
        <row r="13">
          <cell r="A13" t="str">
            <v>PEN</v>
          </cell>
        </row>
        <row r="14">
          <cell r="A14" t="str">
            <v>PO</v>
          </cell>
        </row>
        <row r="15">
          <cell r="A15" t="str">
            <v>RC</v>
          </cell>
        </row>
      </sheetData>
      <sheetData sheetId="1"/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1D69C6F3-A71A-45D7-BEDC-BB0CC5F12EA2}" autoFormatId="16" applyNumberFormats="0" applyBorderFormats="0" applyFontFormats="0" applyPatternFormats="0" applyAlignmentFormats="0" applyWidthHeightFormats="0">
  <queryTableRefresh nextId="13">
    <queryTableFields count="12">
      <queryTableField id="1" name="P1" tableColumnId="1"/>
      <queryTableField id="2" name="P1_lat" tableColumnId="2"/>
      <queryTableField id="3" name="P1_lon" tableColumnId="3"/>
      <queryTableField id="4" name="P2" tableColumnId="4"/>
      <queryTableField id="5" name="P2_lat" tableColumnId="5"/>
      <queryTableField id="6" name="P2_lon" tableColumnId="6"/>
      <queryTableField id="7" name="Dist" tableColumnId="7"/>
      <queryTableField id="8" name="Az12" tableColumnId="8"/>
      <queryTableField id="9" name="Az21" tableColumnId="9"/>
      <queryTableField id="10" name="BackAz12" tableColumnId="10"/>
      <queryTableField id="11" name="BackAz21" tableColumnId="11"/>
      <queryTableField id="12" name="Reason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CD76B46-FEA9-419C-B8F0-F8493B110BC3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P1" tableColumnId="1"/>
      <queryTableField id="2" name="P1_lat" tableColumnId="2"/>
      <queryTableField id="3" name="P1_lon" tableColumnId="3"/>
      <queryTableField id="4" name="P2" tableColumnId="4"/>
      <queryTableField id="5" name="P2_lat" tableColumnId="5"/>
      <queryTableField id="6" name="P2_lon" tableColumnId="6"/>
      <queryTableField id="7" name="Dist" tableColumnId="7"/>
      <queryTableField id="8" name="Az12" tableColumnId="8"/>
      <queryTableField id="9" name="Az21" tableColumnId="9"/>
      <queryTableField id="10" name="BackAz12" tableColumnId="10"/>
      <queryTableField id="11" name="BackAz21" tableColumnId="11"/>
      <queryTableField id="12" name="Reason" tableColumnId="12"/>
      <queryTableField id="13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E6160A3-70F9-49A8-B991-3935DB0779F3}" autoFormatId="16" applyNumberFormats="0" applyBorderFormats="0" applyFontFormats="0" applyPatternFormats="0" applyAlignmentFormats="0" applyWidthHeightFormats="0">
  <queryTableRefresh nextId="13">
    <queryTableFields count="12">
      <queryTableField id="1" name="P1" tableColumnId="1"/>
      <queryTableField id="2" name="P1_lat" tableColumnId="2"/>
      <queryTableField id="3" name="P1_lon" tableColumnId="3"/>
      <queryTableField id="4" name="P2" tableColumnId="4"/>
      <queryTableField id="5" name="P2_lat" tableColumnId="5"/>
      <queryTableField id="6" name="P2_lon" tableColumnId="6"/>
      <queryTableField id="7" name="Dist" tableColumnId="7"/>
      <queryTableField id="8" name="Az12" tableColumnId="8"/>
      <queryTableField id="9" name="Az21" tableColumnId="9"/>
      <queryTableField id="10" name="BackAz12" tableColumnId="10"/>
      <queryTableField id="11" name="BackAz21" tableColumnId="11"/>
      <queryTableField id="12" name="Reason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DA37733-8E3D-49AE-A0D9-1722BEBEAEE4}" autoFormatId="16" applyNumberFormats="0" applyBorderFormats="0" applyFontFormats="0" applyPatternFormats="0" applyAlignmentFormats="0" applyWidthHeightFormats="0">
  <queryTableRefresh nextId="13">
    <queryTableFields count="12">
      <queryTableField id="1" name="P1" tableColumnId="1"/>
      <queryTableField id="2" name="P1_lat" tableColumnId="2"/>
      <queryTableField id="3" name="P1_lon" tableColumnId="3"/>
      <queryTableField id="4" name="P2" tableColumnId="4"/>
      <queryTableField id="5" name="P2_lat" tableColumnId="5"/>
      <queryTableField id="6" name="P2_lon" tableColumnId="6"/>
      <queryTableField id="7" name="Dist" tableColumnId="7"/>
      <queryTableField id="8" name="Az12" tableColumnId="8"/>
      <queryTableField id="9" name="Az21" tableColumnId="9"/>
      <queryTableField id="10" name="BackAz12" tableColumnId="10"/>
      <queryTableField id="11" name="BackAz21" tableColumnId="11"/>
      <queryTableField id="12" name="Reas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B0363B-8A96-4F65-80C1-F1CAFA852856}" name="az_mix" displayName="az_mix" ref="A1:L450" tableType="queryTable" totalsRowShown="0">
  <autoFilter ref="A1:L450" xr:uid="{F0B0363B-8A96-4F65-80C1-F1CAFA852856}"/>
  <sortState xmlns:xlrd2="http://schemas.microsoft.com/office/spreadsheetml/2017/richdata2" ref="A2:L450">
    <sortCondition ref="L1:L450"/>
  </sortState>
  <tableColumns count="12">
    <tableColumn id="1" xr3:uid="{C2575A15-6FA1-4D33-B6A5-7D9FD7CFA247}" uniqueName="1" name="P1" queryTableFieldId="1" dataDxfId="18"/>
    <tableColumn id="2" xr3:uid="{B381A827-8891-4D50-823B-4CC867F582D3}" uniqueName="2" name="P1_lat" queryTableFieldId="2"/>
    <tableColumn id="3" xr3:uid="{290FCAC1-A5CB-4174-9CB1-AE9EDCB6EFC9}" uniqueName="3" name="P1_lon" queryTableFieldId="3"/>
    <tableColumn id="4" xr3:uid="{6E268E56-ACD0-48D9-B01D-1F133D054C21}" uniqueName="4" name="P2" queryTableFieldId="4" dataDxfId="17"/>
    <tableColumn id="5" xr3:uid="{07E983CA-8F6E-48E0-94D0-441489198ECD}" uniqueName="5" name="P2_lat" queryTableFieldId="5"/>
    <tableColumn id="6" xr3:uid="{BF771CA3-CA0E-4631-BE90-B91799441ECA}" uniqueName="6" name="P2_lon" queryTableFieldId="6"/>
    <tableColumn id="7" xr3:uid="{01B9C8AD-00BF-4834-971C-252DAAF1B473}" uniqueName="7" name="Dist" queryTableFieldId="7" dataDxfId="16"/>
    <tableColumn id="8" xr3:uid="{176559E4-F866-4B5E-9837-9EE3EEA89908}" uniqueName="8" name="Az12" queryTableFieldId="8" dataDxfId="15"/>
    <tableColumn id="9" xr3:uid="{76F6018F-481F-4147-9727-CCA1DE75DD28}" uniqueName="9" name="Az21" queryTableFieldId="9" dataDxfId="14"/>
    <tableColumn id="10" xr3:uid="{64E53D62-897B-4E8A-B832-2C158FB7F9E5}" uniqueName="10" name="BackAz12" queryTableFieldId="10"/>
    <tableColumn id="11" xr3:uid="{0710581C-A17C-45EC-9A82-5CC0815129ED}" uniqueName="11" name="BackAz21" queryTableFieldId="11"/>
    <tableColumn id="12" xr3:uid="{FA22097D-E654-49CD-A209-22E9A1FF7625}" uniqueName="12" name="Reason" queryTableFieldId="12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FFD5E-B7FB-48A4-8491-814E649F5F02}" name="d_mix" displayName="d_mix" ref="A1:M210" tableType="queryTable" totalsRowShown="0">
  <autoFilter ref="A1:M210" xr:uid="{075FFD5E-B7FB-48A4-8491-814E649F5F02}"/>
  <sortState xmlns:xlrd2="http://schemas.microsoft.com/office/spreadsheetml/2017/richdata2" ref="A2:M210">
    <sortCondition ref="A1:A210"/>
  </sortState>
  <tableColumns count="13">
    <tableColumn id="1" xr3:uid="{82593DB2-BE37-4FA7-B8A2-F46B902AA1E7}" uniqueName="1" name="P1" queryTableFieldId="1" dataDxfId="12"/>
    <tableColumn id="2" xr3:uid="{221C89DA-0FD5-4313-85A9-79F87F292536}" uniqueName="2" name="P1_lat" queryTableFieldId="2"/>
    <tableColumn id="3" xr3:uid="{09E15986-8D92-4939-BB3B-91FCAA35F76B}" uniqueName="3" name="P1_lon" queryTableFieldId="3"/>
    <tableColumn id="4" xr3:uid="{2F55973F-E1E3-4A76-8654-4545FD592A23}" uniqueName="4" name="P2" queryTableFieldId="4" dataDxfId="11"/>
    <tableColumn id="5" xr3:uid="{B47F6F96-01B1-4B60-A7B5-F49C53856C59}" uniqueName="5" name="P2_lat" queryTableFieldId="5"/>
    <tableColumn id="6" xr3:uid="{51BED546-104B-4EC8-9559-4347C7A3193A}" uniqueName="6" name="P2_lon" queryTableFieldId="6"/>
    <tableColumn id="7" xr3:uid="{ADCD81FB-5C18-4ACC-B60A-D7C97306A049}" uniqueName="7" name="Dist" queryTableFieldId="7" dataDxfId="10"/>
    <tableColumn id="8" xr3:uid="{B4025E51-1B6F-4B0B-9929-CA2748E01C46}" uniqueName="8" name="Az12" queryTableFieldId="8" dataDxfId="9"/>
    <tableColumn id="9" xr3:uid="{E53C9B85-6A31-4DB1-A059-C16E2754F163}" uniqueName="9" name="Az21" queryTableFieldId="9" dataDxfId="8"/>
    <tableColumn id="10" xr3:uid="{5EC165FB-0850-4522-AA65-8E4868FC17B7}" uniqueName="10" name="BackAz12" queryTableFieldId="10"/>
    <tableColumn id="11" xr3:uid="{2AE53162-F433-47BF-A80D-3B70F56A1AAC}" uniqueName="11" name="BackAz21" queryTableFieldId="11"/>
    <tableColumn id="12" xr3:uid="{A85529A7-8E63-46DF-91B6-D83982B3F5F2}" uniqueName="12" name="Reason" queryTableFieldId="12" dataDxfId="7"/>
    <tableColumn id="13" xr3:uid="{F63FCF50-F117-498A-9BEF-446423567F86}" uniqueName="13" name="Factor" queryTableFieldId="13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87619E-5C6B-44E5-A7B5-1BC03EAEC7CD}" name="d_tris_ell" displayName="d_tris_ell" ref="A1:L196" tableType="queryTable" totalsRowShown="0">
  <autoFilter ref="A1:L196" xr:uid="{ED87619E-5C6B-44E5-A7B5-1BC03EAEC7CD}"/>
  <tableColumns count="12">
    <tableColumn id="1" xr3:uid="{D4ED8278-3206-4CFD-B425-060D18E1AF61}" uniqueName="1" name="P1" queryTableFieldId="1" dataDxfId="5"/>
    <tableColumn id="2" xr3:uid="{6197AA46-936D-40B9-A545-D49D63FB56CB}" uniqueName="2" name="P1_lat" queryTableFieldId="2"/>
    <tableColumn id="3" xr3:uid="{2326324F-2617-49B0-A6CB-04EB3C596FDE}" uniqueName="3" name="P1_lon" queryTableFieldId="3"/>
    <tableColumn id="4" xr3:uid="{9F6D5F2C-94A0-4676-A536-F6CF8EFE066C}" uniqueName="4" name="P2" queryTableFieldId="4" dataDxfId="4"/>
    <tableColumn id="5" xr3:uid="{31063098-6F82-4119-85C9-DC6A4AE8D32F}" uniqueName="5" name="P2_lat" queryTableFieldId="5"/>
    <tableColumn id="6" xr3:uid="{3CB1DADF-D3D6-42A9-BB3B-1C2831CA9A46}" uniqueName="6" name="P2_lon" queryTableFieldId="6"/>
    <tableColumn id="7" xr3:uid="{627A17CE-B2F4-49C2-A0CA-90B86863F1E8}" uniqueName="7" name="Dist" queryTableFieldId="7"/>
    <tableColumn id="8" xr3:uid="{FB9FFA65-6CC1-4F3F-84DC-2E222EB0B1A1}" uniqueName="8" name="Az12" queryTableFieldId="8"/>
    <tableColumn id="9" xr3:uid="{1BDA757D-4388-454B-A82D-F355CBBF3CD6}" uniqueName="9" name="Az21" queryTableFieldId="9"/>
    <tableColumn id="10" xr3:uid="{13FBB882-14FB-44DA-AE38-7105173ED015}" uniqueName="10" name="BackAz12" queryTableFieldId="10"/>
    <tableColumn id="11" xr3:uid="{80D9B7A1-5132-42CF-B339-6C817F7B8180}" uniqueName="11" name="BackAz21" queryTableFieldId="11"/>
    <tableColumn id="12" xr3:uid="{2020BA9A-BDA9-4C5E-8D25-C3A3A8AF358D}" uniqueName="12" name="Reason" queryTableFieldId="12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1591CB-5803-4D27-BDD7-26147EA34ADF}" name="d_mix_ell" displayName="d_mix_ell" ref="A1:L17" tableType="queryTable" totalsRowShown="0">
  <autoFilter ref="A1:L17" xr:uid="{961591CB-5803-4D27-BDD7-26147EA34ADF}"/>
  <sortState xmlns:xlrd2="http://schemas.microsoft.com/office/spreadsheetml/2017/richdata2" ref="A2:L17">
    <sortCondition ref="A1:A17"/>
  </sortState>
  <tableColumns count="12">
    <tableColumn id="1" xr3:uid="{5A95C981-6F3C-48DC-981B-D1C4A6AE1C3C}" uniqueName="1" name="P1" queryTableFieldId="1" dataDxfId="2"/>
    <tableColumn id="2" xr3:uid="{E35B4663-6286-4CF1-88AF-00061CF4F643}" uniqueName="2" name="P1_lat" queryTableFieldId="2"/>
    <tableColumn id="3" xr3:uid="{B43F5DC2-001F-4A71-B629-5A9CE0E4669A}" uniqueName="3" name="P1_lon" queryTableFieldId="3"/>
    <tableColumn id="4" xr3:uid="{36099E4C-9659-4C6E-975A-03ADBC885A57}" uniqueName="4" name="P2" queryTableFieldId="4" dataDxfId="1"/>
    <tableColumn id="5" xr3:uid="{28E9218A-DF3E-4451-B026-C7954DFE3096}" uniqueName="5" name="P2_lat" queryTableFieldId="5"/>
    <tableColumn id="6" xr3:uid="{962C13A1-C452-49C8-8E55-81C19A23F0F7}" uniqueName="6" name="P2_lon" queryTableFieldId="6"/>
    <tableColumn id="7" xr3:uid="{51917442-F6B5-4363-B344-E90BBDE95D42}" uniqueName="7" name="Dist" queryTableFieldId="7"/>
    <tableColumn id="8" xr3:uid="{19F28BEA-B248-4B1B-AC77-059635EB040B}" uniqueName="8" name="Az12" queryTableFieldId="8"/>
    <tableColumn id="9" xr3:uid="{56147B70-3C6C-4636-AF3D-B76CFDE827C6}" uniqueName="9" name="Az21" queryTableFieldId="9"/>
    <tableColumn id="10" xr3:uid="{46D9930A-8F52-4025-9EE7-B40D0B01F268}" uniqueName="10" name="BackAz12" queryTableFieldId="10"/>
    <tableColumn id="11" xr3:uid="{5CB79D14-074B-4686-9B01-5FE9EE5682BD}" uniqueName="11" name="BackAz21" queryTableFieldId="11"/>
    <tableColumn id="12" xr3:uid="{B8E65958-1E5F-4AF4-89DB-3D7E07550207}" uniqueName="12" name="Reason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356B-3067-4250-A8B5-6DA88C6BBA5F}">
  <dimension ref="A1:L450"/>
  <sheetViews>
    <sheetView topLeftCell="A33" workbookViewId="0">
      <selection activeCell="L23" sqref="L23"/>
    </sheetView>
  </sheetViews>
  <sheetFormatPr defaultRowHeight="13.8"/>
  <cols>
    <col min="1" max="1" width="8.7109375" style="164" bestFit="1" customWidth="1"/>
    <col min="2" max="2" width="11.7109375" hidden="1" customWidth="1"/>
    <col min="3" max="3" width="12.28515625" hidden="1" customWidth="1"/>
    <col min="4" max="4" width="8.7109375" style="165" bestFit="1" customWidth="1"/>
    <col min="5" max="5" width="11.7109375" hidden="1" customWidth="1"/>
    <col min="6" max="6" width="12.28515625" hidden="1" customWidth="1"/>
    <col min="7" max="7" width="8.046875" style="167" bestFit="1" customWidth="1"/>
    <col min="8" max="8" width="8.85546875" style="163" bestFit="1" customWidth="1"/>
    <col min="9" max="9" width="8.85546875" style="166" bestFit="1" customWidth="1"/>
    <col min="10" max="11" width="11.7109375" hidden="1" customWidth="1"/>
    <col min="12" max="12" width="27.28515625" customWidth="1"/>
  </cols>
  <sheetData>
    <row r="1" spans="1:12">
      <c r="A1" s="164" t="s">
        <v>97</v>
      </c>
      <c r="B1" t="s">
        <v>98</v>
      </c>
      <c r="C1" t="s">
        <v>99</v>
      </c>
      <c r="D1" s="165" t="s">
        <v>100</v>
      </c>
      <c r="E1" t="s">
        <v>101</v>
      </c>
      <c r="F1" t="s">
        <v>102</v>
      </c>
      <c r="G1" s="167" t="s">
        <v>0</v>
      </c>
      <c r="H1" s="163" t="s">
        <v>103</v>
      </c>
      <c r="I1" s="166" t="s">
        <v>104</v>
      </c>
      <c r="J1" t="s">
        <v>105</v>
      </c>
      <c r="K1" t="s">
        <v>106</v>
      </c>
      <c r="L1" t="s">
        <v>1</v>
      </c>
    </row>
    <row r="2" spans="1:12">
      <c r="A2" s="164" t="s">
        <v>263</v>
      </c>
      <c r="B2">
        <v>38.893613869460523</v>
      </c>
      <c r="C2">
        <v>-77.009077956021031</v>
      </c>
      <c r="D2" s="165" t="s">
        <v>130</v>
      </c>
      <c r="E2">
        <v>38.916014822915052</v>
      </c>
      <c r="F2">
        <v>-77.116777991306989</v>
      </c>
      <c r="G2" s="167">
        <v>5.9929183796800194</v>
      </c>
      <c r="H2" s="168">
        <v>284.99798087182137</v>
      </c>
      <c r="I2" s="169">
        <v>104.93034217243387</v>
      </c>
      <c r="J2">
        <v>284.93034217243388</v>
      </c>
      <c r="K2">
        <v>104.99798087182137</v>
      </c>
      <c r="L2" t="s">
        <v>304</v>
      </c>
    </row>
    <row r="3" spans="1:12">
      <c r="A3" s="164" t="s">
        <v>134</v>
      </c>
      <c r="B3">
        <v>38.892786699999967</v>
      </c>
      <c r="C3">
        <v>-77.040679699999998</v>
      </c>
      <c r="D3" s="165" t="s">
        <v>4</v>
      </c>
      <c r="E3">
        <v>38.905331247930313</v>
      </c>
      <c r="F3">
        <v>-77.10094955658019</v>
      </c>
      <c r="G3" s="167">
        <v>3.3540987568179466</v>
      </c>
      <c r="H3" s="168">
        <v>284.99194290607272</v>
      </c>
      <c r="I3" s="169">
        <v>104.95409643067427</v>
      </c>
      <c r="J3">
        <v>284.95409643067427</v>
      </c>
      <c r="K3">
        <v>104.99194290607272</v>
      </c>
      <c r="L3" t="s">
        <v>304</v>
      </c>
    </row>
    <row r="4" spans="1:12">
      <c r="A4" s="164" t="s">
        <v>135</v>
      </c>
      <c r="B4">
        <v>38.893596140000007</v>
      </c>
      <c r="C4">
        <v>-77.040985579999997</v>
      </c>
      <c r="D4" s="165" t="s">
        <v>173</v>
      </c>
      <c r="E4">
        <v>38.988765681572232</v>
      </c>
      <c r="F4">
        <v>-77.16354886186852</v>
      </c>
      <c r="G4" s="167">
        <v>9.3052741511858059</v>
      </c>
      <c r="H4" s="168">
        <v>314.99063545727563</v>
      </c>
      <c r="I4" s="169">
        <v>134.91360166302823</v>
      </c>
      <c r="J4">
        <v>314.9136016630282</v>
      </c>
      <c r="K4">
        <v>134.99063545727563</v>
      </c>
      <c r="L4" t="s">
        <v>304</v>
      </c>
    </row>
    <row r="5" spans="1:12">
      <c r="A5" s="164" t="s">
        <v>132</v>
      </c>
      <c r="B5">
        <v>38.909694801858848</v>
      </c>
      <c r="C5">
        <v>-76.973871148151133</v>
      </c>
      <c r="D5" s="165" t="s">
        <v>80</v>
      </c>
      <c r="E5">
        <v>38.930170515981033</v>
      </c>
      <c r="F5">
        <v>-77.07230698965536</v>
      </c>
      <c r="G5" s="167">
        <v>5.4763574411962006</v>
      </c>
      <c r="H5" s="168">
        <v>284.99928411112336</v>
      </c>
      <c r="I5" s="169">
        <v>104.93744338180079</v>
      </c>
      <c r="J5">
        <v>284.93744338180079</v>
      </c>
      <c r="K5">
        <v>104.99928411112336</v>
      </c>
      <c r="L5" t="s">
        <v>304</v>
      </c>
    </row>
    <row r="6" spans="1:12">
      <c r="A6" s="164" t="s">
        <v>54</v>
      </c>
      <c r="B6">
        <v>38.888694362898732</v>
      </c>
      <c r="C6">
        <v>-76.942542813218694</v>
      </c>
      <c r="D6" s="165" t="s">
        <v>89</v>
      </c>
      <c r="E6">
        <v>38.911588839433009</v>
      </c>
      <c r="F6">
        <v>-76.993547550999835</v>
      </c>
      <c r="G6" s="167">
        <v>3.1654769241832157</v>
      </c>
      <c r="H6" s="168">
        <v>299.99124807746693</v>
      </c>
      <c r="I6" s="169">
        <v>119.95921888635745</v>
      </c>
      <c r="J6">
        <v>299.95921888635746</v>
      </c>
      <c r="K6">
        <v>119.99124807746693</v>
      </c>
      <c r="L6" t="s">
        <v>304</v>
      </c>
    </row>
    <row r="7" spans="1:12">
      <c r="A7" s="164" t="s">
        <v>76</v>
      </c>
      <c r="B7">
        <v>38.872804095441928</v>
      </c>
      <c r="C7">
        <v>-76.940197367335742</v>
      </c>
      <c r="D7" s="165" t="s">
        <v>17</v>
      </c>
      <c r="E7">
        <v>38.939237314230454</v>
      </c>
      <c r="F7">
        <v>-77.088340704127447</v>
      </c>
      <c r="G7" s="167">
        <v>9.1913573970587947</v>
      </c>
      <c r="H7" s="168">
        <v>299.99998713454306</v>
      </c>
      <c r="I7" s="169">
        <v>119.90694643032677</v>
      </c>
      <c r="J7">
        <v>299.9069464303268</v>
      </c>
      <c r="K7">
        <v>119.99998713454306</v>
      </c>
      <c r="L7" t="s">
        <v>304</v>
      </c>
    </row>
    <row r="8" spans="1:12">
      <c r="A8" s="164" t="s">
        <v>35</v>
      </c>
      <c r="B8">
        <v>38.886867190107317</v>
      </c>
      <c r="C8">
        <v>-76.916665420155027</v>
      </c>
      <c r="D8" s="165" t="s">
        <v>18</v>
      </c>
      <c r="E8">
        <v>38.914489864708663</v>
      </c>
      <c r="F8">
        <v>-77.049531913503088</v>
      </c>
      <c r="G8" s="167">
        <v>7.3934685654046586</v>
      </c>
      <c r="H8" s="168">
        <v>284.99845122058792</v>
      </c>
      <c r="I8" s="169">
        <v>104.91501472155595</v>
      </c>
      <c r="J8">
        <v>284.91501472155596</v>
      </c>
      <c r="K8">
        <v>104.99845122058792</v>
      </c>
      <c r="L8" t="s">
        <v>304</v>
      </c>
    </row>
    <row r="9" spans="1:12">
      <c r="A9" s="164" t="s">
        <v>127</v>
      </c>
      <c r="B9">
        <v>38.893587651719322</v>
      </c>
      <c r="C9">
        <v>-76.999525090510573</v>
      </c>
      <c r="D9" s="165" t="s">
        <v>128</v>
      </c>
      <c r="E9">
        <v>39.005339472519637</v>
      </c>
      <c r="F9">
        <v>-77.038062048737274</v>
      </c>
      <c r="G9" s="167">
        <v>7.9926287844300621</v>
      </c>
      <c r="H9" s="168">
        <v>344.99947694458683</v>
      </c>
      <c r="I9" s="169">
        <v>164.97525126401737</v>
      </c>
      <c r="J9">
        <v>344.9752512640174</v>
      </c>
      <c r="K9">
        <v>164.99947694458683</v>
      </c>
      <c r="L9" t="s">
        <v>304</v>
      </c>
    </row>
    <row r="10" spans="1:12">
      <c r="A10" s="164" t="s">
        <v>66</v>
      </c>
      <c r="B10">
        <v>38.889801299593749</v>
      </c>
      <c r="C10">
        <v>-77.036569080803147</v>
      </c>
      <c r="D10" s="165" t="s">
        <v>108</v>
      </c>
      <c r="E10">
        <v>38.889795721566593</v>
      </c>
      <c r="F10">
        <v>-76.990256830609582</v>
      </c>
      <c r="G10" s="167">
        <v>2.490157000511946</v>
      </c>
      <c r="H10" s="168">
        <v>89.994328056702585</v>
      </c>
      <c r="I10" s="169">
        <v>270.0234040221365</v>
      </c>
      <c r="J10">
        <v>90.023404022136503</v>
      </c>
      <c r="K10">
        <v>269.99432805670256</v>
      </c>
      <c r="L10" t="s">
        <v>284</v>
      </c>
    </row>
    <row r="11" spans="1:12">
      <c r="A11" s="164" t="s">
        <v>66</v>
      </c>
      <c r="B11">
        <v>38.889801299593749</v>
      </c>
      <c r="C11">
        <v>-77.036569080803147</v>
      </c>
      <c r="D11" s="165" t="s">
        <v>161</v>
      </c>
      <c r="E11">
        <v>38.898285637635617</v>
      </c>
      <c r="F11">
        <v>-77.036570972830333</v>
      </c>
      <c r="G11" s="167">
        <v>0.5860991974417562</v>
      </c>
      <c r="H11" s="168">
        <v>359.99005607525169</v>
      </c>
      <c r="I11" s="169">
        <v>179.99005488728162</v>
      </c>
      <c r="J11">
        <v>359.99005488728164</v>
      </c>
      <c r="K11">
        <v>179.99005607525169</v>
      </c>
      <c r="L11" t="s">
        <v>283</v>
      </c>
    </row>
    <row r="12" spans="1:12">
      <c r="A12" s="164" t="s">
        <v>196</v>
      </c>
      <c r="B12">
        <v>38.888169036259093</v>
      </c>
      <c r="C12">
        <v>-77.051451527226078</v>
      </c>
      <c r="D12" s="165" t="s">
        <v>65</v>
      </c>
      <c r="E12">
        <v>38.790339000000003</v>
      </c>
      <c r="F12">
        <v>-77.051444000000004</v>
      </c>
      <c r="G12" s="167">
        <v>6.7581118102541247</v>
      </c>
      <c r="H12" s="168">
        <v>179.99656386443959</v>
      </c>
      <c r="I12" s="169">
        <v>359.99656858504778</v>
      </c>
      <c r="J12">
        <v>179.99656858504773</v>
      </c>
      <c r="K12">
        <v>359.99656386443962</v>
      </c>
      <c r="L12" t="s">
        <v>283</v>
      </c>
    </row>
    <row r="13" spans="1:12">
      <c r="A13" s="164" t="s">
        <v>263</v>
      </c>
      <c r="B13">
        <v>38.893613869460523</v>
      </c>
      <c r="C13">
        <v>-77.009077956021031</v>
      </c>
      <c r="D13" s="165" t="s">
        <v>197</v>
      </c>
      <c r="E13">
        <v>38.870688770261303</v>
      </c>
      <c r="F13">
        <v>-77.009073886696044</v>
      </c>
      <c r="G13" s="167">
        <v>1.5836688898432307</v>
      </c>
      <c r="H13" s="168">
        <v>179.99208176698644</v>
      </c>
      <c r="I13" s="169">
        <v>359.99208432138556</v>
      </c>
      <c r="J13">
        <v>179.99208432138562</v>
      </c>
      <c r="K13">
        <v>359.99208176698642</v>
      </c>
      <c r="L13" t="s">
        <v>283</v>
      </c>
    </row>
    <row r="14" spans="1:12">
      <c r="A14" s="164" t="s">
        <v>123</v>
      </c>
      <c r="B14">
        <v>38.792909774730433</v>
      </c>
      <c r="C14">
        <v>-77.031973080762256</v>
      </c>
      <c r="D14" s="165" t="s">
        <v>142</v>
      </c>
      <c r="E14">
        <v>38.90564871624386</v>
      </c>
      <c r="F14">
        <v>-77.031975306010182</v>
      </c>
      <c r="G14" s="167">
        <v>7.788020938705313</v>
      </c>
      <c r="H14" s="168">
        <v>359.99911994843751</v>
      </c>
      <c r="I14" s="169">
        <v>179.99911855259694</v>
      </c>
      <c r="J14">
        <v>359.99911855259694</v>
      </c>
      <c r="K14">
        <v>179.99911994843751</v>
      </c>
      <c r="L14" t="s">
        <v>283</v>
      </c>
    </row>
    <row r="15" spans="1:12">
      <c r="A15" s="164" t="s">
        <v>198</v>
      </c>
      <c r="B15">
        <v>38.937902435216373</v>
      </c>
      <c r="C15">
        <v>-77.085865083617094</v>
      </c>
      <c r="D15" s="165" t="s">
        <v>199</v>
      </c>
      <c r="E15">
        <v>38.901242008335643</v>
      </c>
      <c r="F15">
        <v>-77.085863354657533</v>
      </c>
      <c r="G15" s="167">
        <v>2.5325071222553452</v>
      </c>
      <c r="H15" s="168">
        <v>179.99789710451262</v>
      </c>
      <c r="I15" s="169">
        <v>359.99789819069497</v>
      </c>
      <c r="J15">
        <v>179.99789819069497</v>
      </c>
      <c r="K15">
        <v>359.99789710451262</v>
      </c>
      <c r="L15" t="s">
        <v>283</v>
      </c>
    </row>
    <row r="16" spans="1:12">
      <c r="A16" s="164" t="s">
        <v>66</v>
      </c>
      <c r="B16">
        <v>38.889801299593749</v>
      </c>
      <c r="C16">
        <v>-77.036569080803147</v>
      </c>
      <c r="D16" s="165" t="s">
        <v>84</v>
      </c>
      <c r="E16">
        <v>38.889800999999999</v>
      </c>
      <c r="F16">
        <v>-77.009226999999996</v>
      </c>
      <c r="G16" s="167">
        <v>1.4701525137340778</v>
      </c>
      <c r="H16" s="168">
        <v>89.992223563108681</v>
      </c>
      <c r="I16" s="169">
        <v>270.00938959200727</v>
      </c>
      <c r="J16">
        <v>90.009389592007267</v>
      </c>
      <c r="K16">
        <v>269.99222356310867</v>
      </c>
      <c r="L16" t="s">
        <v>282</v>
      </c>
    </row>
    <row r="17" spans="1:12">
      <c r="A17" s="164" t="s">
        <v>265</v>
      </c>
      <c r="B17">
        <v>38.890621000000003</v>
      </c>
      <c r="C17">
        <v>-77.00510154468833</v>
      </c>
      <c r="D17" s="165" t="s">
        <v>258</v>
      </c>
      <c r="E17">
        <v>38.890621000000003</v>
      </c>
      <c r="F17">
        <v>-77.004421885776182</v>
      </c>
      <c r="G17" s="167">
        <v>3.6544063483382051E-2</v>
      </c>
      <c r="H17" s="168">
        <v>89.999786642909442</v>
      </c>
      <c r="I17" s="169">
        <v>270.00021335709056</v>
      </c>
      <c r="J17">
        <v>90.000213357090558</v>
      </c>
      <c r="K17">
        <v>269.99978664290944</v>
      </c>
      <c r="L17" t="s">
        <v>282</v>
      </c>
    </row>
    <row r="18" spans="1:12">
      <c r="A18" s="164" t="s">
        <v>107</v>
      </c>
      <c r="B18">
        <v>38.909632012495202</v>
      </c>
      <c r="C18">
        <v>-77.043450337735848</v>
      </c>
      <c r="D18" s="165" t="s">
        <v>94</v>
      </c>
      <c r="E18">
        <v>38.909631706139457</v>
      </c>
      <c r="F18">
        <v>-77.029568629434891</v>
      </c>
      <c r="G18" s="167">
        <v>0.74619521104159026</v>
      </c>
      <c r="H18" s="168">
        <v>89.99726547700125</v>
      </c>
      <c r="I18" s="169">
        <v>270.00598449303686</v>
      </c>
      <c r="J18">
        <v>90.005984493036863</v>
      </c>
      <c r="K18">
        <v>269.99726547700124</v>
      </c>
      <c r="L18" t="s">
        <v>282</v>
      </c>
    </row>
    <row r="19" spans="1:12">
      <c r="A19" s="164" t="s">
        <v>255</v>
      </c>
      <c r="B19">
        <v>38.807607597722587</v>
      </c>
      <c r="C19">
        <v>-77.066066557763804</v>
      </c>
      <c r="D19" s="165" t="s">
        <v>30</v>
      </c>
      <c r="E19">
        <v>38.92053966660955</v>
      </c>
      <c r="F19">
        <v>-77.11324805943606</v>
      </c>
      <c r="G19" s="167">
        <v>8.2037641705721853</v>
      </c>
      <c r="H19" s="168">
        <v>341.99488603837614</v>
      </c>
      <c r="I19" s="169">
        <v>161.96528081259262</v>
      </c>
      <c r="J19">
        <v>341.9652808125926</v>
      </c>
      <c r="K19">
        <v>161.99488603837608</v>
      </c>
      <c r="L19" t="s">
        <v>287</v>
      </c>
    </row>
    <row r="20" spans="1:12">
      <c r="A20" s="164" t="s">
        <v>123</v>
      </c>
      <c r="B20">
        <v>38.792909774730433</v>
      </c>
      <c r="C20">
        <v>-77.031973080762256</v>
      </c>
      <c r="D20" s="165" t="s">
        <v>54</v>
      </c>
      <c r="E20">
        <v>38.888694362898732</v>
      </c>
      <c r="F20">
        <v>-76.942542813218694</v>
      </c>
      <c r="G20" s="167">
        <v>8.1814644268405399</v>
      </c>
      <c r="H20" s="168">
        <v>35.997366894051744</v>
      </c>
      <c r="I20" s="169">
        <v>216.05345388576416</v>
      </c>
      <c r="J20">
        <v>36.053453885764156</v>
      </c>
      <c r="K20">
        <v>215.99736689405174</v>
      </c>
      <c r="L20" t="s">
        <v>287</v>
      </c>
    </row>
    <row r="21" spans="1:12">
      <c r="A21" s="164" t="s">
        <v>43</v>
      </c>
      <c r="B21">
        <v>38.85493665631558</v>
      </c>
      <c r="C21">
        <v>-77.002259504610606</v>
      </c>
      <c r="D21" s="165" t="s">
        <v>256</v>
      </c>
      <c r="E21">
        <v>38.871476946892543</v>
      </c>
      <c r="F21">
        <v>-77.067752201956665</v>
      </c>
      <c r="G21" s="167">
        <v>3.7034532061673433</v>
      </c>
      <c r="H21" s="168">
        <v>287.99086751100288</v>
      </c>
      <c r="I21" s="169">
        <v>107.9497732523925</v>
      </c>
      <c r="J21">
        <v>287.9497732523925</v>
      </c>
      <c r="K21">
        <v>107.99086751100288</v>
      </c>
      <c r="L21" t="s">
        <v>287</v>
      </c>
    </row>
    <row r="22" spans="1:12">
      <c r="A22" s="164" t="s">
        <v>14</v>
      </c>
      <c r="B22">
        <v>38.914649550911903</v>
      </c>
      <c r="C22">
        <v>-77.004648326263094</v>
      </c>
      <c r="D22" s="165" t="s">
        <v>7</v>
      </c>
      <c r="E22">
        <v>38.876337452964407</v>
      </c>
      <c r="F22">
        <v>-77.072341784270549</v>
      </c>
      <c r="G22" s="167">
        <v>4.5000595574411042</v>
      </c>
      <c r="H22" s="168">
        <v>233.99707900993693</v>
      </c>
      <c r="I22" s="169">
        <v>53.954574157427999</v>
      </c>
      <c r="J22">
        <v>233.954574157428</v>
      </c>
      <c r="K22">
        <v>53.997079009936897</v>
      </c>
      <c r="L22" t="s">
        <v>287</v>
      </c>
    </row>
    <row r="23" spans="1:12">
      <c r="A23" s="164" t="s">
        <v>129</v>
      </c>
      <c r="B23">
        <v>39.010042682733477</v>
      </c>
      <c r="C23">
        <v>-77.042440353879812</v>
      </c>
      <c r="D23" s="165" t="s">
        <v>26</v>
      </c>
      <c r="E23">
        <v>38.920660773128958</v>
      </c>
      <c r="F23">
        <v>-77.079750995205373</v>
      </c>
      <c r="G23" s="167">
        <v>6.491586762679618</v>
      </c>
      <c r="H23" s="168">
        <v>197.99321564575177</v>
      </c>
      <c r="I23" s="169">
        <v>17.969752829551283</v>
      </c>
      <c r="J23">
        <v>197.96975282955128</v>
      </c>
      <c r="K23">
        <v>17.993215645751775</v>
      </c>
      <c r="L23" t="s">
        <v>332</v>
      </c>
    </row>
    <row r="24" spans="1:12">
      <c r="A24" s="164" t="s">
        <v>133</v>
      </c>
      <c r="B24">
        <v>38.892699520000001</v>
      </c>
      <c r="C24">
        <v>-77.04058603</v>
      </c>
      <c r="D24" s="165" t="s">
        <v>128</v>
      </c>
      <c r="E24">
        <v>39.005339472519637</v>
      </c>
      <c r="F24">
        <v>-77.038062048737274</v>
      </c>
      <c r="G24" s="167">
        <v>7.7823641737999907</v>
      </c>
      <c r="H24" s="168">
        <v>0.99756776217816523</v>
      </c>
      <c r="I24" s="169">
        <v>180.99915440989108</v>
      </c>
      <c r="J24">
        <v>0.99915440989104809</v>
      </c>
      <c r="K24">
        <v>180.99756776217816</v>
      </c>
      <c r="L24" t="s">
        <v>310</v>
      </c>
    </row>
    <row r="25" spans="1:12">
      <c r="A25" s="164" t="s">
        <v>121</v>
      </c>
      <c r="B25">
        <v>38.735159000000003</v>
      </c>
      <c r="C25">
        <v>-77.011513956660835</v>
      </c>
      <c r="D25" s="165" t="s">
        <v>119</v>
      </c>
      <c r="E25">
        <v>38.918835090612639</v>
      </c>
      <c r="F25">
        <v>-77.007394020653479</v>
      </c>
      <c r="G25" s="167">
        <v>12.69030559192613</v>
      </c>
      <c r="H25" s="168">
        <v>0.99980897909173128</v>
      </c>
      <c r="I25" s="169">
        <v>181.00239206262771</v>
      </c>
      <c r="J25">
        <v>1.0023920626276777</v>
      </c>
      <c r="K25">
        <v>180.99980897909174</v>
      </c>
      <c r="L25" t="s">
        <v>286</v>
      </c>
    </row>
    <row r="26" spans="1:12">
      <c r="A26" s="164" t="s">
        <v>112</v>
      </c>
      <c r="B26">
        <v>38.790339150000008</v>
      </c>
      <c r="C26">
        <v>-77.04058603</v>
      </c>
      <c r="D26" s="165" t="s">
        <v>114</v>
      </c>
      <c r="E26">
        <v>38.94812410619182</v>
      </c>
      <c r="F26">
        <v>-77.004844803322314</v>
      </c>
      <c r="G26" s="167">
        <v>11.068020330494072</v>
      </c>
      <c r="H26" s="168">
        <v>9.9907851132801024</v>
      </c>
      <c r="I26" s="169">
        <v>190.01321436462439</v>
      </c>
      <c r="J26">
        <v>10.013214364624389</v>
      </c>
      <c r="K26">
        <v>189.99078511328011</v>
      </c>
      <c r="L26" t="s">
        <v>314</v>
      </c>
    </row>
    <row r="27" spans="1:12">
      <c r="A27" s="164" t="s">
        <v>170</v>
      </c>
      <c r="B27">
        <v>38.808593670098077</v>
      </c>
      <c r="C27">
        <v>-77.067282222571677</v>
      </c>
      <c r="D27" s="165" t="s">
        <v>72</v>
      </c>
      <c r="E27">
        <v>38.870628217218183</v>
      </c>
      <c r="F27">
        <v>-77.053238771071065</v>
      </c>
      <c r="G27" s="167">
        <v>4.3514649066202002</v>
      </c>
      <c r="H27" s="168">
        <v>9.9957261822731276</v>
      </c>
      <c r="I27" s="169">
        <v>190.00453342817303</v>
      </c>
      <c r="J27">
        <v>10.004533428173033</v>
      </c>
      <c r="K27">
        <v>189.99572618227313</v>
      </c>
      <c r="L27" t="s">
        <v>289</v>
      </c>
    </row>
    <row r="28" spans="1:12">
      <c r="A28" s="164" t="s">
        <v>196</v>
      </c>
      <c r="B28">
        <v>38.888169036259093</v>
      </c>
      <c r="C28">
        <v>-77.051451527226078</v>
      </c>
      <c r="D28" s="165" t="s">
        <v>53</v>
      </c>
      <c r="E28">
        <v>38.865733641110857</v>
      </c>
      <c r="F28">
        <v>-76.967852704156869</v>
      </c>
      <c r="G28" s="167">
        <v>4.75546606875682</v>
      </c>
      <c r="H28" s="168">
        <v>108.99429952303791</v>
      </c>
      <c r="I28" s="169">
        <v>289.04677032589012</v>
      </c>
      <c r="J28">
        <v>109.04677032589012</v>
      </c>
      <c r="K28">
        <v>288.99429952303791</v>
      </c>
      <c r="L28" t="s">
        <v>294</v>
      </c>
    </row>
    <row r="29" spans="1:12">
      <c r="A29" s="164" t="s">
        <v>152</v>
      </c>
      <c r="B29">
        <v>38.791643602585658</v>
      </c>
      <c r="C29">
        <v>-77.039028157210851</v>
      </c>
      <c r="D29" s="165" t="s">
        <v>178</v>
      </c>
      <c r="E29">
        <v>38.77367519361357</v>
      </c>
      <c r="F29">
        <v>-76.972158414322777</v>
      </c>
      <c r="G29" s="167">
        <v>3.8088580123569575</v>
      </c>
      <c r="H29" s="168">
        <v>108.99842079476282</v>
      </c>
      <c r="I29" s="169">
        <v>289.04030585963255</v>
      </c>
      <c r="J29">
        <v>109.04030585963255</v>
      </c>
      <c r="K29">
        <v>288.99842079476281</v>
      </c>
      <c r="L29" t="s">
        <v>294</v>
      </c>
    </row>
    <row r="30" spans="1:12">
      <c r="A30" s="164" t="s">
        <v>177</v>
      </c>
      <c r="B30">
        <v>38.895976636393023</v>
      </c>
      <c r="C30">
        <v>-77.034311337037963</v>
      </c>
      <c r="D30" s="165" t="s">
        <v>40</v>
      </c>
      <c r="E30">
        <v>38.861737201739359</v>
      </c>
      <c r="F30">
        <v>-76.955024258010965</v>
      </c>
      <c r="G30" s="167">
        <v>4.8759350693589942</v>
      </c>
      <c r="H30" s="168">
        <v>118.993443693779</v>
      </c>
      <c r="I30" s="169">
        <v>299.04321028398613</v>
      </c>
      <c r="J30">
        <v>119.04321028398613</v>
      </c>
      <c r="K30">
        <v>298.993443693779</v>
      </c>
      <c r="L30" t="s">
        <v>297</v>
      </c>
    </row>
    <row r="31" spans="1:12">
      <c r="A31" s="164" t="s">
        <v>47</v>
      </c>
      <c r="B31">
        <v>38.924871835602019</v>
      </c>
      <c r="C31">
        <v>-77.018002710089107</v>
      </c>
      <c r="D31" s="165" t="s">
        <v>10</v>
      </c>
      <c r="E31">
        <v>38.886870293837752</v>
      </c>
      <c r="F31">
        <v>-76.9299762903957</v>
      </c>
      <c r="G31" s="167">
        <v>5.4114072380032043</v>
      </c>
      <c r="H31" s="168">
        <v>118.99231743590811</v>
      </c>
      <c r="I31" s="169">
        <v>299.04760180467298</v>
      </c>
      <c r="J31">
        <v>119.04760180467298</v>
      </c>
      <c r="K31">
        <v>298.99231743590809</v>
      </c>
      <c r="L31" t="s">
        <v>297</v>
      </c>
    </row>
    <row r="32" spans="1:12">
      <c r="A32" s="164" t="s">
        <v>144</v>
      </c>
      <c r="B32">
        <v>38.93539090046842</v>
      </c>
      <c r="C32">
        <v>-77.118770832388549</v>
      </c>
      <c r="D32" s="165" t="s">
        <v>192</v>
      </c>
      <c r="E32">
        <v>38.891079369466112</v>
      </c>
      <c r="F32">
        <v>-77.042886445346255</v>
      </c>
      <c r="G32" s="167">
        <v>5.09972419971362</v>
      </c>
      <c r="H32" s="168">
        <v>126.86307837259913</v>
      </c>
      <c r="I32" s="169">
        <v>306.91074461268067</v>
      </c>
      <c r="J32">
        <v>126.91074461268067</v>
      </c>
      <c r="K32">
        <v>306.86307837259915</v>
      </c>
      <c r="L32" t="s">
        <v>322</v>
      </c>
    </row>
    <row r="33" spans="1:12">
      <c r="A33" s="164" t="s">
        <v>83</v>
      </c>
      <c r="B33">
        <v>38.893245129999983</v>
      </c>
      <c r="C33">
        <v>-77.172301140000016</v>
      </c>
      <c r="D33" s="165" t="s">
        <v>123</v>
      </c>
      <c r="E33">
        <v>38.792909774730433</v>
      </c>
      <c r="F33">
        <v>-77.031973080762256</v>
      </c>
      <c r="G33" s="167">
        <v>10.249259753672723</v>
      </c>
      <c r="H33" s="168">
        <v>132.50815047138633</v>
      </c>
      <c r="I33" s="169">
        <v>312.59616282754769</v>
      </c>
      <c r="J33">
        <v>132.59616282754769</v>
      </c>
      <c r="K33">
        <v>312.50815047138633</v>
      </c>
      <c r="L33" t="s">
        <v>317</v>
      </c>
    </row>
    <row r="34" spans="1:12">
      <c r="A34" s="164" t="s">
        <v>144</v>
      </c>
      <c r="B34">
        <v>38.93539090046842</v>
      </c>
      <c r="C34">
        <v>-77.118770832388549</v>
      </c>
      <c r="D34" s="165" t="s">
        <v>199</v>
      </c>
      <c r="E34">
        <v>38.901242008335643</v>
      </c>
      <c r="F34">
        <v>-77.085863354657533</v>
      </c>
      <c r="G34" s="167">
        <v>2.948420188782042</v>
      </c>
      <c r="H34" s="168">
        <v>143.12863270430978</v>
      </c>
      <c r="I34" s="169">
        <v>323.14930557192463</v>
      </c>
      <c r="J34">
        <v>143.14930557192463</v>
      </c>
      <c r="K34">
        <v>323.12863270430978</v>
      </c>
      <c r="L34" t="s">
        <v>323</v>
      </c>
    </row>
    <row r="35" spans="1:12">
      <c r="A35" s="164" t="s">
        <v>129</v>
      </c>
      <c r="B35">
        <v>39.010042682733477</v>
      </c>
      <c r="C35">
        <v>-77.042440353879812</v>
      </c>
      <c r="D35" s="165" t="s">
        <v>149</v>
      </c>
      <c r="E35">
        <v>38.957046438880887</v>
      </c>
      <c r="F35">
        <v>-76.991344852497164</v>
      </c>
      <c r="G35" s="167">
        <v>4.5750205924916116</v>
      </c>
      <c r="H35" s="168">
        <v>143.13429716538673</v>
      </c>
      <c r="I35" s="169">
        <v>323.16644120530475</v>
      </c>
      <c r="J35">
        <v>143.16644120530475</v>
      </c>
      <c r="K35">
        <v>323.13429716538673</v>
      </c>
      <c r="L35" t="s">
        <v>323</v>
      </c>
    </row>
    <row r="36" spans="1:12">
      <c r="A36" s="164" t="s">
        <v>175</v>
      </c>
      <c r="B36">
        <v>38.890643961669717</v>
      </c>
      <c r="C36">
        <v>-77.012352075974064</v>
      </c>
      <c r="D36" s="165" t="s">
        <v>6</v>
      </c>
      <c r="E36">
        <v>38.849500020681234</v>
      </c>
      <c r="F36">
        <v>-77.004921790891075</v>
      </c>
      <c r="G36" s="167">
        <v>2.8701860851848822</v>
      </c>
      <c r="H36" s="168">
        <v>171.99411636450444</v>
      </c>
      <c r="I36" s="169">
        <v>351.99877928823224</v>
      </c>
      <c r="J36">
        <v>171.9987792882323</v>
      </c>
      <c r="K36">
        <v>351.99411636450441</v>
      </c>
      <c r="L36" t="s">
        <v>300</v>
      </c>
    </row>
    <row r="37" spans="1:12">
      <c r="A37" s="164" t="s">
        <v>187</v>
      </c>
      <c r="B37">
        <v>38.893077925522043</v>
      </c>
      <c r="C37">
        <v>-77.04077541312266</v>
      </c>
      <c r="D37" s="165" t="s">
        <v>149</v>
      </c>
      <c r="E37">
        <v>38.957046438880887</v>
      </c>
      <c r="F37">
        <v>-76.991344852497164</v>
      </c>
      <c r="G37" s="167">
        <v>5.1559834472544219</v>
      </c>
      <c r="H37" s="168">
        <v>30.997142926130245</v>
      </c>
      <c r="I37" s="169">
        <v>211.0282003221717</v>
      </c>
      <c r="J37">
        <v>31.028200322171699</v>
      </c>
      <c r="K37">
        <v>210.99714292613024</v>
      </c>
      <c r="L37" t="s">
        <v>318</v>
      </c>
    </row>
    <row r="38" spans="1:12">
      <c r="A38" s="164" t="s">
        <v>263</v>
      </c>
      <c r="B38">
        <v>38.893613869460523</v>
      </c>
      <c r="C38">
        <v>-77.009077956021031</v>
      </c>
      <c r="D38" s="165" t="s">
        <v>88</v>
      </c>
      <c r="E38">
        <v>38.960393169597992</v>
      </c>
      <c r="F38">
        <v>-77.010591988442854</v>
      </c>
      <c r="G38" s="167">
        <v>4.6138403481785577</v>
      </c>
      <c r="H38" s="168">
        <v>358.9900112775648</v>
      </c>
      <c r="I38" s="169">
        <v>178.98905996575357</v>
      </c>
      <c r="J38">
        <v>358.98905996575354</v>
      </c>
      <c r="K38">
        <v>178.9900112775648</v>
      </c>
      <c r="L38" t="s">
        <v>305</v>
      </c>
    </row>
    <row r="39" spans="1:12">
      <c r="A39" s="164" t="s">
        <v>177</v>
      </c>
      <c r="B39">
        <v>38.895976636393023</v>
      </c>
      <c r="C39">
        <v>-77.034311337037963</v>
      </c>
      <c r="D39" s="165" t="s">
        <v>119</v>
      </c>
      <c r="E39">
        <v>38.918835090612639</v>
      </c>
      <c r="F39">
        <v>-77.007394020653479</v>
      </c>
      <c r="G39" s="167">
        <v>2.1417572326203547</v>
      </c>
      <c r="H39" s="168">
        <v>42.49170839091321</v>
      </c>
      <c r="I39" s="169">
        <v>222.50861417928988</v>
      </c>
      <c r="J39">
        <v>42.508614179289907</v>
      </c>
      <c r="K39">
        <v>222.4917083909132</v>
      </c>
      <c r="L39" t="s">
        <v>349</v>
      </c>
    </row>
    <row r="40" spans="1:12">
      <c r="A40" s="164" t="s">
        <v>135</v>
      </c>
      <c r="B40">
        <v>38.893596140000007</v>
      </c>
      <c r="C40">
        <v>-77.040985579999997</v>
      </c>
      <c r="D40" s="165" t="s">
        <v>119</v>
      </c>
      <c r="E40">
        <v>38.918835090612639</v>
      </c>
      <c r="F40">
        <v>-77.007394020653479</v>
      </c>
      <c r="G40" s="167">
        <v>2.5101005807408865</v>
      </c>
      <c r="H40" s="168">
        <v>45.994287347763333</v>
      </c>
      <c r="I40" s="169">
        <v>226.01538444284165</v>
      </c>
      <c r="J40">
        <v>46.015384442841651</v>
      </c>
      <c r="K40">
        <v>225.99428734776333</v>
      </c>
      <c r="L40" t="s">
        <v>312</v>
      </c>
    </row>
    <row r="41" spans="1:12">
      <c r="A41" s="164" t="s">
        <v>83</v>
      </c>
      <c r="B41">
        <v>38.893245129999983</v>
      </c>
      <c r="C41">
        <v>-77.172301140000016</v>
      </c>
      <c r="D41" s="165" t="s">
        <v>57</v>
      </c>
      <c r="E41">
        <v>38.971265146524964</v>
      </c>
      <c r="F41">
        <v>-77.068329157306508</v>
      </c>
      <c r="G41" s="167">
        <v>7.7629858846022906</v>
      </c>
      <c r="H41" s="168">
        <v>45.998021473347507</v>
      </c>
      <c r="I41" s="169">
        <v>226.06335760520238</v>
      </c>
      <c r="J41">
        <v>46.063357605202384</v>
      </c>
      <c r="K41">
        <v>225.99802147334751</v>
      </c>
      <c r="L41" t="s">
        <v>312</v>
      </c>
    </row>
    <row r="42" spans="1:12">
      <c r="A42" s="164" t="s">
        <v>160</v>
      </c>
      <c r="B42">
        <v>38.870800749819253</v>
      </c>
      <c r="C42">
        <v>-77.144343160781318</v>
      </c>
      <c r="D42" s="165" t="s">
        <v>11</v>
      </c>
      <c r="E42">
        <v>38.923121509621552</v>
      </c>
      <c r="F42">
        <v>-77.074683546770501</v>
      </c>
      <c r="G42" s="167">
        <v>5.2047496298194993</v>
      </c>
      <c r="H42" s="168">
        <v>45.996467115736912</v>
      </c>
      <c r="I42" s="169">
        <v>226.04020791238801</v>
      </c>
      <c r="J42">
        <v>46.040207912388041</v>
      </c>
      <c r="K42">
        <v>225.99646711573692</v>
      </c>
      <c r="L42" t="s">
        <v>312</v>
      </c>
    </row>
    <row r="43" spans="1:12">
      <c r="A43" s="164" t="s">
        <v>253</v>
      </c>
      <c r="B43">
        <v>38.888987189853758</v>
      </c>
      <c r="C43">
        <v>-77.012333798205077</v>
      </c>
      <c r="D43" s="165" t="s">
        <v>55</v>
      </c>
      <c r="E43">
        <v>38.91261730408393</v>
      </c>
      <c r="F43">
        <v>-76.957538798719796</v>
      </c>
      <c r="G43" s="167">
        <v>3.3678513052766514</v>
      </c>
      <c r="H43" s="168">
        <v>60.990486962328404</v>
      </c>
      <c r="I43" s="169">
        <v>241.02489679715717</v>
      </c>
      <c r="J43">
        <v>61.024896797157169</v>
      </c>
      <c r="K43">
        <v>240.99048696232842</v>
      </c>
      <c r="L43" t="s">
        <v>301</v>
      </c>
    </row>
    <row r="44" spans="1:12">
      <c r="A44" s="164" t="s">
        <v>172</v>
      </c>
      <c r="B44">
        <v>38.889273193198022</v>
      </c>
      <c r="C44">
        <v>-77.050184427930915</v>
      </c>
      <c r="D44" s="165" t="s">
        <v>181</v>
      </c>
      <c r="E44">
        <v>38.889811160074281</v>
      </c>
      <c r="F44">
        <v>-77.010120176650872</v>
      </c>
      <c r="G44" s="167">
        <v>2.1545374898636021</v>
      </c>
      <c r="H44" s="168">
        <v>88.99910067343896</v>
      </c>
      <c r="I44" s="169">
        <v>269.02425385234193</v>
      </c>
      <c r="J44">
        <v>89.024253852341928</v>
      </c>
      <c r="K44">
        <v>268.99910067343899</v>
      </c>
      <c r="L44" t="s">
        <v>292</v>
      </c>
    </row>
    <row r="45" spans="1:12">
      <c r="A45" s="164" t="s">
        <v>62</v>
      </c>
      <c r="B45">
        <v>38.892755432872512</v>
      </c>
      <c r="C45">
        <v>-77.051434507806491</v>
      </c>
      <c r="D45" s="165" t="s">
        <v>8</v>
      </c>
      <c r="E45">
        <v>38.889816848715718</v>
      </c>
      <c r="F45">
        <v>-77.008442240897836</v>
      </c>
      <c r="G45" s="167">
        <v>2.320493060823261</v>
      </c>
      <c r="H45" s="168">
        <v>95.00517926276676</v>
      </c>
      <c r="I45" s="169">
        <v>275.03217173006408</v>
      </c>
      <c r="J45">
        <v>95.032171730064078</v>
      </c>
      <c r="K45">
        <v>275.00517926276677</v>
      </c>
      <c r="L45" t="s">
        <v>155</v>
      </c>
    </row>
    <row r="46" spans="1:12">
      <c r="A46" s="164" t="s">
        <v>62</v>
      </c>
      <c r="B46">
        <v>38.892755432872512</v>
      </c>
      <c r="C46">
        <v>-77.051434507806491</v>
      </c>
      <c r="D46" s="165" t="s">
        <v>19</v>
      </c>
      <c r="E46">
        <v>38.88120136333437</v>
      </c>
      <c r="F46">
        <v>-77.072631056499674</v>
      </c>
      <c r="G46" s="167">
        <v>1.3914402072113774</v>
      </c>
      <c r="H46" s="168">
        <v>235.00367146988623</v>
      </c>
      <c r="I46" s="169">
        <v>54.990364569595442</v>
      </c>
      <c r="J46">
        <v>234.99036456959544</v>
      </c>
      <c r="K46">
        <v>55.003671469886228</v>
      </c>
      <c r="L46" t="s">
        <v>155</v>
      </c>
    </row>
    <row r="47" spans="1:12">
      <c r="A47" s="164" t="s">
        <v>121</v>
      </c>
      <c r="B47">
        <v>38.735159000000003</v>
      </c>
      <c r="C47">
        <v>-77.011513956660835</v>
      </c>
      <c r="D47" s="165" t="s">
        <v>63</v>
      </c>
      <c r="E47">
        <v>38.895136600000001</v>
      </c>
      <c r="F47">
        <v>-77.051444000000004</v>
      </c>
      <c r="G47" s="167">
        <v>11.258326081074282</v>
      </c>
      <c r="H47" s="168">
        <v>349.00702756188804</v>
      </c>
      <c r="I47" s="169">
        <v>168.98199899320326</v>
      </c>
      <c r="J47">
        <v>348.98199899320326</v>
      </c>
      <c r="K47">
        <v>169.00702756188798</v>
      </c>
      <c r="L47" t="s">
        <v>155</v>
      </c>
    </row>
    <row r="48" spans="1:12">
      <c r="A48" s="164" t="s">
        <v>121</v>
      </c>
      <c r="B48">
        <v>38.735159000000003</v>
      </c>
      <c r="C48">
        <v>-77.011513956660835</v>
      </c>
      <c r="D48" s="165" t="s">
        <v>129</v>
      </c>
      <c r="E48">
        <v>39.010042682733477</v>
      </c>
      <c r="F48">
        <v>-77.042440353879812</v>
      </c>
      <c r="G48" s="167">
        <v>19.061706216316434</v>
      </c>
      <c r="H48" s="168">
        <v>355.00383855687534</v>
      </c>
      <c r="I48" s="169">
        <v>174.98442937758051</v>
      </c>
      <c r="J48">
        <v>354.98442937758051</v>
      </c>
      <c r="K48">
        <v>175.00383855687528</v>
      </c>
      <c r="L48" t="s">
        <v>155</v>
      </c>
    </row>
    <row r="49" spans="1:12">
      <c r="A49" s="164" t="s">
        <v>255</v>
      </c>
      <c r="B49">
        <v>38.807607597722587</v>
      </c>
      <c r="C49">
        <v>-77.066066557763804</v>
      </c>
      <c r="D49" s="165" t="s">
        <v>112</v>
      </c>
      <c r="E49">
        <v>38.790339150000008</v>
      </c>
      <c r="F49">
        <v>-77.04058603</v>
      </c>
      <c r="G49" s="167">
        <v>1.8179346239716816</v>
      </c>
      <c r="H49" s="168">
        <v>131.00179793322184</v>
      </c>
      <c r="I49" s="169">
        <v>311.01776377355873</v>
      </c>
      <c r="J49">
        <v>131.01776377355873</v>
      </c>
      <c r="K49">
        <v>311.00179793322184</v>
      </c>
      <c r="L49" t="s">
        <v>155</v>
      </c>
    </row>
    <row r="50" spans="1:12">
      <c r="A50" s="164" t="s">
        <v>255</v>
      </c>
      <c r="B50">
        <v>38.807607597722587</v>
      </c>
      <c r="C50">
        <v>-77.066066557763804</v>
      </c>
      <c r="D50" s="165" t="s">
        <v>72</v>
      </c>
      <c r="E50">
        <v>38.870628217218183</v>
      </c>
      <c r="F50">
        <v>-77.053238771071065</v>
      </c>
      <c r="G50" s="167">
        <v>4.4078496099271796</v>
      </c>
      <c r="H50" s="168">
        <v>9.0050292448571145</v>
      </c>
      <c r="I50" s="169">
        <v>189.01307400969154</v>
      </c>
      <c r="J50">
        <v>9.013074009691536</v>
      </c>
      <c r="K50">
        <v>189.00502924485713</v>
      </c>
      <c r="L50" t="s">
        <v>155</v>
      </c>
    </row>
    <row r="51" spans="1:12">
      <c r="A51" s="164" t="s">
        <v>255</v>
      </c>
      <c r="B51">
        <v>38.807607597722587</v>
      </c>
      <c r="C51">
        <v>-77.066066557763804</v>
      </c>
      <c r="D51" s="165" t="s">
        <v>130</v>
      </c>
      <c r="E51">
        <v>38.916014822915052</v>
      </c>
      <c r="F51">
        <v>-77.116777991306989</v>
      </c>
      <c r="G51" s="167">
        <v>7.9701085120146926</v>
      </c>
      <c r="H51" s="168">
        <v>340.00188743010261</v>
      </c>
      <c r="I51" s="169">
        <v>159.97006881957756</v>
      </c>
      <c r="J51">
        <v>339.97006881957759</v>
      </c>
      <c r="K51">
        <v>160.00188743010267</v>
      </c>
      <c r="L51" t="s">
        <v>155</v>
      </c>
    </row>
    <row r="52" spans="1:12">
      <c r="A52" s="164" t="s">
        <v>170</v>
      </c>
      <c r="B52">
        <v>38.808593670098077</v>
      </c>
      <c r="C52">
        <v>-77.067282222571677</v>
      </c>
      <c r="D52" s="165" t="s">
        <v>253</v>
      </c>
      <c r="E52">
        <v>38.888987189853758</v>
      </c>
      <c r="F52">
        <v>-77.012333798205077</v>
      </c>
      <c r="G52" s="167">
        <v>6.291394440812959</v>
      </c>
      <c r="H52" s="168">
        <v>28.00946909243974</v>
      </c>
      <c r="I52" s="169">
        <v>208.04393644858894</v>
      </c>
      <c r="J52">
        <v>28.043936448588966</v>
      </c>
      <c r="K52">
        <v>208.00946909243973</v>
      </c>
      <c r="L52" t="s">
        <v>155</v>
      </c>
    </row>
    <row r="53" spans="1:12">
      <c r="A53" s="164" t="s">
        <v>170</v>
      </c>
      <c r="B53">
        <v>38.808593670098077</v>
      </c>
      <c r="C53">
        <v>-77.067282222571677</v>
      </c>
      <c r="D53" s="165" t="s">
        <v>95</v>
      </c>
      <c r="E53">
        <v>39.448886999999999</v>
      </c>
      <c r="F53">
        <v>-77.627617999999998</v>
      </c>
      <c r="G53" s="167">
        <v>53.460454454767053</v>
      </c>
      <c r="H53" s="168">
        <v>326.00546026584664</v>
      </c>
      <c r="I53" s="169">
        <v>145.65184475045567</v>
      </c>
      <c r="J53">
        <v>325.65184475045567</v>
      </c>
      <c r="K53">
        <v>146.00546026584664</v>
      </c>
      <c r="L53" t="s">
        <v>155</v>
      </c>
    </row>
    <row r="54" spans="1:12">
      <c r="A54" s="164" t="s">
        <v>171</v>
      </c>
      <c r="B54">
        <v>38.806817394919563</v>
      </c>
      <c r="C54">
        <v>-77.067484029795025</v>
      </c>
      <c r="D54" s="165" t="s">
        <v>178</v>
      </c>
      <c r="E54">
        <v>38.77367519361357</v>
      </c>
      <c r="F54">
        <v>-76.972158414322777</v>
      </c>
      <c r="G54" s="167">
        <v>5.6201893951439672</v>
      </c>
      <c r="H54" s="168">
        <v>114.00953978288204</v>
      </c>
      <c r="I54" s="169">
        <v>294.06925854000468</v>
      </c>
      <c r="J54">
        <v>114.06925854000468</v>
      </c>
      <c r="K54">
        <v>294.00953978288203</v>
      </c>
      <c r="L54" t="s">
        <v>155</v>
      </c>
    </row>
    <row r="55" spans="1:12">
      <c r="A55" s="164" t="s">
        <v>63</v>
      </c>
      <c r="B55">
        <v>38.895136600000001</v>
      </c>
      <c r="C55">
        <v>-77.051444000000004</v>
      </c>
      <c r="D55" s="165" t="s">
        <v>48</v>
      </c>
      <c r="E55">
        <v>38.913291244749402</v>
      </c>
      <c r="F55">
        <v>-77.093538846706636</v>
      </c>
      <c r="G55" s="167">
        <v>2.5872174089270543</v>
      </c>
      <c r="H55" s="168">
        <v>299.0085921447386</v>
      </c>
      <c r="I55" s="169">
        <v>118.98215572571233</v>
      </c>
      <c r="J55">
        <v>298.98215572571235</v>
      </c>
      <c r="K55">
        <v>119.0085921447386</v>
      </c>
      <c r="L55" t="s">
        <v>155</v>
      </c>
    </row>
    <row r="56" spans="1:12">
      <c r="A56" s="164" t="s">
        <v>174</v>
      </c>
      <c r="B56">
        <v>38.921544640505182</v>
      </c>
      <c r="C56">
        <v>-77.067051280524325</v>
      </c>
      <c r="D56" s="165" t="s">
        <v>196</v>
      </c>
      <c r="E56">
        <v>38.888169036259093</v>
      </c>
      <c r="F56">
        <v>-77.051451527226078</v>
      </c>
      <c r="G56" s="167">
        <v>2.4533661928393999</v>
      </c>
      <c r="H56" s="168">
        <v>160.00746528299061</v>
      </c>
      <c r="I56" s="169">
        <v>340.01726238130345</v>
      </c>
      <c r="J56">
        <v>160.01726238130345</v>
      </c>
      <c r="K56">
        <v>340.00746528299061</v>
      </c>
      <c r="L56" t="s">
        <v>155</v>
      </c>
    </row>
    <row r="57" spans="1:12">
      <c r="A57" s="164" t="s">
        <v>174</v>
      </c>
      <c r="B57">
        <v>38.921544640505182</v>
      </c>
      <c r="C57">
        <v>-77.067051280524325</v>
      </c>
      <c r="D57" s="165" t="s">
        <v>144</v>
      </c>
      <c r="E57">
        <v>38.93539090046842</v>
      </c>
      <c r="F57">
        <v>-77.118770832388549</v>
      </c>
      <c r="G57" s="167">
        <v>2.9393683918755764</v>
      </c>
      <c r="H57" s="168">
        <v>289.00669680915996</v>
      </c>
      <c r="I57" s="169">
        <v>108.97419884501292</v>
      </c>
      <c r="J57">
        <v>288.97419884501289</v>
      </c>
      <c r="K57">
        <v>109.00669680915996</v>
      </c>
      <c r="L57" t="s">
        <v>155</v>
      </c>
    </row>
    <row r="58" spans="1:12">
      <c r="A58" s="164" t="s">
        <v>174</v>
      </c>
      <c r="B58">
        <v>38.921544640505182</v>
      </c>
      <c r="C58">
        <v>-77.067051280524325</v>
      </c>
      <c r="D58" s="165" t="s">
        <v>47</v>
      </c>
      <c r="E58">
        <v>38.924871835602019</v>
      </c>
      <c r="F58">
        <v>-77.018002710089107</v>
      </c>
      <c r="G58" s="167">
        <v>2.6460462352580518</v>
      </c>
      <c r="H58" s="168">
        <v>85.001438595665761</v>
      </c>
      <c r="I58" s="169">
        <v>265.03225474638998</v>
      </c>
      <c r="J58">
        <v>85.032254746389981</v>
      </c>
      <c r="K58">
        <v>265.00143859566577</v>
      </c>
      <c r="L58" t="s">
        <v>155</v>
      </c>
    </row>
    <row r="59" spans="1:12">
      <c r="A59" s="164" t="s">
        <v>174</v>
      </c>
      <c r="B59">
        <v>38.921544640505182</v>
      </c>
      <c r="C59">
        <v>-77.067051280524325</v>
      </c>
      <c r="D59" s="165" t="s">
        <v>123</v>
      </c>
      <c r="E59">
        <v>38.792909774730433</v>
      </c>
      <c r="F59">
        <v>-77.031973080762256</v>
      </c>
      <c r="G59" s="167">
        <v>9.084255595734982</v>
      </c>
      <c r="H59" s="168">
        <v>168.00023579545712</v>
      </c>
      <c r="I59" s="169">
        <v>348.02224323749306</v>
      </c>
      <c r="J59">
        <v>168.02224323749306</v>
      </c>
      <c r="K59">
        <v>348.00023579545712</v>
      </c>
      <c r="L59" t="s">
        <v>155</v>
      </c>
    </row>
    <row r="60" spans="1:12">
      <c r="A60" s="164" t="s">
        <v>174</v>
      </c>
      <c r="B60">
        <v>38.921544640505182</v>
      </c>
      <c r="C60">
        <v>-77.067051280524325</v>
      </c>
      <c r="D60" s="165" t="s">
        <v>176</v>
      </c>
      <c r="E60">
        <v>38.821065366659731</v>
      </c>
      <c r="F60">
        <v>-77.001357365916036</v>
      </c>
      <c r="G60" s="167">
        <v>7.7886266760017024</v>
      </c>
      <c r="H60" s="168">
        <v>153.00213508835105</v>
      </c>
      <c r="I60" s="169">
        <v>333.04336284829748</v>
      </c>
      <c r="J60">
        <v>153.04336284829742</v>
      </c>
      <c r="K60">
        <v>333.00213508835105</v>
      </c>
      <c r="L60" t="s">
        <v>155</v>
      </c>
    </row>
    <row r="61" spans="1:12">
      <c r="A61" s="164" t="s">
        <v>174</v>
      </c>
      <c r="B61">
        <v>38.921544640505182</v>
      </c>
      <c r="C61">
        <v>-77.067051280524325</v>
      </c>
      <c r="D61" s="165" t="s">
        <v>153</v>
      </c>
      <c r="E61">
        <v>38.945071482174598</v>
      </c>
      <c r="F61">
        <v>-77.038834596689199</v>
      </c>
      <c r="G61" s="167">
        <v>2.2227028588950741</v>
      </c>
      <c r="H61" s="168">
        <v>43.004160380180288</v>
      </c>
      <c r="I61" s="169">
        <v>223.02189217863366</v>
      </c>
      <c r="J61">
        <v>43.021892178633664</v>
      </c>
      <c r="K61">
        <v>223.00416038018028</v>
      </c>
      <c r="L61" t="s">
        <v>155</v>
      </c>
    </row>
    <row r="62" spans="1:12">
      <c r="A62" s="164" t="s">
        <v>172</v>
      </c>
      <c r="B62">
        <v>38.889273193198022</v>
      </c>
      <c r="C62">
        <v>-77.050184427930915</v>
      </c>
      <c r="D62" s="165" t="s">
        <v>132</v>
      </c>
      <c r="E62">
        <v>38.909694801858848</v>
      </c>
      <c r="F62">
        <v>-76.973871148151133</v>
      </c>
      <c r="G62" s="167">
        <v>4.3384848587138221</v>
      </c>
      <c r="H62" s="168">
        <v>71.000415329782996</v>
      </c>
      <c r="I62" s="169">
        <v>251.04833672047636</v>
      </c>
      <c r="J62">
        <v>71.048336720476357</v>
      </c>
      <c r="K62">
        <v>251.00041532978298</v>
      </c>
      <c r="L62" t="s">
        <v>155</v>
      </c>
    </row>
    <row r="63" spans="1:12">
      <c r="A63" s="164" t="s">
        <v>85</v>
      </c>
      <c r="B63">
        <v>38.892743275999997</v>
      </c>
      <c r="C63">
        <v>-77.008886000000004</v>
      </c>
      <c r="D63" s="165" t="s">
        <v>45</v>
      </c>
      <c r="E63">
        <v>38.989097905845689</v>
      </c>
      <c r="F63">
        <v>-77.046770824431448</v>
      </c>
      <c r="G63" s="167">
        <v>6.9604857562196623</v>
      </c>
      <c r="H63" s="168">
        <v>343.00753116464563</v>
      </c>
      <c r="I63" s="169">
        <v>162.98371983442161</v>
      </c>
      <c r="J63">
        <v>342.98371983442161</v>
      </c>
      <c r="K63">
        <v>163.00753116464557</v>
      </c>
      <c r="L63" t="s">
        <v>155</v>
      </c>
    </row>
    <row r="64" spans="1:12">
      <c r="A64" s="164" t="s">
        <v>85</v>
      </c>
      <c r="B64">
        <v>38.892743275999997</v>
      </c>
      <c r="C64">
        <v>-77.008886000000004</v>
      </c>
      <c r="D64" s="165" t="s">
        <v>153</v>
      </c>
      <c r="E64">
        <v>38.945071482174598</v>
      </c>
      <c r="F64">
        <v>-77.038834596689199</v>
      </c>
      <c r="G64" s="167">
        <v>3.9570203604964815</v>
      </c>
      <c r="H64" s="168">
        <v>336.00660579746159</v>
      </c>
      <c r="I64" s="169">
        <v>155.98779149260102</v>
      </c>
      <c r="J64">
        <v>335.98779149260099</v>
      </c>
      <c r="K64">
        <v>156.00660579746159</v>
      </c>
      <c r="L64" t="s">
        <v>155</v>
      </c>
    </row>
    <row r="65" spans="1:12">
      <c r="A65" s="164" t="s">
        <v>196</v>
      </c>
      <c r="B65">
        <v>38.888169036259093</v>
      </c>
      <c r="C65">
        <v>-77.051451527226078</v>
      </c>
      <c r="D65" s="165" t="s">
        <v>77</v>
      </c>
      <c r="E65">
        <v>38.921883328355477</v>
      </c>
      <c r="F65">
        <v>-77.089117288265243</v>
      </c>
      <c r="G65" s="167">
        <v>3.0861047618996329</v>
      </c>
      <c r="H65" s="168">
        <v>319.00828506793306</v>
      </c>
      <c r="I65" s="169">
        <v>138.9846297885662</v>
      </c>
      <c r="J65">
        <v>318.98462978856617</v>
      </c>
      <c r="K65">
        <v>139.00828506793306</v>
      </c>
      <c r="L65" t="s">
        <v>155</v>
      </c>
    </row>
    <row r="66" spans="1:12">
      <c r="A66" s="164" t="s">
        <v>67</v>
      </c>
      <c r="B66">
        <v>38.897788758778049</v>
      </c>
      <c r="C66">
        <v>-77.036569</v>
      </c>
      <c r="D66" s="165" t="s">
        <v>8</v>
      </c>
      <c r="E66">
        <v>38.889816848715718</v>
      </c>
      <c r="F66">
        <v>-77.008442240897836</v>
      </c>
      <c r="G66" s="167">
        <v>1.609408936536187</v>
      </c>
      <c r="H66" s="168">
        <v>110.00065324851596</v>
      </c>
      <c r="I66" s="169">
        <v>290.01831344672587</v>
      </c>
      <c r="J66">
        <v>110.01831344672587</v>
      </c>
      <c r="K66">
        <v>290.00065324851596</v>
      </c>
      <c r="L66" t="s">
        <v>155</v>
      </c>
    </row>
    <row r="67" spans="1:12">
      <c r="A67" s="164" t="s">
        <v>67</v>
      </c>
      <c r="B67">
        <v>38.897788758778049</v>
      </c>
      <c r="C67">
        <v>-77.036569</v>
      </c>
      <c r="D67" s="165" t="s">
        <v>253</v>
      </c>
      <c r="E67">
        <v>38.888987189853758</v>
      </c>
      <c r="F67">
        <v>-77.012333798205077</v>
      </c>
      <c r="G67" s="167">
        <v>1.437906956593592</v>
      </c>
      <c r="H67" s="168">
        <v>115.00680417095126</v>
      </c>
      <c r="I67" s="169">
        <v>295.0220208058771</v>
      </c>
      <c r="J67">
        <v>115.0220208058771</v>
      </c>
      <c r="K67">
        <v>295.00680417095123</v>
      </c>
      <c r="L67" t="s">
        <v>155</v>
      </c>
    </row>
    <row r="68" spans="1:12">
      <c r="A68" s="164" t="s">
        <v>182</v>
      </c>
      <c r="B68">
        <v>38.888814177374293</v>
      </c>
      <c r="C68">
        <v>-77.008603272094433</v>
      </c>
      <c r="D68" s="165" t="s">
        <v>141</v>
      </c>
      <c r="E68">
        <v>38.902528221297217</v>
      </c>
      <c r="F68">
        <v>-77.050139297471702</v>
      </c>
      <c r="G68" s="167">
        <v>2.4258009483362324</v>
      </c>
      <c r="H68" s="168">
        <v>293.00103162745091</v>
      </c>
      <c r="I68" s="169">
        <v>112.97495097936913</v>
      </c>
      <c r="J68">
        <v>292.97495097936911</v>
      </c>
      <c r="K68">
        <v>113.00103162745091</v>
      </c>
      <c r="L68" t="s">
        <v>155</v>
      </c>
    </row>
    <row r="69" spans="1:12">
      <c r="A69" s="164" t="s">
        <v>182</v>
      </c>
      <c r="B69">
        <v>38.888814177374293</v>
      </c>
      <c r="C69">
        <v>-77.008603272094433</v>
      </c>
      <c r="D69" s="165" t="s">
        <v>118</v>
      </c>
      <c r="E69">
        <v>38.942139058947483</v>
      </c>
      <c r="F69">
        <v>-77.010995768444687</v>
      </c>
      <c r="G69" s="167">
        <v>3.6859337533298597</v>
      </c>
      <c r="H69" s="168">
        <v>358.00140374941026</v>
      </c>
      <c r="I69" s="169">
        <v>177.9999008470343</v>
      </c>
      <c r="J69">
        <v>357.99990084703427</v>
      </c>
      <c r="K69">
        <v>178.0014037494102</v>
      </c>
      <c r="L69" t="s">
        <v>155</v>
      </c>
    </row>
    <row r="70" spans="1:12">
      <c r="A70" s="164" t="s">
        <v>182</v>
      </c>
      <c r="B70">
        <v>38.888814177374293</v>
      </c>
      <c r="C70">
        <v>-77.008603272094433</v>
      </c>
      <c r="D70" s="165" t="s">
        <v>34</v>
      </c>
      <c r="E70">
        <v>38.903018005263867</v>
      </c>
      <c r="F70">
        <v>-77.112368203032503</v>
      </c>
      <c r="G70" s="167">
        <v>5.664470778031518</v>
      </c>
      <c r="H70" s="168">
        <v>280.00769129203866</v>
      </c>
      <c r="I70" s="169">
        <v>99.942536493587369</v>
      </c>
      <c r="J70">
        <v>279.94253649358734</v>
      </c>
      <c r="K70">
        <v>100.00769129203866</v>
      </c>
      <c r="L70" t="s">
        <v>155</v>
      </c>
    </row>
    <row r="71" spans="1:12">
      <c r="A71" s="164" t="s">
        <v>8</v>
      </c>
      <c r="B71">
        <v>38.889816848715718</v>
      </c>
      <c r="C71">
        <v>-77.008442240897836</v>
      </c>
      <c r="D71" s="165" t="s">
        <v>201</v>
      </c>
      <c r="E71">
        <v>38.833009876161171</v>
      </c>
      <c r="F71">
        <v>-77.065415633235574</v>
      </c>
      <c r="G71" s="167">
        <v>4.9791051655070957</v>
      </c>
      <c r="H71" s="168">
        <v>218.00582857573221</v>
      </c>
      <c r="I71" s="169">
        <v>37.97008125282423</v>
      </c>
      <c r="J71">
        <v>217.97008125282423</v>
      </c>
      <c r="K71">
        <v>38.00582857573221</v>
      </c>
      <c r="L71" t="s">
        <v>155</v>
      </c>
    </row>
    <row r="72" spans="1:12">
      <c r="A72" s="164" t="s">
        <v>175</v>
      </c>
      <c r="B72">
        <v>38.890643961669717</v>
      </c>
      <c r="C72">
        <v>-77.012352075974064</v>
      </c>
      <c r="D72" s="165" t="s">
        <v>168</v>
      </c>
      <c r="E72">
        <v>38.904077195910197</v>
      </c>
      <c r="F72">
        <v>-77.081655757436437</v>
      </c>
      <c r="G72" s="167">
        <v>3.8398019102750176</v>
      </c>
      <c r="H72" s="168">
        <v>284.00695456721132</v>
      </c>
      <c r="I72" s="169">
        <v>103.96343689663719</v>
      </c>
      <c r="J72">
        <v>283.96343689663718</v>
      </c>
      <c r="K72">
        <v>104.00695456721132</v>
      </c>
      <c r="L72" t="s">
        <v>155</v>
      </c>
    </row>
    <row r="73" spans="1:12">
      <c r="A73" s="164" t="s">
        <v>253</v>
      </c>
      <c r="B73">
        <v>38.888987189853758</v>
      </c>
      <c r="C73">
        <v>-77.012333798205077</v>
      </c>
      <c r="D73" s="165" t="s">
        <v>83</v>
      </c>
      <c r="E73">
        <v>38.893245129999983</v>
      </c>
      <c r="F73">
        <v>-77.172301140000016</v>
      </c>
      <c r="G73" s="167">
        <v>8.6061292818035948</v>
      </c>
      <c r="H73" s="168">
        <v>272.00884411081154</v>
      </c>
      <c r="I73" s="169">
        <v>91.908409794345559</v>
      </c>
      <c r="J73">
        <v>271.90840979434557</v>
      </c>
      <c r="K73">
        <v>92.008844110811538</v>
      </c>
      <c r="L73" t="s">
        <v>155</v>
      </c>
    </row>
    <row r="74" spans="1:12">
      <c r="A74" s="164" t="s">
        <v>253</v>
      </c>
      <c r="B74">
        <v>38.888987189853758</v>
      </c>
      <c r="C74">
        <v>-77.012333798205077</v>
      </c>
      <c r="D74" s="165" t="s">
        <v>160</v>
      </c>
      <c r="E74">
        <v>38.870800749819253</v>
      </c>
      <c r="F74">
        <v>-77.144343160781318</v>
      </c>
      <c r="G74" s="167">
        <v>7.209292008081067</v>
      </c>
      <c r="H74" s="168">
        <v>260.00559253302072</v>
      </c>
      <c r="I74" s="169">
        <v>79.922731563438518</v>
      </c>
      <c r="J74">
        <v>259.9227315634385</v>
      </c>
      <c r="K74">
        <v>80.005592533020717</v>
      </c>
      <c r="L74" t="s">
        <v>155</v>
      </c>
    </row>
    <row r="75" spans="1:12">
      <c r="A75" s="164" t="s">
        <v>179</v>
      </c>
      <c r="B75">
        <v>38.889749178901553</v>
      </c>
      <c r="C75">
        <v>-77.013609953486323</v>
      </c>
      <c r="D75" s="165" t="s">
        <v>133</v>
      </c>
      <c r="E75">
        <v>38.892699520000001</v>
      </c>
      <c r="F75">
        <v>-77.04058603</v>
      </c>
      <c r="G75" s="167">
        <v>1.4646930627116928</v>
      </c>
      <c r="H75" s="168">
        <v>278.0070491411276</v>
      </c>
      <c r="I75" s="169">
        <v>97.990112377157757</v>
      </c>
      <c r="J75">
        <v>277.99011237715774</v>
      </c>
      <c r="K75">
        <v>98.007049141127595</v>
      </c>
      <c r="L75" t="s">
        <v>155</v>
      </c>
    </row>
    <row r="76" spans="1:12">
      <c r="A76" s="164" t="s">
        <v>179</v>
      </c>
      <c r="B76">
        <v>38.889749178901553</v>
      </c>
      <c r="C76">
        <v>-77.013609953486323</v>
      </c>
      <c r="D76" s="165" t="s">
        <v>26</v>
      </c>
      <c r="E76">
        <v>38.920660773128958</v>
      </c>
      <c r="F76">
        <v>-77.079750995205373</v>
      </c>
      <c r="G76" s="167">
        <v>4.1475076523325853</v>
      </c>
      <c r="H76" s="168">
        <v>301.00872089109708</v>
      </c>
      <c r="I76" s="169">
        <v>120.96718208008498</v>
      </c>
      <c r="J76">
        <v>300.96718208008497</v>
      </c>
      <c r="K76">
        <v>121.00872089109708</v>
      </c>
      <c r="L76" t="s">
        <v>155</v>
      </c>
    </row>
    <row r="77" spans="1:12">
      <c r="A77" s="164" t="s">
        <v>181</v>
      </c>
      <c r="B77">
        <v>38.889811160074281</v>
      </c>
      <c r="C77">
        <v>-77.010120176650872</v>
      </c>
      <c r="D77" s="165" t="s">
        <v>126</v>
      </c>
      <c r="E77">
        <v>38.942531162412862</v>
      </c>
      <c r="F77">
        <v>-77.110668589240717</v>
      </c>
      <c r="G77" s="167">
        <v>6.5169495928720957</v>
      </c>
      <c r="H77" s="168">
        <v>304.00689295289874</v>
      </c>
      <c r="I77" s="169">
        <v>123.94373016470982</v>
      </c>
      <c r="J77">
        <v>303.94373016470979</v>
      </c>
      <c r="K77">
        <v>124.00689295289874</v>
      </c>
      <c r="L77" t="s">
        <v>155</v>
      </c>
    </row>
    <row r="78" spans="1:12">
      <c r="A78" s="164" t="s">
        <v>251</v>
      </c>
      <c r="B78">
        <v>38.888685784961083</v>
      </c>
      <c r="C78">
        <v>-77.004678711651678</v>
      </c>
      <c r="D78" s="165" t="s">
        <v>184</v>
      </c>
      <c r="E78">
        <v>38.904466128951633</v>
      </c>
      <c r="F78">
        <v>-76.975703367128119</v>
      </c>
      <c r="G78" s="167">
        <v>1.901354073265114</v>
      </c>
      <c r="H78" s="168">
        <v>55.007958541478679</v>
      </c>
      <c r="I78" s="169">
        <v>235.02615264020736</v>
      </c>
      <c r="J78">
        <v>55.026152640207329</v>
      </c>
      <c r="K78">
        <v>235.00795854147867</v>
      </c>
      <c r="L78" t="s">
        <v>155</v>
      </c>
    </row>
    <row r="79" spans="1:12">
      <c r="A79" s="164" t="s">
        <v>251</v>
      </c>
      <c r="B79">
        <v>38.888685784961083</v>
      </c>
      <c r="C79">
        <v>-77.004678711651678</v>
      </c>
      <c r="D79" s="165" t="s">
        <v>193</v>
      </c>
      <c r="E79">
        <v>38.967911031638792</v>
      </c>
      <c r="F79">
        <v>-77.068345449756862</v>
      </c>
      <c r="G79" s="167">
        <v>6.4543566941456305</v>
      </c>
      <c r="H79" s="168">
        <v>328.00802527286857</v>
      </c>
      <c r="I79" s="169">
        <v>147.96802043428579</v>
      </c>
      <c r="J79">
        <v>327.96802043428579</v>
      </c>
      <c r="K79">
        <v>148.00802527286857</v>
      </c>
      <c r="L79" t="s">
        <v>155</v>
      </c>
    </row>
    <row r="80" spans="1:12">
      <c r="A80" s="164" t="s">
        <v>186</v>
      </c>
      <c r="B80">
        <v>38.885561745965539</v>
      </c>
      <c r="C80">
        <v>-77.009887373032456</v>
      </c>
      <c r="D80" s="165" t="s">
        <v>70</v>
      </c>
      <c r="E80">
        <v>38.91858289999999</v>
      </c>
      <c r="F80">
        <v>-76.941921800000017</v>
      </c>
      <c r="G80" s="167">
        <v>4.3074001204536323</v>
      </c>
      <c r="H80" s="168">
        <v>58.001696825615085</v>
      </c>
      <c r="I80" s="169">
        <v>238.04437861255246</v>
      </c>
      <c r="J80">
        <v>58.044378612552464</v>
      </c>
      <c r="K80">
        <v>238.00169682561508</v>
      </c>
      <c r="L80" t="s">
        <v>155</v>
      </c>
    </row>
    <row r="81" spans="1:12">
      <c r="A81" s="164" t="s">
        <v>186</v>
      </c>
      <c r="B81">
        <v>38.885561745965539</v>
      </c>
      <c r="C81">
        <v>-77.009887373032456</v>
      </c>
      <c r="D81" s="165" t="s">
        <v>2</v>
      </c>
      <c r="E81">
        <v>38.897038827303611</v>
      </c>
      <c r="F81">
        <v>-77.037627866552469</v>
      </c>
      <c r="G81" s="167">
        <v>1.6891695425775137</v>
      </c>
      <c r="H81" s="168">
        <v>298.00184005663976</v>
      </c>
      <c r="I81" s="169">
        <v>117.98442332943793</v>
      </c>
      <c r="J81">
        <v>297.98442332943796</v>
      </c>
      <c r="K81">
        <v>118.00184005663976</v>
      </c>
      <c r="L81" t="s">
        <v>155</v>
      </c>
    </row>
    <row r="82" spans="1:12">
      <c r="A82" s="164" t="s">
        <v>133</v>
      </c>
      <c r="B82">
        <v>38.892699520000001</v>
      </c>
      <c r="C82">
        <v>-77.04058603</v>
      </c>
      <c r="D82" s="165" t="s">
        <v>88</v>
      </c>
      <c r="E82">
        <v>38.960393169597992</v>
      </c>
      <c r="F82">
        <v>-77.010591988442854</v>
      </c>
      <c r="G82" s="167">
        <v>4.9463025146708191</v>
      </c>
      <c r="H82" s="168">
        <v>19.009595771050083</v>
      </c>
      <c r="I82" s="169">
        <v>199.02844173777174</v>
      </c>
      <c r="J82">
        <v>19.028441737771743</v>
      </c>
      <c r="K82">
        <v>199.00959577105007</v>
      </c>
      <c r="L82" t="s">
        <v>155</v>
      </c>
    </row>
    <row r="83" spans="1:12">
      <c r="A83" s="164" t="s">
        <v>135</v>
      </c>
      <c r="B83">
        <v>38.893596140000007</v>
      </c>
      <c r="C83">
        <v>-77.040985579999997</v>
      </c>
      <c r="D83" s="165" t="s">
        <v>123</v>
      </c>
      <c r="E83">
        <v>38.792909774730433</v>
      </c>
      <c r="F83">
        <v>-77.031973080762256</v>
      </c>
      <c r="G83" s="167">
        <v>6.9723100067432373</v>
      </c>
      <c r="H83" s="168">
        <v>176.00915528191271</v>
      </c>
      <c r="I83" s="169">
        <v>356.01480785116394</v>
      </c>
      <c r="J83">
        <v>176.01480785116394</v>
      </c>
      <c r="K83">
        <v>356.00915528191274</v>
      </c>
      <c r="L83" t="s">
        <v>155</v>
      </c>
    </row>
    <row r="84" spans="1:12">
      <c r="A84" s="164" t="s">
        <v>135</v>
      </c>
      <c r="B84">
        <v>38.893596140000007</v>
      </c>
      <c r="C84">
        <v>-77.040985579999997</v>
      </c>
      <c r="D84" s="165" t="s">
        <v>89</v>
      </c>
      <c r="E84">
        <v>38.911588839433009</v>
      </c>
      <c r="F84">
        <v>-76.993547550999835</v>
      </c>
      <c r="G84" s="167">
        <v>2.8369992096833592</v>
      </c>
      <c r="H84" s="168">
        <v>64.001296037549423</v>
      </c>
      <c r="I84" s="169">
        <v>244.0310870391184</v>
      </c>
      <c r="J84">
        <v>64.031087039118404</v>
      </c>
      <c r="K84">
        <v>244.00129603754942</v>
      </c>
      <c r="L84" t="s">
        <v>155</v>
      </c>
    </row>
    <row r="85" spans="1:12">
      <c r="A85" s="164" t="s">
        <v>136</v>
      </c>
      <c r="B85">
        <v>38.89317136999999</v>
      </c>
      <c r="C85">
        <v>-77.040786249999996</v>
      </c>
      <c r="D85" s="165" t="s">
        <v>193</v>
      </c>
      <c r="E85">
        <v>38.967911031638792</v>
      </c>
      <c r="F85">
        <v>-77.068345449756862</v>
      </c>
      <c r="G85" s="167">
        <v>5.3712312003076788</v>
      </c>
      <c r="H85" s="168">
        <v>344.0035026161251</v>
      </c>
      <c r="I85" s="169">
        <v>163.98618502274294</v>
      </c>
      <c r="J85">
        <v>343.98618502274292</v>
      </c>
      <c r="K85">
        <v>164.00350261612516</v>
      </c>
      <c r="L85" t="s">
        <v>155</v>
      </c>
    </row>
    <row r="86" spans="1:12">
      <c r="A86" s="164" t="s">
        <v>112</v>
      </c>
      <c r="B86">
        <v>38.790339150000008</v>
      </c>
      <c r="C86">
        <v>-77.04058603</v>
      </c>
      <c r="D86" s="165" t="s">
        <v>72</v>
      </c>
      <c r="E86">
        <v>38.870628217218183</v>
      </c>
      <c r="F86">
        <v>-77.053238771071065</v>
      </c>
      <c r="G86" s="167">
        <v>5.5880172212148436</v>
      </c>
      <c r="H86" s="168">
        <v>353.00517249691717</v>
      </c>
      <c r="I86" s="169">
        <v>172.99723899396719</v>
      </c>
      <c r="J86">
        <v>352.99723899396719</v>
      </c>
      <c r="K86">
        <v>173.00517249691711</v>
      </c>
      <c r="L86" t="s">
        <v>155</v>
      </c>
    </row>
    <row r="87" spans="1:12">
      <c r="A87" s="164" t="s">
        <v>112</v>
      </c>
      <c r="B87">
        <v>38.790339150000008</v>
      </c>
      <c r="C87">
        <v>-77.04058603</v>
      </c>
      <c r="D87" s="165" t="s">
        <v>146</v>
      </c>
      <c r="E87">
        <v>38.896422370023927</v>
      </c>
      <c r="F87">
        <v>-77.006599849724481</v>
      </c>
      <c r="G87" s="167">
        <v>7.5529390233476876</v>
      </c>
      <c r="H87" s="168">
        <v>14.000058647955802</v>
      </c>
      <c r="I87" s="169">
        <v>194.02137457553596</v>
      </c>
      <c r="J87">
        <v>14.021374575535958</v>
      </c>
      <c r="K87">
        <v>194.0000586479558</v>
      </c>
      <c r="L87" t="s">
        <v>155</v>
      </c>
    </row>
    <row r="88" spans="1:12">
      <c r="A88" s="164" t="s">
        <v>112</v>
      </c>
      <c r="B88">
        <v>38.790339150000008</v>
      </c>
      <c r="C88">
        <v>-77.04058603</v>
      </c>
      <c r="D88" s="165" t="s">
        <v>40</v>
      </c>
      <c r="E88">
        <v>38.861737201739359</v>
      </c>
      <c r="F88">
        <v>-76.955024258010965</v>
      </c>
      <c r="G88" s="167">
        <v>6.7475616688514233</v>
      </c>
      <c r="H88" s="168">
        <v>43.006392150672632</v>
      </c>
      <c r="I88" s="169">
        <v>223.06003579758607</v>
      </c>
      <c r="J88">
        <v>43.060035797586067</v>
      </c>
      <c r="K88">
        <v>223.00639215067264</v>
      </c>
      <c r="L88" t="s">
        <v>155</v>
      </c>
    </row>
    <row r="89" spans="1:12">
      <c r="A89" s="164" t="s">
        <v>82</v>
      </c>
      <c r="B89">
        <v>38.892860499999969</v>
      </c>
      <c r="C89">
        <v>-76.909165529999996</v>
      </c>
      <c r="D89" s="165" t="s">
        <v>45</v>
      </c>
      <c r="E89">
        <v>38.989097905845689</v>
      </c>
      <c r="F89">
        <v>-77.046770824431448</v>
      </c>
      <c r="G89" s="167">
        <v>9.9429177008840437</v>
      </c>
      <c r="H89" s="168">
        <v>312.00431664014462</v>
      </c>
      <c r="I89" s="169">
        <v>131.91782897176759</v>
      </c>
      <c r="J89">
        <v>311.91782897176756</v>
      </c>
      <c r="K89">
        <v>132.00431664014462</v>
      </c>
      <c r="L89" t="s">
        <v>155</v>
      </c>
    </row>
    <row r="90" spans="1:12">
      <c r="A90" s="164" t="s">
        <v>82</v>
      </c>
      <c r="B90">
        <v>38.892860499999969</v>
      </c>
      <c r="C90">
        <v>-76.909165529999996</v>
      </c>
      <c r="D90" s="165" t="s">
        <v>185</v>
      </c>
      <c r="E90">
        <v>38.900944613209226</v>
      </c>
      <c r="F90">
        <v>-77.059114197487261</v>
      </c>
      <c r="G90" s="167">
        <v>8.0810811928294353</v>
      </c>
      <c r="H90" s="168">
        <v>274.00971860965296</v>
      </c>
      <c r="I90" s="169">
        <v>93.915562661961118</v>
      </c>
      <c r="J90">
        <v>273.91556266196113</v>
      </c>
      <c r="K90">
        <v>94.009718609652964</v>
      </c>
      <c r="L90" t="s">
        <v>155</v>
      </c>
    </row>
    <row r="91" spans="1:12">
      <c r="A91" s="164" t="s">
        <v>69</v>
      </c>
      <c r="B91">
        <v>38.995956509999992</v>
      </c>
      <c r="C91">
        <v>-77.040985579999997</v>
      </c>
      <c r="D91" s="165" t="s">
        <v>168</v>
      </c>
      <c r="E91">
        <v>38.904077195910197</v>
      </c>
      <c r="F91">
        <v>-77.081655757436437</v>
      </c>
      <c r="G91" s="167">
        <v>6.7125843652498176</v>
      </c>
      <c r="H91" s="168">
        <v>199.00854630723197</v>
      </c>
      <c r="I91" s="169">
        <v>18.98297930885261</v>
      </c>
      <c r="J91">
        <v>198.98297930885261</v>
      </c>
      <c r="K91">
        <v>19.008546307231995</v>
      </c>
      <c r="L91" t="s">
        <v>155</v>
      </c>
    </row>
    <row r="92" spans="1:12">
      <c r="A92" s="164" t="s">
        <v>69</v>
      </c>
      <c r="B92">
        <v>38.995956509999992</v>
      </c>
      <c r="C92">
        <v>-77.040985579999997</v>
      </c>
      <c r="D92" s="165" t="s">
        <v>17</v>
      </c>
      <c r="E92">
        <v>38.939237314230454</v>
      </c>
      <c r="F92">
        <v>-77.088340704127447</v>
      </c>
      <c r="G92" s="167">
        <v>4.6713100987919542</v>
      </c>
      <c r="H92" s="168">
        <v>213.00410249106457</v>
      </c>
      <c r="I92" s="169">
        <v>32.974321758857549</v>
      </c>
      <c r="J92">
        <v>212.97432175885754</v>
      </c>
      <c r="K92">
        <v>33.0041024910646</v>
      </c>
      <c r="L92" t="s">
        <v>155</v>
      </c>
    </row>
    <row r="93" spans="1:12">
      <c r="A93" s="164" t="s">
        <v>187</v>
      </c>
      <c r="B93">
        <v>38.893077925522043</v>
      </c>
      <c r="C93">
        <v>-77.04077541312266</v>
      </c>
      <c r="D93" s="165" t="s">
        <v>109</v>
      </c>
      <c r="E93">
        <v>38.872552231854002</v>
      </c>
      <c r="F93">
        <v>-77.057900286673885</v>
      </c>
      <c r="G93" s="167">
        <v>1.6907105062273478</v>
      </c>
      <c r="H93" s="168">
        <v>213.00733663377838</v>
      </c>
      <c r="I93" s="169">
        <v>32.996586843391519</v>
      </c>
      <c r="J93">
        <v>212.99658684339153</v>
      </c>
      <c r="K93">
        <v>33.00733663377838</v>
      </c>
      <c r="L93" t="s">
        <v>155</v>
      </c>
    </row>
    <row r="94" spans="1:12">
      <c r="A94" s="164" t="s">
        <v>187</v>
      </c>
      <c r="B94">
        <v>38.893077925522043</v>
      </c>
      <c r="C94">
        <v>-77.04077541312266</v>
      </c>
      <c r="D94" s="165" t="s">
        <v>39</v>
      </c>
      <c r="E94">
        <v>38.894330838678513</v>
      </c>
      <c r="F94">
        <v>-77.135544679034453</v>
      </c>
      <c r="G94" s="167">
        <v>5.0960902064413789</v>
      </c>
      <c r="H94" s="168">
        <v>271.00290315852999</v>
      </c>
      <c r="I94" s="169">
        <v>90.943399656658158</v>
      </c>
      <c r="J94">
        <v>270.94339965665813</v>
      </c>
      <c r="K94">
        <v>91.002903158529989</v>
      </c>
      <c r="L94" t="s">
        <v>155</v>
      </c>
    </row>
    <row r="95" spans="1:12">
      <c r="A95" s="164" t="s">
        <v>187</v>
      </c>
      <c r="B95">
        <v>38.893077925522043</v>
      </c>
      <c r="C95">
        <v>-77.04077541312266</v>
      </c>
      <c r="D95" s="165" t="s">
        <v>5</v>
      </c>
      <c r="E95">
        <v>38.873731147841703</v>
      </c>
      <c r="F95">
        <v>-77.070387413691392</v>
      </c>
      <c r="G95" s="167">
        <v>2.0788799470704178</v>
      </c>
      <c r="H95" s="168">
        <v>230.00211105314318</v>
      </c>
      <c r="I95" s="169">
        <v>49.983522485962936</v>
      </c>
      <c r="J95">
        <v>229.98352248596294</v>
      </c>
      <c r="K95">
        <v>50.002111053143153</v>
      </c>
      <c r="L95" t="s">
        <v>155</v>
      </c>
    </row>
    <row r="96" spans="1:12">
      <c r="A96" s="164" t="s">
        <v>86</v>
      </c>
      <c r="B96">
        <v>38.87100323118176</v>
      </c>
      <c r="C96">
        <v>-77.055968546982868</v>
      </c>
      <c r="D96" s="165" t="s">
        <v>94</v>
      </c>
      <c r="E96">
        <v>38.909631706139457</v>
      </c>
      <c r="F96">
        <v>-77.029568629434891</v>
      </c>
      <c r="G96" s="167">
        <v>3.0225174476195087</v>
      </c>
      <c r="H96" s="168">
        <v>28.002387515636066</v>
      </c>
      <c r="I96" s="169">
        <v>208.01896221742919</v>
      </c>
      <c r="J96">
        <v>28.018962217429191</v>
      </c>
      <c r="K96">
        <v>208.00238751563606</v>
      </c>
      <c r="L96" t="s">
        <v>155</v>
      </c>
    </row>
    <row r="97" spans="1:12">
      <c r="A97" s="164" t="s">
        <v>72</v>
      </c>
      <c r="B97">
        <v>38.870628217218183</v>
      </c>
      <c r="C97">
        <v>-77.053238771071065</v>
      </c>
      <c r="D97" s="165" t="s">
        <v>38</v>
      </c>
      <c r="E97">
        <v>38.92609741015503</v>
      </c>
      <c r="F97">
        <v>-76.958533324767643</v>
      </c>
      <c r="G97" s="167">
        <v>6.3723715582372069</v>
      </c>
      <c r="H97" s="168">
        <v>53.00595499388551</v>
      </c>
      <c r="I97" s="169">
        <v>233.06542442462967</v>
      </c>
      <c r="J97">
        <v>53.065424424629668</v>
      </c>
      <c r="K97">
        <v>233.0059549938855</v>
      </c>
      <c r="L97" t="s">
        <v>155</v>
      </c>
    </row>
    <row r="98" spans="1:12">
      <c r="A98" s="164" t="s">
        <v>72</v>
      </c>
      <c r="B98">
        <v>38.870628217218183</v>
      </c>
      <c r="C98">
        <v>-77.053238771071065</v>
      </c>
      <c r="D98" s="165" t="s">
        <v>128</v>
      </c>
      <c r="E98">
        <v>39.005339472519637</v>
      </c>
      <c r="F98">
        <v>-77.038062048737274</v>
      </c>
      <c r="G98" s="167">
        <v>9.3415335389290739</v>
      </c>
      <c r="H98" s="168">
        <v>5.0033157564794299</v>
      </c>
      <c r="I98" s="169">
        <v>185.01285401211197</v>
      </c>
      <c r="J98">
        <v>5.0128540121119727</v>
      </c>
      <c r="K98">
        <v>185.00331575647942</v>
      </c>
      <c r="L98" t="s">
        <v>155</v>
      </c>
    </row>
    <row r="99" spans="1:12">
      <c r="A99" s="164" t="s">
        <v>72</v>
      </c>
      <c r="B99">
        <v>38.870628217218183</v>
      </c>
      <c r="C99">
        <v>-77.053238771071065</v>
      </c>
      <c r="D99" s="165" t="s">
        <v>163</v>
      </c>
      <c r="E99">
        <v>38.889725240473808</v>
      </c>
      <c r="F99">
        <v>-76.91344596466341</v>
      </c>
      <c r="G99" s="167">
        <v>7.6323928911184593</v>
      </c>
      <c r="H99" s="168">
        <v>80.002827685072731</v>
      </c>
      <c r="I99" s="169">
        <v>260.0905747852882</v>
      </c>
      <c r="J99">
        <v>80.090574785288197</v>
      </c>
      <c r="K99">
        <v>260.0028276850727</v>
      </c>
      <c r="L99" t="s">
        <v>155</v>
      </c>
    </row>
    <row r="100" spans="1:12">
      <c r="A100" s="164" t="s">
        <v>72</v>
      </c>
      <c r="B100">
        <v>38.870628217218183</v>
      </c>
      <c r="C100">
        <v>-77.053238771071065</v>
      </c>
      <c r="D100" s="165" t="s">
        <v>7</v>
      </c>
      <c r="E100">
        <v>38.876337452964407</v>
      </c>
      <c r="F100">
        <v>-77.072341784270549</v>
      </c>
      <c r="G100" s="167">
        <v>1.1004832546413361</v>
      </c>
      <c r="H100" s="168">
        <v>291.0069329222348</v>
      </c>
      <c r="I100" s="169">
        <v>110.99494381738047</v>
      </c>
      <c r="J100">
        <v>290.99494381738049</v>
      </c>
      <c r="K100">
        <v>111.0069329222348</v>
      </c>
      <c r="L100" t="s">
        <v>155</v>
      </c>
    </row>
    <row r="101" spans="1:12">
      <c r="A101" s="164" t="s">
        <v>194</v>
      </c>
      <c r="B101">
        <v>38.86885600238287</v>
      </c>
      <c r="C101">
        <v>-77.055557387053852</v>
      </c>
      <c r="D101" s="165" t="s">
        <v>80</v>
      </c>
      <c r="E101">
        <v>38.930170515981033</v>
      </c>
      <c r="F101">
        <v>-77.07230698965536</v>
      </c>
      <c r="G101" s="167">
        <v>4.3302774419309769</v>
      </c>
      <c r="H101" s="168">
        <v>348.00297796949093</v>
      </c>
      <c r="I101" s="169">
        <v>167.99245994701374</v>
      </c>
      <c r="J101">
        <v>347.99245994701374</v>
      </c>
      <c r="K101">
        <v>168.00297796949098</v>
      </c>
      <c r="L101" t="s">
        <v>155</v>
      </c>
    </row>
    <row r="102" spans="1:12">
      <c r="A102" s="164" t="s">
        <v>194</v>
      </c>
      <c r="B102">
        <v>38.86885600238287</v>
      </c>
      <c r="C102">
        <v>-77.055557387053852</v>
      </c>
      <c r="D102" s="165" t="s">
        <v>107</v>
      </c>
      <c r="E102">
        <v>38.909632012495202</v>
      </c>
      <c r="F102">
        <v>-77.043450337735848</v>
      </c>
      <c r="G102" s="167">
        <v>2.8910577950162466</v>
      </c>
      <c r="H102" s="168">
        <v>13.00923469335906</v>
      </c>
      <c r="I102" s="169">
        <v>193.01683570461998</v>
      </c>
      <c r="J102">
        <v>13.016835704620007</v>
      </c>
      <c r="K102">
        <v>193.00923469335905</v>
      </c>
      <c r="L102" t="s">
        <v>155</v>
      </c>
    </row>
    <row r="103" spans="1:12">
      <c r="A103" s="164" t="s">
        <v>194</v>
      </c>
      <c r="B103">
        <v>38.86885600238287</v>
      </c>
      <c r="C103">
        <v>-77.055557387053852</v>
      </c>
      <c r="D103" s="165" t="s">
        <v>166</v>
      </c>
      <c r="E103">
        <v>38.689228316924762</v>
      </c>
      <c r="F103">
        <v>-77.043517969766754</v>
      </c>
      <c r="G103" s="167">
        <v>12.4256308227241</v>
      </c>
      <c r="H103" s="168">
        <v>177.0052479697633</v>
      </c>
      <c r="I103" s="169">
        <v>357.01278849123599</v>
      </c>
      <c r="J103">
        <v>177.01278849123605</v>
      </c>
      <c r="K103">
        <v>357.00524796976333</v>
      </c>
      <c r="L103" t="s">
        <v>155</v>
      </c>
    </row>
    <row r="104" spans="1:12">
      <c r="A104" s="164" t="s">
        <v>203</v>
      </c>
      <c r="B104">
        <v>38.872918166579353</v>
      </c>
      <c r="C104">
        <v>-77.054669457877239</v>
      </c>
      <c r="D104" s="165" t="s">
        <v>164</v>
      </c>
      <c r="E104">
        <v>38.888944385745397</v>
      </c>
      <c r="F104">
        <v>-77.000964800836925</v>
      </c>
      <c r="G104" s="167">
        <v>3.0929261150541025</v>
      </c>
      <c r="H104" s="168">
        <v>69.009183110572593</v>
      </c>
      <c r="I104" s="169">
        <v>249.04289374120543</v>
      </c>
      <c r="J104">
        <v>69.042893741205432</v>
      </c>
      <c r="K104">
        <v>249.00918311057259</v>
      </c>
      <c r="L104" t="s">
        <v>155</v>
      </c>
    </row>
    <row r="105" spans="1:12">
      <c r="A105" s="164" t="s">
        <v>109</v>
      </c>
      <c r="B105">
        <v>38.872552231854002</v>
      </c>
      <c r="C105">
        <v>-77.057900286673885</v>
      </c>
      <c r="D105" s="165" t="s">
        <v>144</v>
      </c>
      <c r="E105">
        <v>38.93539090046842</v>
      </c>
      <c r="F105">
        <v>-77.118770832388549</v>
      </c>
      <c r="G105" s="167">
        <v>5.4361108244246852</v>
      </c>
      <c r="H105" s="168">
        <v>323.00916528663186</v>
      </c>
      <c r="I105" s="169">
        <v>142.9709375411056</v>
      </c>
      <c r="J105">
        <v>322.97093754110563</v>
      </c>
      <c r="K105">
        <v>143.00916528663186</v>
      </c>
      <c r="L105" t="s">
        <v>155</v>
      </c>
    </row>
    <row r="106" spans="1:12">
      <c r="A106" s="164" t="s">
        <v>109</v>
      </c>
      <c r="B106">
        <v>38.872552231854002</v>
      </c>
      <c r="C106">
        <v>-77.057900286673885</v>
      </c>
      <c r="D106" s="165" t="s">
        <v>9</v>
      </c>
      <c r="E106">
        <v>38.920336486884452</v>
      </c>
      <c r="F106">
        <v>-77.305560255203972</v>
      </c>
      <c r="G106" s="167">
        <v>13.718209402976321</v>
      </c>
      <c r="H106" s="168">
        <v>284.00115310775806</v>
      </c>
      <c r="I106" s="169">
        <v>103.84564359774858</v>
      </c>
      <c r="J106">
        <v>283.84564359774856</v>
      </c>
      <c r="K106">
        <v>104.00115310775806</v>
      </c>
      <c r="L106" t="s">
        <v>155</v>
      </c>
    </row>
    <row r="107" spans="1:12">
      <c r="A107" s="164" t="s">
        <v>144</v>
      </c>
      <c r="B107">
        <v>38.93539090046842</v>
      </c>
      <c r="C107">
        <v>-77.118770832388549</v>
      </c>
      <c r="D107" s="165" t="s">
        <v>75</v>
      </c>
      <c r="E107">
        <v>38.808878603508518</v>
      </c>
      <c r="F107">
        <v>-77.013395902314087</v>
      </c>
      <c r="G107" s="167">
        <v>10.416182179704109</v>
      </c>
      <c r="H107" s="168">
        <v>147.00470343582012</v>
      </c>
      <c r="I107" s="169">
        <v>327.07083515942088</v>
      </c>
      <c r="J107">
        <v>147.07083515942088</v>
      </c>
      <c r="K107">
        <v>327.00470343582015</v>
      </c>
      <c r="L107" t="s">
        <v>155</v>
      </c>
    </row>
    <row r="108" spans="1:12">
      <c r="A108" s="164" t="s">
        <v>144</v>
      </c>
      <c r="B108">
        <v>38.93539090046842</v>
      </c>
      <c r="C108">
        <v>-77.118770832388549</v>
      </c>
      <c r="D108" s="165" t="s">
        <v>93</v>
      </c>
      <c r="E108">
        <v>39.262423017945139</v>
      </c>
      <c r="F108">
        <v>-77.393301271532664</v>
      </c>
      <c r="G108" s="167">
        <v>26.962552909224534</v>
      </c>
      <c r="H108" s="168">
        <v>327.00343959058364</v>
      </c>
      <c r="I108" s="169">
        <v>146.83030304403525</v>
      </c>
      <c r="J108">
        <v>326.83030304403525</v>
      </c>
      <c r="K108">
        <v>147.00343959058364</v>
      </c>
      <c r="L108" t="s">
        <v>155</v>
      </c>
    </row>
    <row r="109" spans="1:12">
      <c r="A109" s="164" t="s">
        <v>53</v>
      </c>
      <c r="B109">
        <v>38.865733641110857</v>
      </c>
      <c r="C109">
        <v>-76.967852704156869</v>
      </c>
      <c r="D109" s="165" t="s">
        <v>173</v>
      </c>
      <c r="E109">
        <v>38.988765681572232</v>
      </c>
      <c r="F109">
        <v>-77.16354886186852</v>
      </c>
      <c r="G109" s="167">
        <v>13.521734450858824</v>
      </c>
      <c r="H109" s="168">
        <v>309.00456181993258</v>
      </c>
      <c r="I109" s="169">
        <v>128.88159930011554</v>
      </c>
      <c r="J109">
        <v>308.88159930011557</v>
      </c>
      <c r="K109">
        <v>129.00456181993258</v>
      </c>
      <c r="L109" t="s">
        <v>155</v>
      </c>
    </row>
    <row r="110" spans="1:12">
      <c r="A110" s="164" t="s">
        <v>47</v>
      </c>
      <c r="B110">
        <v>38.924871835602019</v>
      </c>
      <c r="C110">
        <v>-77.018002710089107</v>
      </c>
      <c r="D110" s="165" t="s">
        <v>26</v>
      </c>
      <c r="E110">
        <v>38.920660773128958</v>
      </c>
      <c r="F110">
        <v>-77.079750995205373</v>
      </c>
      <c r="G110" s="167">
        <v>3.3313189514966872</v>
      </c>
      <c r="H110" s="168">
        <v>265.00977838361644</v>
      </c>
      <c r="I110" s="169">
        <v>84.97098364787378</v>
      </c>
      <c r="J110">
        <v>264.97098364787377</v>
      </c>
      <c r="K110">
        <v>85.009778383616435</v>
      </c>
      <c r="L110" t="s">
        <v>155</v>
      </c>
    </row>
    <row r="111" spans="1:12">
      <c r="A111" s="164" t="s">
        <v>48</v>
      </c>
      <c r="B111">
        <v>38.913291244749402</v>
      </c>
      <c r="C111">
        <v>-77.093538846706636</v>
      </c>
      <c r="D111" s="165" t="s">
        <v>38</v>
      </c>
      <c r="E111">
        <v>38.92609741015503</v>
      </c>
      <c r="F111">
        <v>-76.958533324767643</v>
      </c>
      <c r="G111" s="167">
        <v>7.30976563735359</v>
      </c>
      <c r="H111" s="168">
        <v>83.006435653371028</v>
      </c>
      <c r="I111" s="169">
        <v>263.09125026781402</v>
      </c>
      <c r="J111">
        <v>83.091250267814019</v>
      </c>
      <c r="K111">
        <v>263.006435653371</v>
      </c>
      <c r="L111" t="s">
        <v>155</v>
      </c>
    </row>
    <row r="112" spans="1:12">
      <c r="A112" s="164" t="s">
        <v>48</v>
      </c>
      <c r="B112">
        <v>38.913291244749402</v>
      </c>
      <c r="C112">
        <v>-77.093538846706636</v>
      </c>
      <c r="D112" s="165" t="s">
        <v>116</v>
      </c>
      <c r="E112">
        <v>38.8580454440363</v>
      </c>
      <c r="F112">
        <v>-77.078464399477767</v>
      </c>
      <c r="G112" s="167">
        <v>3.901519686499257</v>
      </c>
      <c r="H112" s="168">
        <v>168.00410406993305</v>
      </c>
      <c r="I112" s="169">
        <v>348.01356733226891</v>
      </c>
      <c r="J112">
        <v>168.01356733226885</v>
      </c>
      <c r="K112">
        <v>348.00410406993308</v>
      </c>
      <c r="L112" t="s">
        <v>155</v>
      </c>
    </row>
    <row r="113" spans="1:12">
      <c r="A113" s="164" t="s">
        <v>184</v>
      </c>
      <c r="B113">
        <v>38.904466128951633</v>
      </c>
      <c r="C113">
        <v>-76.975703367128119</v>
      </c>
      <c r="D113" s="165" t="s">
        <v>169</v>
      </c>
      <c r="E113">
        <v>38.86898287196977</v>
      </c>
      <c r="F113">
        <v>-76.996961003019521</v>
      </c>
      <c r="G113" s="167">
        <v>2.7046039206514862</v>
      </c>
      <c r="H113" s="168">
        <v>205.00745247832387</v>
      </c>
      <c r="I113" s="169">
        <v>24.994107301089734</v>
      </c>
      <c r="J113">
        <v>204.99410730108974</v>
      </c>
      <c r="K113">
        <v>25.007452478323899</v>
      </c>
      <c r="L113" t="s">
        <v>155</v>
      </c>
    </row>
    <row r="114" spans="1:12">
      <c r="A114" s="164" t="s">
        <v>126</v>
      </c>
      <c r="B114">
        <v>38.942531162412862</v>
      </c>
      <c r="C114">
        <v>-77.110668589240717</v>
      </c>
      <c r="D114" s="165" t="s">
        <v>56</v>
      </c>
      <c r="E114">
        <v>38.947325108309627</v>
      </c>
      <c r="F114">
        <v>-77.021883345949419</v>
      </c>
      <c r="G114" s="167">
        <v>4.781655746955205</v>
      </c>
      <c r="H114" s="168">
        <v>86.000744634962132</v>
      </c>
      <c r="I114" s="169">
        <v>266.05655265907387</v>
      </c>
      <c r="J114">
        <v>86.056552659073873</v>
      </c>
      <c r="K114">
        <v>266.00074463496213</v>
      </c>
      <c r="L114" t="s">
        <v>155</v>
      </c>
    </row>
    <row r="115" spans="1:12">
      <c r="A115" s="164" t="s">
        <v>123</v>
      </c>
      <c r="B115">
        <v>38.792909774730433</v>
      </c>
      <c r="C115">
        <v>-77.031973080762256</v>
      </c>
      <c r="D115" s="165" t="s">
        <v>115</v>
      </c>
      <c r="E115">
        <v>38.884715252208309</v>
      </c>
      <c r="F115">
        <v>-77.07961687570274</v>
      </c>
      <c r="G115" s="167">
        <v>6.8404769136238102</v>
      </c>
      <c r="H115" s="168">
        <v>338.00497588767149</v>
      </c>
      <c r="I115" s="169">
        <v>157.97509694788275</v>
      </c>
      <c r="J115">
        <v>337.97509694788278</v>
      </c>
      <c r="K115">
        <v>158.00497588767143</v>
      </c>
      <c r="L115" t="s">
        <v>155</v>
      </c>
    </row>
    <row r="116" spans="1:12">
      <c r="A116" s="164" t="s">
        <v>123</v>
      </c>
      <c r="B116">
        <v>38.792909774730433</v>
      </c>
      <c r="C116">
        <v>-77.031973080762256</v>
      </c>
      <c r="D116" s="165" t="s">
        <v>64</v>
      </c>
      <c r="E116">
        <v>38.855138000000018</v>
      </c>
      <c r="F116">
        <v>-77.023560400000008</v>
      </c>
      <c r="G116" s="167">
        <v>4.3225113671343705</v>
      </c>
      <c r="H116" s="168">
        <v>6.0098033318764639</v>
      </c>
      <c r="I116" s="169">
        <v>186.01507749906474</v>
      </c>
      <c r="J116">
        <v>6.0150774990647733</v>
      </c>
      <c r="K116">
        <v>186.00980333187647</v>
      </c>
      <c r="L116" t="s">
        <v>155</v>
      </c>
    </row>
    <row r="117" spans="1:12">
      <c r="A117" s="164" t="s">
        <v>123</v>
      </c>
      <c r="B117">
        <v>38.792909774730433</v>
      </c>
      <c r="C117">
        <v>-77.031973080762256</v>
      </c>
      <c r="D117" s="165" t="s">
        <v>125</v>
      </c>
      <c r="E117">
        <v>38.925747734853033</v>
      </c>
      <c r="F117">
        <v>-78.310073707657736</v>
      </c>
      <c r="G117" s="167">
        <v>69.360585239923864</v>
      </c>
      <c r="H117" s="168">
        <v>278.00314711420071</v>
      </c>
      <c r="I117" s="169">
        <v>97.201232702644845</v>
      </c>
      <c r="J117">
        <v>277.20123270264486</v>
      </c>
      <c r="K117">
        <v>98.003147114200715</v>
      </c>
      <c r="L117" t="s">
        <v>155</v>
      </c>
    </row>
    <row r="118" spans="1:12">
      <c r="A118" s="164" t="s">
        <v>161</v>
      </c>
      <c r="B118">
        <v>38.898285637635617</v>
      </c>
      <c r="C118">
        <v>-77.036570972830333</v>
      </c>
      <c r="D118" s="165" t="s">
        <v>147</v>
      </c>
      <c r="E118">
        <v>38.95177142459147</v>
      </c>
      <c r="F118">
        <v>-76.984729407049613</v>
      </c>
      <c r="G118" s="167">
        <v>4.6275068714587446</v>
      </c>
      <c r="H118" s="168">
        <v>37.001946585132906</v>
      </c>
      <c r="I118" s="169">
        <v>217.034518799149</v>
      </c>
      <c r="J118">
        <v>37.034518799148998</v>
      </c>
      <c r="K118">
        <v>217.00194658513291</v>
      </c>
      <c r="L118" t="s">
        <v>155</v>
      </c>
    </row>
    <row r="119" spans="1:12">
      <c r="A119" s="164" t="s">
        <v>161</v>
      </c>
      <c r="B119">
        <v>38.898285637635617</v>
      </c>
      <c r="C119">
        <v>-77.036570972830333</v>
      </c>
      <c r="D119" s="165" t="s">
        <v>5</v>
      </c>
      <c r="E119">
        <v>38.873731147841703</v>
      </c>
      <c r="F119">
        <v>-77.070387413691392</v>
      </c>
      <c r="G119" s="167">
        <v>2.4866948743819277</v>
      </c>
      <c r="H119" s="168">
        <v>227.00098896117257</v>
      </c>
      <c r="I119" s="169">
        <v>46.979759912042297</v>
      </c>
      <c r="J119">
        <v>226.97975991204231</v>
      </c>
      <c r="K119">
        <v>47.000988961172538</v>
      </c>
      <c r="L119" t="s">
        <v>155</v>
      </c>
    </row>
    <row r="120" spans="1:12">
      <c r="A120" s="164" t="s">
        <v>142</v>
      </c>
      <c r="B120">
        <v>38.90564871624386</v>
      </c>
      <c r="C120">
        <v>-77.031975306010182</v>
      </c>
      <c r="D120" s="165" t="s">
        <v>7</v>
      </c>
      <c r="E120">
        <v>38.876337452964407</v>
      </c>
      <c r="F120">
        <v>-77.072341784270549</v>
      </c>
      <c r="G120" s="167">
        <v>2.968274939780319</v>
      </c>
      <c r="H120" s="168">
        <v>227.00034004534771</v>
      </c>
      <c r="I120" s="169">
        <v>46.9749963255205</v>
      </c>
      <c r="J120">
        <v>226.97499632552049</v>
      </c>
      <c r="K120">
        <v>47.000340045347684</v>
      </c>
      <c r="L120" t="s">
        <v>155</v>
      </c>
    </row>
    <row r="121" spans="1:12">
      <c r="A121" s="164" t="s">
        <v>142</v>
      </c>
      <c r="B121">
        <v>38.90564871624386</v>
      </c>
      <c r="C121">
        <v>-77.031975306010182</v>
      </c>
      <c r="D121" s="165" t="s">
        <v>26</v>
      </c>
      <c r="E121">
        <v>38.920660773128958</v>
      </c>
      <c r="F121">
        <v>-77.079750995205373</v>
      </c>
      <c r="G121" s="167">
        <v>2.7694878403321388</v>
      </c>
      <c r="H121" s="168">
        <v>292.00533017145784</v>
      </c>
      <c r="I121" s="169">
        <v>111.97532026652483</v>
      </c>
      <c r="J121">
        <v>291.97532026652482</v>
      </c>
      <c r="K121">
        <v>112.00533017145784</v>
      </c>
      <c r="L121" t="s">
        <v>155</v>
      </c>
    </row>
    <row r="122" spans="1:12">
      <c r="A122" s="164" t="s">
        <v>141</v>
      </c>
      <c r="B122">
        <v>38.902528221297217</v>
      </c>
      <c r="C122">
        <v>-77.050139297471702</v>
      </c>
      <c r="D122" s="165" t="s">
        <v>169</v>
      </c>
      <c r="E122">
        <v>38.86898287196977</v>
      </c>
      <c r="F122">
        <v>-76.996961003019521</v>
      </c>
      <c r="G122" s="167">
        <v>3.680583254064866</v>
      </c>
      <c r="H122" s="168">
        <v>129.00436110818583</v>
      </c>
      <c r="I122" s="169">
        <v>309.0377448254319</v>
      </c>
      <c r="J122">
        <v>129.0377448254319</v>
      </c>
      <c r="K122">
        <v>309.00436110818583</v>
      </c>
      <c r="L122" t="s">
        <v>155</v>
      </c>
    </row>
    <row r="123" spans="1:12">
      <c r="A123" s="164" t="s">
        <v>65</v>
      </c>
      <c r="B123">
        <v>38.790339000000003</v>
      </c>
      <c r="C123">
        <v>-77.051444000000004</v>
      </c>
      <c r="D123" s="165" t="s">
        <v>61</v>
      </c>
      <c r="E123">
        <v>38.84552270708302</v>
      </c>
      <c r="F123">
        <v>-77.10483209910393</v>
      </c>
      <c r="G123" s="167">
        <v>4.7738036256145131</v>
      </c>
      <c r="H123" s="168">
        <v>323.00812518069353</v>
      </c>
      <c r="I123" s="169">
        <v>142.9746589694708</v>
      </c>
      <c r="J123">
        <v>322.9746589694708</v>
      </c>
      <c r="K123">
        <v>143.00812518069353</v>
      </c>
      <c r="L123" t="s">
        <v>155</v>
      </c>
    </row>
    <row r="124" spans="1:12">
      <c r="A124" s="164" t="s">
        <v>51</v>
      </c>
      <c r="B124">
        <v>38.803587013018927</v>
      </c>
      <c r="C124">
        <v>-77.0045692366363</v>
      </c>
      <c r="D124" s="165" t="s">
        <v>28</v>
      </c>
      <c r="E124">
        <v>38.9243596243616</v>
      </c>
      <c r="F124">
        <v>-77.090630055083651</v>
      </c>
      <c r="G124" s="167">
        <v>9.5411608277307636</v>
      </c>
      <c r="H124" s="168">
        <v>331.00345917343151</v>
      </c>
      <c r="I124" s="169">
        <v>150.94945824687227</v>
      </c>
      <c r="J124">
        <v>330.94945824687227</v>
      </c>
      <c r="K124">
        <v>151.00345917343151</v>
      </c>
      <c r="L124" t="s">
        <v>155</v>
      </c>
    </row>
    <row r="125" spans="1:12">
      <c r="A125" s="164" t="s">
        <v>51</v>
      </c>
      <c r="B125">
        <v>38.803587013018927</v>
      </c>
      <c r="C125">
        <v>-77.0045692366363</v>
      </c>
      <c r="D125" s="165" t="s">
        <v>33</v>
      </c>
      <c r="E125">
        <v>38.918966507717499</v>
      </c>
      <c r="F125">
        <v>-77.24236058241425</v>
      </c>
      <c r="G125" s="167">
        <v>15.070988443169121</v>
      </c>
      <c r="H125" s="168">
        <v>302.00294537691843</v>
      </c>
      <c r="I125" s="169">
        <v>121.85374609704738</v>
      </c>
      <c r="J125">
        <v>301.85374609704741</v>
      </c>
      <c r="K125">
        <v>122.00294537691843</v>
      </c>
      <c r="L125" t="s">
        <v>155</v>
      </c>
    </row>
    <row r="126" spans="1:12">
      <c r="A126" s="164" t="s">
        <v>51</v>
      </c>
      <c r="B126">
        <v>38.803587013018927</v>
      </c>
      <c r="C126">
        <v>-77.0045692366363</v>
      </c>
      <c r="D126" s="165" t="s">
        <v>29</v>
      </c>
      <c r="E126">
        <v>38.931322965354973</v>
      </c>
      <c r="F126">
        <v>-76.917209455745677</v>
      </c>
      <c r="G126" s="167">
        <v>9.9970567005037161</v>
      </c>
      <c r="H126" s="168">
        <v>28.007518383295935</v>
      </c>
      <c r="I126" s="169">
        <v>208.06233851217098</v>
      </c>
      <c r="J126">
        <v>28.062338512170982</v>
      </c>
      <c r="K126">
        <v>208.00751838329595</v>
      </c>
      <c r="L126" t="s">
        <v>155</v>
      </c>
    </row>
    <row r="127" spans="1:12">
      <c r="A127" s="164" t="s">
        <v>36</v>
      </c>
      <c r="B127">
        <v>38.835915882366358</v>
      </c>
      <c r="C127">
        <v>-76.980661223020689</v>
      </c>
      <c r="D127" s="165" t="s">
        <v>169</v>
      </c>
      <c r="E127">
        <v>38.86898287196977</v>
      </c>
      <c r="F127">
        <v>-76.996961003019521</v>
      </c>
      <c r="G127" s="167">
        <v>2.4467977528615683</v>
      </c>
      <c r="H127" s="168">
        <v>339.00442592978902</v>
      </c>
      <c r="I127" s="169">
        <v>158.99420080078997</v>
      </c>
      <c r="J127">
        <v>338.99420080078994</v>
      </c>
      <c r="K127">
        <v>159.00442592978902</v>
      </c>
      <c r="L127" t="s">
        <v>155</v>
      </c>
    </row>
    <row r="128" spans="1:12">
      <c r="A128" s="164" t="s">
        <v>36</v>
      </c>
      <c r="B128">
        <v>38.835915882366358</v>
      </c>
      <c r="C128">
        <v>-76.980661223020689</v>
      </c>
      <c r="D128" s="165" t="s">
        <v>25</v>
      </c>
      <c r="E128">
        <v>38.904990813622462</v>
      </c>
      <c r="F128">
        <v>-77.128535953950191</v>
      </c>
      <c r="G128" s="167">
        <v>9.2748508968599346</v>
      </c>
      <c r="H128" s="168">
        <v>301.00893762363165</v>
      </c>
      <c r="I128" s="169">
        <v>120.91613706618178</v>
      </c>
      <c r="J128">
        <v>300.91613706618176</v>
      </c>
      <c r="K128">
        <v>121.00893762363165</v>
      </c>
      <c r="L128" t="s">
        <v>155</v>
      </c>
    </row>
    <row r="129" spans="1:12">
      <c r="A129" s="164" t="s">
        <v>75</v>
      </c>
      <c r="B129">
        <v>38.808878603508518</v>
      </c>
      <c r="C129">
        <v>-77.013395902314087</v>
      </c>
      <c r="D129" s="165" t="s">
        <v>38</v>
      </c>
      <c r="E129">
        <v>38.92609741015503</v>
      </c>
      <c r="F129">
        <v>-76.958533324767643</v>
      </c>
      <c r="G129" s="167">
        <v>8.618393771494782</v>
      </c>
      <c r="H129" s="168">
        <v>20.005150142682936</v>
      </c>
      <c r="I129" s="169">
        <v>200.03957760097467</v>
      </c>
      <c r="J129">
        <v>20.039577600974667</v>
      </c>
      <c r="K129">
        <v>200.00515014268294</v>
      </c>
      <c r="L129" t="s">
        <v>155</v>
      </c>
    </row>
    <row r="130" spans="1:12">
      <c r="A130" s="164" t="s">
        <v>75</v>
      </c>
      <c r="B130">
        <v>38.808878603508518</v>
      </c>
      <c r="C130">
        <v>-77.013395902314087</v>
      </c>
      <c r="D130" s="165" t="s">
        <v>60</v>
      </c>
      <c r="E130">
        <v>38.953994890572183</v>
      </c>
      <c r="F130">
        <v>-77.077629631633798</v>
      </c>
      <c r="G130" s="167">
        <v>10.603065593423853</v>
      </c>
      <c r="H130" s="168">
        <v>341.00780700199374</v>
      </c>
      <c r="I130" s="169">
        <v>160.96748675623158</v>
      </c>
      <c r="J130">
        <v>340.96748675623155</v>
      </c>
      <c r="K130">
        <v>161.0078070019938</v>
      </c>
      <c r="L130" t="s">
        <v>155</v>
      </c>
    </row>
    <row r="131" spans="1:12">
      <c r="A131" s="164" t="s">
        <v>75</v>
      </c>
      <c r="B131">
        <v>38.808878603508518</v>
      </c>
      <c r="C131">
        <v>-77.013395902314087</v>
      </c>
      <c r="D131" s="165" t="s">
        <v>125</v>
      </c>
      <c r="E131">
        <v>38.925747734853033</v>
      </c>
      <c r="F131">
        <v>-78.310073707657736</v>
      </c>
      <c r="G131" s="167">
        <v>70.208060399579551</v>
      </c>
      <c r="H131" s="168">
        <v>277.00965561878894</v>
      </c>
      <c r="I131" s="169">
        <v>96.195944216368531</v>
      </c>
      <c r="J131">
        <v>276.1959442163685</v>
      </c>
      <c r="K131">
        <v>97.009655618788941</v>
      </c>
      <c r="L131" t="s">
        <v>155</v>
      </c>
    </row>
    <row r="132" spans="1:12">
      <c r="A132" s="164" t="s">
        <v>118</v>
      </c>
      <c r="B132">
        <v>38.942139058947483</v>
      </c>
      <c r="C132">
        <v>-77.010995768444687</v>
      </c>
      <c r="D132" s="165" t="s">
        <v>116</v>
      </c>
      <c r="E132">
        <v>38.8580454440363</v>
      </c>
      <c r="F132">
        <v>-77.078464399477767</v>
      </c>
      <c r="G132" s="167">
        <v>6.8485947725314782</v>
      </c>
      <c r="H132" s="168">
        <v>212.00129511590322</v>
      </c>
      <c r="I132" s="169">
        <v>31.958927209149934</v>
      </c>
      <c r="J132">
        <v>211.95892720914992</v>
      </c>
      <c r="K132">
        <v>32.00129511590319</v>
      </c>
      <c r="L132" t="s">
        <v>155</v>
      </c>
    </row>
    <row r="133" spans="1:12">
      <c r="A133" s="164" t="s">
        <v>118</v>
      </c>
      <c r="B133">
        <v>38.942139058947483</v>
      </c>
      <c r="C133">
        <v>-77.010995768444687</v>
      </c>
      <c r="D133" s="165" t="s">
        <v>138</v>
      </c>
      <c r="E133">
        <v>38.900171643902958</v>
      </c>
      <c r="F133">
        <v>-77.070876040084556</v>
      </c>
      <c r="G133" s="167">
        <v>4.3315286055854143</v>
      </c>
      <c r="H133" s="168">
        <v>228.00535411184563</v>
      </c>
      <c r="I133" s="169">
        <v>47.96773430467691</v>
      </c>
      <c r="J133">
        <v>227.96773430467692</v>
      </c>
      <c r="K133">
        <v>48.005354111845634</v>
      </c>
      <c r="L133" t="s">
        <v>155</v>
      </c>
    </row>
    <row r="134" spans="1:12">
      <c r="A134" s="164" t="s">
        <v>38</v>
      </c>
      <c r="B134">
        <v>38.92609741015503</v>
      </c>
      <c r="C134">
        <v>-76.958533324767643</v>
      </c>
      <c r="D134" s="165" t="s">
        <v>5</v>
      </c>
      <c r="E134">
        <v>38.873731147841703</v>
      </c>
      <c r="F134">
        <v>-77.070387413691392</v>
      </c>
      <c r="G134" s="167">
        <v>7.017632858519387</v>
      </c>
      <c r="H134" s="168">
        <v>239.0054086823821</v>
      </c>
      <c r="I134" s="169">
        <v>58.935168556083141</v>
      </c>
      <c r="J134">
        <v>238.93516855608314</v>
      </c>
      <c r="K134">
        <v>59.005408682382097</v>
      </c>
      <c r="L134" t="s">
        <v>155</v>
      </c>
    </row>
    <row r="135" spans="1:12">
      <c r="A135" s="164" t="s">
        <v>38</v>
      </c>
      <c r="B135">
        <v>38.92609741015503</v>
      </c>
      <c r="C135">
        <v>-76.958533324767643</v>
      </c>
      <c r="D135" s="165" t="s">
        <v>91</v>
      </c>
      <c r="E135">
        <v>38.901282372758438</v>
      </c>
      <c r="F135">
        <v>-77.158549156334814</v>
      </c>
      <c r="G135" s="167">
        <v>10.886810330402765</v>
      </c>
      <c r="H135" s="168">
        <v>261.0033940150301</v>
      </c>
      <c r="I135" s="169">
        <v>80.877754192608279</v>
      </c>
      <c r="J135">
        <v>260.87775419260828</v>
      </c>
      <c r="K135">
        <v>81.003394015030096</v>
      </c>
      <c r="L135" t="s">
        <v>155</v>
      </c>
    </row>
    <row r="136" spans="1:12">
      <c r="A136" s="164" t="s">
        <v>140</v>
      </c>
      <c r="B136">
        <v>38.908639308729029</v>
      </c>
      <c r="C136">
        <v>-76.975468342699315</v>
      </c>
      <c r="D136" s="165" t="s">
        <v>68</v>
      </c>
      <c r="E136">
        <v>38.934493099999983</v>
      </c>
      <c r="F136">
        <v>-77.119915899999995</v>
      </c>
      <c r="G136" s="167">
        <v>7.9660933189562666</v>
      </c>
      <c r="H136" s="168">
        <v>283.00109710035406</v>
      </c>
      <c r="I136" s="169">
        <v>102.91034703235498</v>
      </c>
      <c r="J136">
        <v>282.91034703235499</v>
      </c>
      <c r="K136">
        <v>103.00109710035406</v>
      </c>
      <c r="L136" t="s">
        <v>155</v>
      </c>
    </row>
    <row r="137" spans="1:12">
      <c r="A137" s="164" t="s">
        <v>132</v>
      </c>
      <c r="B137">
        <v>38.909694801858848</v>
      </c>
      <c r="C137">
        <v>-76.973871148151133</v>
      </c>
      <c r="D137" s="165" t="s">
        <v>21</v>
      </c>
      <c r="E137">
        <v>38.916815383206369</v>
      </c>
      <c r="F137">
        <v>-77.061201400915238</v>
      </c>
      <c r="G137" s="167">
        <v>4.7197991998159434</v>
      </c>
      <c r="H137" s="168">
        <v>276.00957316174362</v>
      </c>
      <c r="I137" s="169">
        <v>95.95471726095677</v>
      </c>
      <c r="J137">
        <v>275.95471726095678</v>
      </c>
      <c r="K137">
        <v>96.009573161743617</v>
      </c>
      <c r="L137" t="s">
        <v>155</v>
      </c>
    </row>
    <row r="138" spans="1:12">
      <c r="A138" s="164" t="s">
        <v>158</v>
      </c>
      <c r="B138">
        <v>38.909644522916047</v>
      </c>
      <c r="C138">
        <v>-76.972391087710122</v>
      </c>
      <c r="D138" s="165" t="s">
        <v>193</v>
      </c>
      <c r="E138">
        <v>38.967911031638792</v>
      </c>
      <c r="F138">
        <v>-77.068345449756862</v>
      </c>
      <c r="G138" s="167">
        <v>6.5408968107318772</v>
      </c>
      <c r="H138" s="168">
        <v>308.00879992654075</v>
      </c>
      <c r="I138" s="169">
        <v>127.94849358884613</v>
      </c>
      <c r="J138">
        <v>307.94849358884613</v>
      </c>
      <c r="K138">
        <v>128.00879992654075</v>
      </c>
      <c r="L138" t="s">
        <v>155</v>
      </c>
    </row>
    <row r="139" spans="1:12">
      <c r="A139" s="164" t="s">
        <v>158</v>
      </c>
      <c r="B139">
        <v>38.909644522916047</v>
      </c>
      <c r="C139">
        <v>-76.972391087710122</v>
      </c>
      <c r="D139" s="165" t="s">
        <v>19</v>
      </c>
      <c r="E139">
        <v>38.88120136333437</v>
      </c>
      <c r="F139">
        <v>-77.072631056499674</v>
      </c>
      <c r="G139" s="167">
        <v>5.7363651306110386</v>
      </c>
      <c r="H139" s="168">
        <v>250.00059819922791</v>
      </c>
      <c r="I139" s="169">
        <v>69.937657422356295</v>
      </c>
      <c r="J139">
        <v>249.9376574223563</v>
      </c>
      <c r="K139">
        <v>70.000598199227909</v>
      </c>
      <c r="L139" t="s">
        <v>155</v>
      </c>
    </row>
    <row r="140" spans="1:12">
      <c r="A140" s="164" t="s">
        <v>39</v>
      </c>
      <c r="B140">
        <v>38.894330838678513</v>
      </c>
      <c r="C140">
        <v>-77.135544679034453</v>
      </c>
      <c r="D140" s="165" t="s">
        <v>129</v>
      </c>
      <c r="E140">
        <v>39.010042682733477</v>
      </c>
      <c r="F140">
        <v>-77.042440353879812</v>
      </c>
      <c r="G140" s="167">
        <v>9.4292835571714928</v>
      </c>
      <c r="H140" s="168">
        <v>32.00624715115994</v>
      </c>
      <c r="I140" s="169">
        <v>212.06477923803331</v>
      </c>
      <c r="J140">
        <v>32.064779238033339</v>
      </c>
      <c r="K140">
        <v>212.00624715115993</v>
      </c>
      <c r="L140" t="s">
        <v>155</v>
      </c>
    </row>
    <row r="141" spans="1:12">
      <c r="A141" s="164" t="s">
        <v>54</v>
      </c>
      <c r="B141">
        <v>38.888694362898732</v>
      </c>
      <c r="C141">
        <v>-76.942542813218694</v>
      </c>
      <c r="D141" s="165" t="s">
        <v>55</v>
      </c>
      <c r="E141">
        <v>38.91261730408393</v>
      </c>
      <c r="F141">
        <v>-76.957538798719796</v>
      </c>
      <c r="G141" s="167">
        <v>1.8387590853309805</v>
      </c>
      <c r="H141" s="168">
        <v>334.0000318029621</v>
      </c>
      <c r="I141" s="169">
        <v>153.99061474422729</v>
      </c>
      <c r="J141">
        <v>333.99061474422729</v>
      </c>
      <c r="K141">
        <v>154.0000318029621</v>
      </c>
      <c r="L141" t="s">
        <v>155</v>
      </c>
    </row>
    <row r="142" spans="1:12">
      <c r="A142" s="164" t="s">
        <v>54</v>
      </c>
      <c r="B142">
        <v>38.888694362898732</v>
      </c>
      <c r="C142">
        <v>-76.942542813218694</v>
      </c>
      <c r="D142" s="165" t="s">
        <v>81</v>
      </c>
      <c r="E142">
        <v>38.986822265435038</v>
      </c>
      <c r="F142">
        <v>-77.05231894611552</v>
      </c>
      <c r="G142" s="167">
        <v>8.9857378700632999</v>
      </c>
      <c r="H142" s="168">
        <v>319.00596388675297</v>
      </c>
      <c r="I142" s="169">
        <v>138.93697220696731</v>
      </c>
      <c r="J142">
        <v>318.93697220696731</v>
      </c>
      <c r="K142">
        <v>139.00596388675297</v>
      </c>
      <c r="L142" t="s">
        <v>155</v>
      </c>
    </row>
    <row r="143" spans="1:12">
      <c r="A143" s="164" t="s">
        <v>42</v>
      </c>
      <c r="B143">
        <v>38.978006730836938</v>
      </c>
      <c r="C143">
        <v>-77.034071474795397</v>
      </c>
      <c r="D143" s="165" t="s">
        <v>30</v>
      </c>
      <c r="E143">
        <v>38.92053966660955</v>
      </c>
      <c r="F143">
        <v>-77.11324805943606</v>
      </c>
      <c r="G143" s="167">
        <v>5.8183550563299757</v>
      </c>
      <c r="H143" s="168">
        <v>227.00168241199268</v>
      </c>
      <c r="I143" s="169">
        <v>46.951909458384314</v>
      </c>
      <c r="J143">
        <v>226.95190945838431</v>
      </c>
      <c r="K143">
        <v>47.001682411992647</v>
      </c>
      <c r="L143" t="s">
        <v>155</v>
      </c>
    </row>
    <row r="144" spans="1:12">
      <c r="A144" s="164" t="s">
        <v>42</v>
      </c>
      <c r="B144">
        <v>38.978006730836938</v>
      </c>
      <c r="C144">
        <v>-77.034071474795397</v>
      </c>
      <c r="D144" s="165" t="s">
        <v>3</v>
      </c>
      <c r="E144">
        <v>38.920055892874778</v>
      </c>
      <c r="F144">
        <v>-76.94844865915428</v>
      </c>
      <c r="G144" s="167">
        <v>6.0980336887410314</v>
      </c>
      <c r="H144" s="168">
        <v>131.00522224202004</v>
      </c>
      <c r="I144" s="169">
        <v>311.05904722412191</v>
      </c>
      <c r="J144">
        <v>131.05904722412191</v>
      </c>
      <c r="K144">
        <v>311.00522224202007</v>
      </c>
      <c r="L144" t="s">
        <v>155</v>
      </c>
    </row>
    <row r="145" spans="1:12">
      <c r="A145" s="164" t="s">
        <v>42</v>
      </c>
      <c r="B145">
        <v>38.978006730836938</v>
      </c>
      <c r="C145">
        <v>-77.034071474795397</v>
      </c>
      <c r="D145" s="165" t="s">
        <v>12</v>
      </c>
      <c r="E145">
        <v>38.917382469465053</v>
      </c>
      <c r="F145">
        <v>-77.070410578532105</v>
      </c>
      <c r="G145" s="167">
        <v>4.6206408006230975</v>
      </c>
      <c r="H145" s="168">
        <v>205.00528693393085</v>
      </c>
      <c r="I145" s="169">
        <v>24.982443781878597</v>
      </c>
      <c r="J145">
        <v>204.9824437818786</v>
      </c>
      <c r="K145">
        <v>25.005286933930847</v>
      </c>
      <c r="L145" t="s">
        <v>155</v>
      </c>
    </row>
    <row r="146" spans="1:12">
      <c r="A146" s="164" t="s">
        <v>44</v>
      </c>
      <c r="B146">
        <v>38.959847905580027</v>
      </c>
      <c r="C146">
        <v>-77.026806510741665</v>
      </c>
      <c r="D146" s="165" t="s">
        <v>7</v>
      </c>
      <c r="E146">
        <v>38.876337452964407</v>
      </c>
      <c r="F146">
        <v>-77.072341784270549</v>
      </c>
      <c r="G146" s="167">
        <v>6.2665893919049243</v>
      </c>
      <c r="H146" s="168">
        <v>203.0029100546887</v>
      </c>
      <c r="I146" s="169">
        <v>22.97430438766558</v>
      </c>
      <c r="J146">
        <v>202.97430438766557</v>
      </c>
      <c r="K146">
        <v>23.002910054688698</v>
      </c>
      <c r="L146" t="s">
        <v>155</v>
      </c>
    </row>
    <row r="147" spans="1:12">
      <c r="A147" s="164" t="s">
        <v>88</v>
      </c>
      <c r="B147">
        <v>38.960393169597992</v>
      </c>
      <c r="C147">
        <v>-77.010591988442854</v>
      </c>
      <c r="D147" s="165" t="s">
        <v>198</v>
      </c>
      <c r="E147">
        <v>38.937902435216373</v>
      </c>
      <c r="F147">
        <v>-77.085865083617094</v>
      </c>
      <c r="G147" s="167">
        <v>4.3321494556239371</v>
      </c>
      <c r="H147" s="168">
        <v>249.00723785839813</v>
      </c>
      <c r="I147" s="169">
        <v>68.959918897703673</v>
      </c>
      <c r="J147">
        <v>248.95991889770369</v>
      </c>
      <c r="K147">
        <v>69.007237858398128</v>
      </c>
      <c r="L147" t="s">
        <v>155</v>
      </c>
    </row>
    <row r="148" spans="1:12">
      <c r="A148" s="164" t="s">
        <v>90</v>
      </c>
      <c r="B148">
        <v>38.876142130269038</v>
      </c>
      <c r="C148">
        <v>-77.112656342468085</v>
      </c>
      <c r="D148" s="165" t="s">
        <v>18</v>
      </c>
      <c r="E148">
        <v>38.914489864708663</v>
      </c>
      <c r="F148">
        <v>-77.049531913503088</v>
      </c>
      <c r="G148" s="167">
        <v>4.3053306428342815</v>
      </c>
      <c r="H148" s="168">
        <v>52.006522782083124</v>
      </c>
      <c r="I148" s="169">
        <v>232.04615857989822</v>
      </c>
      <c r="J148">
        <v>52.046158579898247</v>
      </c>
      <c r="K148">
        <v>232.00652278208312</v>
      </c>
      <c r="L148" t="s">
        <v>155</v>
      </c>
    </row>
    <row r="149" spans="1:12">
      <c r="A149" s="164" t="s">
        <v>76</v>
      </c>
      <c r="B149">
        <v>38.872804095441928</v>
      </c>
      <c r="C149">
        <v>-76.940197367335742</v>
      </c>
      <c r="D149" s="165" t="s">
        <v>7</v>
      </c>
      <c r="E149">
        <v>38.876337452964407</v>
      </c>
      <c r="F149">
        <v>-77.072341784270549</v>
      </c>
      <c r="G149" s="167">
        <v>7.1109676061072715</v>
      </c>
      <c r="H149" s="168">
        <v>272.00853785022355</v>
      </c>
      <c r="I149" s="169">
        <v>91.925601667009786</v>
      </c>
      <c r="J149">
        <v>271.9256016670098</v>
      </c>
      <c r="K149">
        <v>92.008537850223547</v>
      </c>
      <c r="L149" t="s">
        <v>155</v>
      </c>
    </row>
    <row r="150" spans="1:12">
      <c r="A150" s="164" t="s">
        <v>35</v>
      </c>
      <c r="B150">
        <v>38.886867190107317</v>
      </c>
      <c r="C150">
        <v>-76.916665420155027</v>
      </c>
      <c r="D150" s="165" t="s">
        <v>55</v>
      </c>
      <c r="E150">
        <v>38.91261730408393</v>
      </c>
      <c r="F150">
        <v>-76.957538798719796</v>
      </c>
      <c r="G150" s="167">
        <v>2.827154743809575</v>
      </c>
      <c r="H150" s="168">
        <v>309.00331691728428</v>
      </c>
      <c r="I150" s="169">
        <v>128.97765008729618</v>
      </c>
      <c r="J150">
        <v>308.97765008729618</v>
      </c>
      <c r="K150">
        <v>129.00331691728428</v>
      </c>
      <c r="L150" t="s">
        <v>155</v>
      </c>
    </row>
    <row r="151" spans="1:12">
      <c r="A151" s="164" t="s">
        <v>60</v>
      </c>
      <c r="B151">
        <v>38.953994890572183</v>
      </c>
      <c r="C151">
        <v>-77.077629631633798</v>
      </c>
      <c r="D151" s="165" t="s">
        <v>129</v>
      </c>
      <c r="E151">
        <v>39.010042682733477</v>
      </c>
      <c r="F151">
        <v>-77.042440353879812</v>
      </c>
      <c r="G151" s="167">
        <v>4.3082994524224674</v>
      </c>
      <c r="H151" s="168">
        <v>26.003646558626059</v>
      </c>
      <c r="I151" s="169">
        <v>206.02578330823087</v>
      </c>
      <c r="J151">
        <v>26.025783308230871</v>
      </c>
      <c r="K151">
        <v>206.00364655862606</v>
      </c>
      <c r="L151" t="s">
        <v>155</v>
      </c>
    </row>
    <row r="152" spans="1:12">
      <c r="A152" s="164" t="s">
        <v>160</v>
      </c>
      <c r="B152">
        <v>38.870800749819253</v>
      </c>
      <c r="C152">
        <v>-77.144343160781318</v>
      </c>
      <c r="D152" s="165" t="s">
        <v>96</v>
      </c>
      <c r="E152">
        <v>38.899664999999999</v>
      </c>
      <c r="F152">
        <v>-77.698808999999997</v>
      </c>
      <c r="G152" s="167">
        <v>29.881467393360637</v>
      </c>
      <c r="H152" s="168">
        <v>274.00010723954426</v>
      </c>
      <c r="I152" s="169">
        <v>93.652032745411319</v>
      </c>
      <c r="J152">
        <v>273.6520327454113</v>
      </c>
      <c r="K152">
        <v>94.000107239544263</v>
      </c>
      <c r="L152" t="s">
        <v>155</v>
      </c>
    </row>
    <row r="153" spans="1:12">
      <c r="A153" s="164" t="s">
        <v>73</v>
      </c>
      <c r="B153">
        <v>38.891720559711821</v>
      </c>
      <c r="C153">
        <v>-76.899121357377226</v>
      </c>
      <c r="D153" s="165" t="s">
        <v>162</v>
      </c>
      <c r="E153">
        <v>38.863742890040719</v>
      </c>
      <c r="F153">
        <v>-77.04279029496989</v>
      </c>
      <c r="G153" s="167">
        <v>7.9642895234127247</v>
      </c>
      <c r="H153" s="168">
        <v>256.00086530742118</v>
      </c>
      <c r="I153" s="169">
        <v>75.910689952810998</v>
      </c>
      <c r="J153">
        <v>255.910689952811</v>
      </c>
      <c r="K153">
        <v>76.000865307421179</v>
      </c>
      <c r="L153" t="s">
        <v>155</v>
      </c>
    </row>
    <row r="154" spans="1:12">
      <c r="A154" s="164" t="s">
        <v>55</v>
      </c>
      <c r="B154">
        <v>38.91261730408393</v>
      </c>
      <c r="C154">
        <v>-76.957538798719796</v>
      </c>
      <c r="D154" s="165" t="s">
        <v>164</v>
      </c>
      <c r="E154">
        <v>38.888944385745397</v>
      </c>
      <c r="F154">
        <v>-77.000964800836925</v>
      </c>
      <c r="G154" s="167">
        <v>2.8503827870251994</v>
      </c>
      <c r="H154" s="168">
        <v>235.00343070198863</v>
      </c>
      <c r="I154" s="169">
        <v>54.976160314966144</v>
      </c>
      <c r="J154">
        <v>234.97616031496614</v>
      </c>
      <c r="K154">
        <v>55.003430701988634</v>
      </c>
      <c r="L154" t="s">
        <v>155</v>
      </c>
    </row>
    <row r="155" spans="1:12">
      <c r="A155" s="164" t="s">
        <v>55</v>
      </c>
      <c r="B155">
        <v>38.91261730408393</v>
      </c>
      <c r="C155">
        <v>-76.957538798719796</v>
      </c>
      <c r="D155" s="165" t="s">
        <v>138</v>
      </c>
      <c r="E155">
        <v>38.900171643902958</v>
      </c>
      <c r="F155">
        <v>-77.070876040084556</v>
      </c>
      <c r="G155" s="167">
        <v>6.1529521204121771</v>
      </c>
      <c r="H155" s="168">
        <v>262.00341013461195</v>
      </c>
      <c r="I155" s="169">
        <v>81.932228675979232</v>
      </c>
      <c r="J155">
        <v>261.93222867597922</v>
      </c>
      <c r="K155">
        <v>82.003410134611954</v>
      </c>
      <c r="L155" t="s">
        <v>155</v>
      </c>
    </row>
    <row r="156" spans="1:12">
      <c r="A156" s="164" t="s">
        <v>56</v>
      </c>
      <c r="B156">
        <v>38.947325108309627</v>
      </c>
      <c r="C156">
        <v>-77.021883345949419</v>
      </c>
      <c r="D156" s="165" t="s">
        <v>25</v>
      </c>
      <c r="E156">
        <v>38.904990813622462</v>
      </c>
      <c r="F156">
        <v>-77.128535953950191</v>
      </c>
      <c r="G156" s="167">
        <v>6.4346169367133026</v>
      </c>
      <c r="H156" s="168">
        <v>243.00149519004253</v>
      </c>
      <c r="I156" s="169">
        <v>62.934483389122988</v>
      </c>
      <c r="J156">
        <v>242.93448338912299</v>
      </c>
      <c r="K156">
        <v>63.001495190042533</v>
      </c>
      <c r="L156" t="s">
        <v>155</v>
      </c>
    </row>
    <row r="157" spans="1:12">
      <c r="A157" s="164" t="s">
        <v>114</v>
      </c>
      <c r="B157">
        <v>38.94812410619182</v>
      </c>
      <c r="C157">
        <v>-77.004844803322314</v>
      </c>
      <c r="D157" s="165" t="s">
        <v>165</v>
      </c>
      <c r="E157">
        <v>38.709536573715518</v>
      </c>
      <c r="F157">
        <v>-77.026233748190492</v>
      </c>
      <c r="G157" s="167">
        <v>16.521802478351113</v>
      </c>
      <c r="H157" s="168">
        <v>184.00164323828278</v>
      </c>
      <c r="I157" s="169">
        <v>3.9882324287527258</v>
      </c>
      <c r="J157">
        <v>183.98823242875272</v>
      </c>
      <c r="K157">
        <v>4.0016432382827816</v>
      </c>
      <c r="L157" t="s">
        <v>155</v>
      </c>
    </row>
    <row r="158" spans="1:12">
      <c r="A158" s="164" t="s">
        <v>94</v>
      </c>
      <c r="B158">
        <v>38.909631706139457</v>
      </c>
      <c r="C158">
        <v>-77.029568629434891</v>
      </c>
      <c r="D158" s="165" t="s">
        <v>169</v>
      </c>
      <c r="E158">
        <v>38.86898287196977</v>
      </c>
      <c r="F158">
        <v>-76.996961003019521</v>
      </c>
      <c r="G158" s="167">
        <v>3.3104425470578356</v>
      </c>
      <c r="H158" s="168">
        <v>148.00976574671841</v>
      </c>
      <c r="I158" s="169">
        <v>328.03023739689962</v>
      </c>
      <c r="J158">
        <v>148.03023739689962</v>
      </c>
      <c r="K158">
        <v>328.00976574671841</v>
      </c>
      <c r="L158" t="s">
        <v>155</v>
      </c>
    </row>
    <row r="159" spans="1:12">
      <c r="A159" s="164" t="s">
        <v>127</v>
      </c>
      <c r="B159">
        <v>38.893587651719322</v>
      </c>
      <c r="C159">
        <v>-76.999525090510573</v>
      </c>
      <c r="D159" s="165" t="s">
        <v>111</v>
      </c>
      <c r="E159">
        <v>38.946262788060167</v>
      </c>
      <c r="F159">
        <v>-77.013912196621391</v>
      </c>
      <c r="G159" s="167">
        <v>3.7200564624794374</v>
      </c>
      <c r="H159" s="168">
        <v>348.0075593621371</v>
      </c>
      <c r="I159" s="169">
        <v>167.99852089679555</v>
      </c>
      <c r="J159">
        <v>347.99852089679553</v>
      </c>
      <c r="K159">
        <v>168.00755936213704</v>
      </c>
      <c r="L159" t="s">
        <v>155</v>
      </c>
    </row>
    <row r="160" spans="1:12">
      <c r="A160" s="164" t="s">
        <v>197</v>
      </c>
      <c r="B160">
        <v>38.870688770261303</v>
      </c>
      <c r="C160">
        <v>-77.009073886696044</v>
      </c>
      <c r="D160" s="165" t="s">
        <v>256</v>
      </c>
      <c r="E160">
        <v>38.871476946892543</v>
      </c>
      <c r="F160">
        <v>-77.067752201956665</v>
      </c>
      <c r="G160" s="167">
        <v>3.1563669533684466</v>
      </c>
      <c r="H160" s="168">
        <v>271.00681378121953</v>
      </c>
      <c r="I160" s="169">
        <v>90.969989017288384</v>
      </c>
      <c r="J160">
        <v>270.96998901728841</v>
      </c>
      <c r="K160">
        <v>91.006813781219535</v>
      </c>
      <c r="L160" t="s">
        <v>155</v>
      </c>
    </row>
    <row r="161" spans="1:12">
      <c r="A161" s="164" t="s">
        <v>197</v>
      </c>
      <c r="B161">
        <v>38.870688770261303</v>
      </c>
      <c r="C161">
        <v>-77.009073886696044</v>
      </c>
      <c r="D161" s="165" t="s">
        <v>117</v>
      </c>
      <c r="E161">
        <v>38.932037569820068</v>
      </c>
      <c r="F161">
        <v>-77.093677384943518</v>
      </c>
      <c r="G161" s="167">
        <v>6.2167084826285839</v>
      </c>
      <c r="H161" s="168">
        <v>313.00385088154127</v>
      </c>
      <c r="I161" s="169">
        <v>132.95072143014636</v>
      </c>
      <c r="J161">
        <v>312.95072143014636</v>
      </c>
      <c r="K161">
        <v>133.00385088154127</v>
      </c>
      <c r="L161" t="s">
        <v>155</v>
      </c>
    </row>
    <row r="162" spans="1:12">
      <c r="A162" s="164" t="s">
        <v>202</v>
      </c>
      <c r="B162">
        <v>38.710790497835873</v>
      </c>
      <c r="C162">
        <v>-77.0352088314432</v>
      </c>
      <c r="D162" s="165" t="s">
        <v>178</v>
      </c>
      <c r="E162">
        <v>38.77367519361357</v>
      </c>
      <c r="F162">
        <v>-76.972158414322777</v>
      </c>
      <c r="G162" s="167">
        <v>5.5146976773694467</v>
      </c>
      <c r="H162" s="168">
        <v>38.006564265862032</v>
      </c>
      <c r="I162" s="169">
        <v>218.04602234398945</v>
      </c>
      <c r="J162">
        <v>38.046022343989421</v>
      </c>
      <c r="K162">
        <v>218.00656426586204</v>
      </c>
      <c r="L162" t="s">
        <v>155</v>
      </c>
    </row>
    <row r="163" spans="1:12">
      <c r="A163" s="164" t="s">
        <v>165</v>
      </c>
      <c r="B163">
        <v>38.709536573715518</v>
      </c>
      <c r="C163">
        <v>-77.026233748190492</v>
      </c>
      <c r="D163" s="165" t="s">
        <v>119</v>
      </c>
      <c r="E163">
        <v>38.918835090612639</v>
      </c>
      <c r="F163">
        <v>-77.007394020653479</v>
      </c>
      <c r="G163" s="167">
        <v>14.493887288812914</v>
      </c>
      <c r="H163" s="168">
        <v>4.0060879020901439</v>
      </c>
      <c r="I163" s="169">
        <v>184.01789660180577</v>
      </c>
      <c r="J163">
        <v>4.0178966018057736</v>
      </c>
      <c r="K163">
        <v>184.00608790209014</v>
      </c>
      <c r="L163" t="s">
        <v>155</v>
      </c>
    </row>
    <row r="164" spans="1:12">
      <c r="A164" s="164" t="s">
        <v>129</v>
      </c>
      <c r="B164">
        <v>39.010042682733477</v>
      </c>
      <c r="C164">
        <v>-77.042440353879812</v>
      </c>
      <c r="D164" s="165" t="s">
        <v>96</v>
      </c>
      <c r="E164">
        <v>38.899664999999999</v>
      </c>
      <c r="F164">
        <v>-77.698808999999997</v>
      </c>
      <c r="G164" s="167">
        <v>36.074779465857986</v>
      </c>
      <c r="H164" s="168">
        <v>258.00420552020023</v>
      </c>
      <c r="I164" s="169">
        <v>77.591538483060191</v>
      </c>
      <c r="J164">
        <v>257.59153848306016</v>
      </c>
      <c r="K164">
        <v>78.00420552020023</v>
      </c>
      <c r="L164" t="s">
        <v>155</v>
      </c>
    </row>
    <row r="165" spans="1:12">
      <c r="A165" s="164" t="s">
        <v>128</v>
      </c>
      <c r="B165">
        <v>39.005339472519637</v>
      </c>
      <c r="C165">
        <v>-77.038062048737274</v>
      </c>
      <c r="D165" s="165" t="s">
        <v>14</v>
      </c>
      <c r="E165">
        <v>38.914649550911903</v>
      </c>
      <c r="F165">
        <v>-77.004648326263094</v>
      </c>
      <c r="G165" s="167">
        <v>6.5169064938512324</v>
      </c>
      <c r="H165" s="168">
        <v>164.00286312409347</v>
      </c>
      <c r="I165" s="169">
        <v>344.02387293169255</v>
      </c>
      <c r="J165">
        <v>164.02387293169249</v>
      </c>
      <c r="K165">
        <v>344.00286312409344</v>
      </c>
      <c r="L165" t="s">
        <v>155</v>
      </c>
    </row>
    <row r="166" spans="1:12">
      <c r="A166" s="164" t="s">
        <v>68</v>
      </c>
      <c r="B166">
        <v>38.934493099999983</v>
      </c>
      <c r="C166">
        <v>-77.119915899999995</v>
      </c>
      <c r="D166" s="165" t="s">
        <v>173</v>
      </c>
      <c r="E166">
        <v>38.988765681572232</v>
      </c>
      <c r="F166">
        <v>-77.16354886186852</v>
      </c>
      <c r="G166" s="167">
        <v>4.4214480672921352</v>
      </c>
      <c r="H166" s="168">
        <v>328.00286853839657</v>
      </c>
      <c r="I166" s="169">
        <v>147.97543213680649</v>
      </c>
      <c r="J166">
        <v>327.97543213680649</v>
      </c>
      <c r="K166">
        <v>148.00286853839657</v>
      </c>
      <c r="L166" t="s">
        <v>155</v>
      </c>
    </row>
    <row r="167" spans="1:12">
      <c r="A167" s="164" t="s">
        <v>122</v>
      </c>
      <c r="B167">
        <v>38.899509095632219</v>
      </c>
      <c r="C167">
        <v>-77.057553372632484</v>
      </c>
      <c r="D167" s="165" t="s">
        <v>49</v>
      </c>
      <c r="E167">
        <v>38.915519421202269</v>
      </c>
      <c r="F167">
        <v>-77.089236402778027</v>
      </c>
      <c r="G167" s="167">
        <v>2.0307378903607987</v>
      </c>
      <c r="H167" s="168">
        <v>303.00915025330778</v>
      </c>
      <c r="I167" s="169">
        <v>122.98925124674324</v>
      </c>
      <c r="J167">
        <v>302.98925124674327</v>
      </c>
      <c r="K167">
        <v>123.00915025330778</v>
      </c>
      <c r="L167" t="s">
        <v>155</v>
      </c>
    </row>
    <row r="168" spans="1:12">
      <c r="A168" s="164" t="s">
        <v>122</v>
      </c>
      <c r="B168">
        <v>38.899509095632219</v>
      </c>
      <c r="C168">
        <v>-77.057553372632484</v>
      </c>
      <c r="D168" s="165" t="s">
        <v>28</v>
      </c>
      <c r="E168">
        <v>38.9243596243616</v>
      </c>
      <c r="F168">
        <v>-77.090630055083651</v>
      </c>
      <c r="G168" s="167">
        <v>2.4714484565919199</v>
      </c>
      <c r="H168" s="168">
        <v>314.00604991063631</v>
      </c>
      <c r="I168" s="169">
        <v>133.98527361375719</v>
      </c>
      <c r="J168">
        <v>313.98527361375716</v>
      </c>
      <c r="K168">
        <v>134.00604991063631</v>
      </c>
      <c r="L168" t="s">
        <v>155</v>
      </c>
    </row>
    <row r="169" spans="1:12">
      <c r="A169" s="164" t="s">
        <v>168</v>
      </c>
      <c r="B169">
        <v>38.904077195910197</v>
      </c>
      <c r="C169">
        <v>-77.081655757436437</v>
      </c>
      <c r="D169" s="165" t="s">
        <v>169</v>
      </c>
      <c r="E169">
        <v>38.86898287196977</v>
      </c>
      <c r="F169">
        <v>-76.996961003019521</v>
      </c>
      <c r="G169" s="167">
        <v>5.1592257007183058</v>
      </c>
      <c r="H169" s="168">
        <v>118.00121863258612</v>
      </c>
      <c r="I169" s="169">
        <v>298.05438832056439</v>
      </c>
      <c r="J169">
        <v>118.05438832056439</v>
      </c>
      <c r="K169">
        <v>298.00121863258613</v>
      </c>
      <c r="L169" t="s">
        <v>155</v>
      </c>
    </row>
    <row r="170" spans="1:12">
      <c r="A170" s="164" t="s">
        <v>168</v>
      </c>
      <c r="B170">
        <v>38.904077195910197</v>
      </c>
      <c r="C170">
        <v>-77.081655757436437</v>
      </c>
      <c r="D170" s="165" t="s">
        <v>28</v>
      </c>
      <c r="E170">
        <v>38.9243596243616</v>
      </c>
      <c r="F170">
        <v>-77.090630055083651</v>
      </c>
      <c r="G170" s="167">
        <v>1.4818231161687194</v>
      </c>
      <c r="H170" s="168">
        <v>341.00537745284799</v>
      </c>
      <c r="I170" s="169">
        <v>160.99974019235566</v>
      </c>
      <c r="J170">
        <v>340.99974019235566</v>
      </c>
      <c r="K170">
        <v>161.00537745284805</v>
      </c>
      <c r="L170" t="s">
        <v>155</v>
      </c>
    </row>
    <row r="171" spans="1:12">
      <c r="A171" s="164" t="s">
        <v>169</v>
      </c>
      <c r="B171">
        <v>38.86898287196977</v>
      </c>
      <c r="C171">
        <v>-76.996961003019521</v>
      </c>
      <c r="D171" s="165" t="s">
        <v>32</v>
      </c>
      <c r="E171">
        <v>38.963272360634562</v>
      </c>
      <c r="F171">
        <v>-77.050955050599228</v>
      </c>
      <c r="G171" s="167">
        <v>7.1308052728163798</v>
      </c>
      <c r="H171" s="168">
        <v>336.00145552919741</v>
      </c>
      <c r="I171" s="169">
        <v>155.96753742239741</v>
      </c>
      <c r="J171">
        <v>335.96753742239741</v>
      </c>
      <c r="K171">
        <v>156.00145552919741</v>
      </c>
      <c r="L171" t="s">
        <v>155</v>
      </c>
    </row>
    <row r="172" spans="1:12">
      <c r="A172" s="164" t="s">
        <v>159</v>
      </c>
      <c r="B172">
        <v>38.785226169416099</v>
      </c>
      <c r="C172">
        <v>-77.040251901847796</v>
      </c>
      <c r="D172" s="165" t="s">
        <v>11</v>
      </c>
      <c r="E172">
        <v>38.923121509621552</v>
      </c>
      <c r="F172">
        <v>-77.074683546770501</v>
      </c>
      <c r="G172" s="167">
        <v>9.7042431470696684</v>
      </c>
      <c r="H172" s="168">
        <v>349.0070587011644</v>
      </c>
      <c r="I172" s="169">
        <v>168.98545832307875</v>
      </c>
      <c r="J172">
        <v>348.98545832307877</v>
      </c>
      <c r="K172">
        <v>169.0070587011644</v>
      </c>
      <c r="L172" t="s">
        <v>155</v>
      </c>
    </row>
    <row r="173" spans="1:12">
      <c r="A173" s="164" t="s">
        <v>167</v>
      </c>
      <c r="B173">
        <v>38.993556118205731</v>
      </c>
      <c r="C173">
        <v>-77.037930927681117</v>
      </c>
      <c r="D173" s="165" t="s">
        <v>199</v>
      </c>
      <c r="E173">
        <v>38.901242008335643</v>
      </c>
      <c r="F173">
        <v>-77.085863354657533</v>
      </c>
      <c r="G173" s="167">
        <v>6.8773966751804334</v>
      </c>
      <c r="H173" s="168">
        <v>202.00484913074104</v>
      </c>
      <c r="I173" s="169">
        <v>21.974718477089503</v>
      </c>
      <c r="J173">
        <v>201.97471847708951</v>
      </c>
      <c r="K173">
        <v>22.004849130741036</v>
      </c>
      <c r="L173" t="s">
        <v>155</v>
      </c>
    </row>
    <row r="174" spans="1:12">
      <c r="A174" s="164" t="s">
        <v>150</v>
      </c>
      <c r="B174">
        <v>38.926245969493429</v>
      </c>
      <c r="C174">
        <v>-76.951888012920421</v>
      </c>
      <c r="D174" s="165" t="s">
        <v>7</v>
      </c>
      <c r="E174">
        <v>38.876337452964407</v>
      </c>
      <c r="F174">
        <v>-77.072341784270549</v>
      </c>
      <c r="G174" s="167">
        <v>7.3362190510675944</v>
      </c>
      <c r="H174" s="168">
        <v>242.00651167183727</v>
      </c>
      <c r="I174" s="169">
        <v>61.930869015863237</v>
      </c>
      <c r="J174">
        <v>241.93086901586324</v>
      </c>
      <c r="K174">
        <v>62.006511671837302</v>
      </c>
      <c r="L174" t="s">
        <v>155</v>
      </c>
    </row>
    <row r="175" spans="1:12">
      <c r="A175" s="164" t="s">
        <v>149</v>
      </c>
      <c r="B175">
        <v>38.957046438880887</v>
      </c>
      <c r="C175">
        <v>-76.991344852497164</v>
      </c>
      <c r="D175" s="165" t="s">
        <v>7</v>
      </c>
      <c r="E175">
        <v>38.876337452964407</v>
      </c>
      <c r="F175">
        <v>-77.072341784270549</v>
      </c>
      <c r="G175" s="167">
        <v>7.0737245212614788</v>
      </c>
      <c r="H175" s="168">
        <v>218.00944931338276</v>
      </c>
      <c r="I175" s="169">
        <v>37.958567852815882</v>
      </c>
      <c r="J175">
        <v>217.95856785281589</v>
      </c>
      <c r="K175">
        <v>38.009449313382788</v>
      </c>
      <c r="L175" t="s">
        <v>155</v>
      </c>
    </row>
    <row r="176" spans="1:12">
      <c r="A176" s="164" t="s">
        <v>147</v>
      </c>
      <c r="B176">
        <v>38.95177142459147</v>
      </c>
      <c r="C176">
        <v>-76.984729407049613</v>
      </c>
      <c r="D176" s="165" t="s">
        <v>31</v>
      </c>
      <c r="E176">
        <v>38.938415626440083</v>
      </c>
      <c r="F176">
        <v>-77.010186601521028</v>
      </c>
      <c r="G176" s="167">
        <v>1.6498290816070622</v>
      </c>
      <c r="H176" s="168">
        <v>236.00600840040414</v>
      </c>
      <c r="I176" s="169">
        <v>55.990006634854723</v>
      </c>
      <c r="J176">
        <v>235.99000663485472</v>
      </c>
      <c r="K176">
        <v>56.006008400404141</v>
      </c>
      <c r="L176" t="s">
        <v>155</v>
      </c>
    </row>
    <row r="177" spans="1:12">
      <c r="A177" s="164" t="s">
        <v>14</v>
      </c>
      <c r="B177">
        <v>38.914649550911903</v>
      </c>
      <c r="C177">
        <v>-77.004648326263094</v>
      </c>
      <c r="D177" s="165" t="s">
        <v>50</v>
      </c>
      <c r="E177">
        <v>38.825547076803183</v>
      </c>
      <c r="F177">
        <v>-77.014661035126181</v>
      </c>
      <c r="G177" s="167">
        <v>6.1787234243306388</v>
      </c>
      <c r="H177" s="168">
        <v>185.00323547523868</v>
      </c>
      <c r="I177" s="169">
        <v>4.9969519295921172</v>
      </c>
      <c r="J177">
        <v>184.99695192959211</v>
      </c>
      <c r="K177">
        <v>5.0032354752386823</v>
      </c>
      <c r="L177" t="s">
        <v>155</v>
      </c>
    </row>
    <row r="178" spans="1:12">
      <c r="A178" s="164" t="s">
        <v>14</v>
      </c>
      <c r="B178">
        <v>38.914649550911903</v>
      </c>
      <c r="C178">
        <v>-77.004648326263094</v>
      </c>
      <c r="D178" s="165" t="s">
        <v>173</v>
      </c>
      <c r="E178">
        <v>38.988765681572232</v>
      </c>
      <c r="F178">
        <v>-77.16354886186852</v>
      </c>
      <c r="G178" s="167">
        <v>9.9541364258119636</v>
      </c>
      <c r="H178" s="168">
        <v>301.00422116113901</v>
      </c>
      <c r="I178" s="169">
        <v>120.90432587382334</v>
      </c>
      <c r="J178">
        <v>300.90432587382332</v>
      </c>
      <c r="K178">
        <v>121.00422116113901</v>
      </c>
      <c r="L178" t="s">
        <v>155</v>
      </c>
    </row>
    <row r="179" spans="1:12">
      <c r="A179" s="164" t="s">
        <v>13</v>
      </c>
      <c r="B179">
        <v>38.928234461306907</v>
      </c>
      <c r="C179">
        <v>-77.06004232078331</v>
      </c>
      <c r="D179" s="165" t="s">
        <v>50</v>
      </c>
      <c r="E179">
        <v>38.825547076803183</v>
      </c>
      <c r="F179">
        <v>-77.014661035126181</v>
      </c>
      <c r="G179" s="167">
        <v>7.5017485972696649</v>
      </c>
      <c r="H179" s="168">
        <v>161.00019021504866</v>
      </c>
      <c r="I179" s="169">
        <v>341.02867375121781</v>
      </c>
      <c r="J179">
        <v>161.02867375121787</v>
      </c>
      <c r="K179">
        <v>341.00019021504863</v>
      </c>
      <c r="L179" t="s">
        <v>155</v>
      </c>
    </row>
    <row r="180" spans="1:12">
      <c r="A180" s="164" t="s">
        <v>30</v>
      </c>
      <c r="B180">
        <v>38.92053966660955</v>
      </c>
      <c r="C180">
        <v>-77.11324805943606</v>
      </c>
      <c r="D180" s="165" t="s">
        <v>153</v>
      </c>
      <c r="E180">
        <v>38.945071482174598</v>
      </c>
      <c r="F180">
        <v>-77.038834596689199</v>
      </c>
      <c r="G180" s="167">
        <v>4.3429834305020885</v>
      </c>
      <c r="H180" s="168">
        <v>67.009264149363389</v>
      </c>
      <c r="I180" s="169">
        <v>247.05602621061215</v>
      </c>
      <c r="J180">
        <v>67.056026210612117</v>
      </c>
      <c r="K180">
        <v>247.00926414936339</v>
      </c>
      <c r="L180" t="s">
        <v>155</v>
      </c>
    </row>
    <row r="181" spans="1:12">
      <c r="A181" s="164" t="s">
        <v>34</v>
      </c>
      <c r="B181">
        <v>38.903018005263867</v>
      </c>
      <c r="C181">
        <v>-77.112368203032503</v>
      </c>
      <c r="D181" s="165" t="s">
        <v>33</v>
      </c>
      <c r="E181">
        <v>38.918966507717499</v>
      </c>
      <c r="F181">
        <v>-77.24236058241425</v>
      </c>
      <c r="G181" s="167">
        <v>7.0737780101235135</v>
      </c>
      <c r="H181" s="168">
        <v>279.00098321341687</v>
      </c>
      <c r="I181" s="169">
        <v>98.919333372150348</v>
      </c>
      <c r="J181">
        <v>278.91933337215033</v>
      </c>
      <c r="K181">
        <v>99.000983213416873</v>
      </c>
      <c r="L181" t="s">
        <v>155</v>
      </c>
    </row>
    <row r="182" spans="1:12">
      <c r="A182" s="164" t="s">
        <v>34</v>
      </c>
      <c r="B182">
        <v>38.903018005263867</v>
      </c>
      <c r="C182">
        <v>-77.112368203032503</v>
      </c>
      <c r="D182" s="165" t="s">
        <v>119</v>
      </c>
      <c r="E182">
        <v>38.918835090612639</v>
      </c>
      <c r="F182">
        <v>-77.007394020653479</v>
      </c>
      <c r="G182" s="167">
        <v>5.7474793557031472</v>
      </c>
      <c r="H182" s="168">
        <v>79.007902896173391</v>
      </c>
      <c r="I182" s="169">
        <v>259.07383839497692</v>
      </c>
      <c r="J182">
        <v>79.073838394976917</v>
      </c>
      <c r="K182">
        <v>259.00790289617339</v>
      </c>
      <c r="L182" t="s">
        <v>155</v>
      </c>
    </row>
    <row r="183" spans="1:12">
      <c r="A183" s="164" t="s">
        <v>49</v>
      </c>
      <c r="B183">
        <v>38.915519421202269</v>
      </c>
      <c r="C183">
        <v>-77.089236402778027</v>
      </c>
      <c r="D183" s="165" t="s">
        <v>125</v>
      </c>
      <c r="E183">
        <v>38.925747734853033</v>
      </c>
      <c r="F183">
        <v>-78.310073707657736</v>
      </c>
      <c r="G183" s="167">
        <v>65.61784220823202</v>
      </c>
      <c r="H183" s="168">
        <v>271.00044541590449</v>
      </c>
      <c r="I183" s="169">
        <v>90.233445013520239</v>
      </c>
      <c r="J183">
        <v>270.23344501352022</v>
      </c>
      <c r="K183">
        <v>91.000445415904494</v>
      </c>
      <c r="L183" t="s">
        <v>155</v>
      </c>
    </row>
    <row r="184" spans="1:12">
      <c r="A184" s="164" t="s">
        <v>5</v>
      </c>
      <c r="B184">
        <v>38.873731147841703</v>
      </c>
      <c r="C184">
        <v>-77.070387413691392</v>
      </c>
      <c r="D184" s="165" t="s">
        <v>124</v>
      </c>
      <c r="E184">
        <v>38.775506878609448</v>
      </c>
      <c r="F184">
        <v>-78.204061852272687</v>
      </c>
      <c r="G184" s="167">
        <v>61.388016606156036</v>
      </c>
      <c r="H184" s="168">
        <v>264.00963922587539</v>
      </c>
      <c r="I184" s="169">
        <v>83.298880600691632</v>
      </c>
      <c r="J184">
        <v>263.29888060069163</v>
      </c>
      <c r="K184">
        <v>84.009639225875389</v>
      </c>
      <c r="L184" t="s">
        <v>155</v>
      </c>
    </row>
    <row r="185" spans="1:12">
      <c r="A185" s="164" t="s">
        <v>19</v>
      </c>
      <c r="B185">
        <v>38.88120136333437</v>
      </c>
      <c r="C185">
        <v>-77.072631056499674</v>
      </c>
      <c r="D185" s="165" t="s">
        <v>33</v>
      </c>
      <c r="E185">
        <v>38.918966507717499</v>
      </c>
      <c r="F185">
        <v>-77.24236058241425</v>
      </c>
      <c r="G185" s="167">
        <v>9.4904506996283065</v>
      </c>
      <c r="H185" s="168">
        <v>286.00868119106292</v>
      </c>
      <c r="I185" s="169">
        <v>105.90209707249551</v>
      </c>
      <c r="J185">
        <v>285.90209707249551</v>
      </c>
      <c r="K185">
        <v>106.00868119106292</v>
      </c>
      <c r="L185" t="s">
        <v>155</v>
      </c>
    </row>
    <row r="186" spans="1:12">
      <c r="A186" s="164" t="s">
        <v>12</v>
      </c>
      <c r="B186">
        <v>38.917382469465053</v>
      </c>
      <c r="C186">
        <v>-77.070410578532105</v>
      </c>
      <c r="D186" s="165" t="s">
        <v>117</v>
      </c>
      <c r="E186">
        <v>38.932037569820068</v>
      </c>
      <c r="F186">
        <v>-77.093677384943518</v>
      </c>
      <c r="G186" s="167">
        <v>1.6088636929626172</v>
      </c>
      <c r="H186" s="168">
        <v>309.00206337241661</v>
      </c>
      <c r="I186" s="169">
        <v>128.98744486950352</v>
      </c>
      <c r="J186">
        <v>308.98744486950352</v>
      </c>
      <c r="K186">
        <v>129.00206337241661</v>
      </c>
      <c r="L186" t="s">
        <v>155</v>
      </c>
    </row>
    <row r="187" spans="1:12">
      <c r="A187" s="164" t="s">
        <v>15</v>
      </c>
      <c r="B187">
        <v>38.83334538875507</v>
      </c>
      <c r="C187">
        <v>-77.176201826008182</v>
      </c>
      <c r="D187" s="165" t="s">
        <v>29</v>
      </c>
      <c r="E187">
        <v>38.931322965354973</v>
      </c>
      <c r="F187">
        <v>-76.917209455745677</v>
      </c>
      <c r="G187" s="167">
        <v>15.484709931714551</v>
      </c>
      <c r="H187" s="168">
        <v>64.000031675984715</v>
      </c>
      <c r="I187" s="169">
        <v>244.16260739011466</v>
      </c>
      <c r="J187">
        <v>64.162607390114658</v>
      </c>
      <c r="K187">
        <v>244.0000316759847</v>
      </c>
      <c r="L187" t="s">
        <v>155</v>
      </c>
    </row>
    <row r="188" spans="1:12">
      <c r="A188" s="164" t="s">
        <v>25</v>
      </c>
      <c r="B188">
        <v>38.904990813622462</v>
      </c>
      <c r="C188">
        <v>-77.128535953950191</v>
      </c>
      <c r="D188" s="165" t="s">
        <v>33</v>
      </c>
      <c r="E188">
        <v>38.918966507717499</v>
      </c>
      <c r="F188">
        <v>-77.24236058241425</v>
      </c>
      <c r="G188" s="167">
        <v>6.1940118336756305</v>
      </c>
      <c r="H188" s="168">
        <v>279.002834398495</v>
      </c>
      <c r="I188" s="169">
        <v>98.931338203724266</v>
      </c>
      <c r="J188">
        <v>278.93133820372429</v>
      </c>
      <c r="K188">
        <v>99.002834398494997</v>
      </c>
      <c r="L188" t="s">
        <v>155</v>
      </c>
    </row>
    <row r="189" spans="1:12">
      <c r="A189" s="164" t="s">
        <v>16</v>
      </c>
      <c r="B189">
        <v>38.912268638824223</v>
      </c>
      <c r="C189">
        <v>-77.124748759002642</v>
      </c>
      <c r="D189" s="165" t="s">
        <v>199</v>
      </c>
      <c r="E189">
        <v>38.901242008335643</v>
      </c>
      <c r="F189">
        <v>-77.085863354657533</v>
      </c>
      <c r="G189" s="167">
        <v>2.224786828109325</v>
      </c>
      <c r="H189" s="168">
        <v>110.00969187831338</v>
      </c>
      <c r="I189" s="169">
        <v>290.03411404424241</v>
      </c>
      <c r="J189">
        <v>110.03411404424241</v>
      </c>
      <c r="K189">
        <v>290.00969187831339</v>
      </c>
      <c r="L189" t="s">
        <v>155</v>
      </c>
    </row>
    <row r="190" spans="1:12">
      <c r="A190" s="164" t="s">
        <v>117</v>
      </c>
      <c r="B190">
        <v>38.932037569820068</v>
      </c>
      <c r="C190">
        <v>-77.093677384943518</v>
      </c>
      <c r="D190" s="165" t="s">
        <v>9</v>
      </c>
      <c r="E190">
        <v>38.920336486884452</v>
      </c>
      <c r="F190">
        <v>-77.305560255203972</v>
      </c>
      <c r="G190" s="167">
        <v>11.41551329123849</v>
      </c>
      <c r="H190" s="168">
        <v>266.00615969045157</v>
      </c>
      <c r="I190" s="169">
        <v>85.873029630888695</v>
      </c>
      <c r="J190">
        <v>265.87302963088871</v>
      </c>
      <c r="K190">
        <v>86.006159690451568</v>
      </c>
      <c r="L190" t="s">
        <v>155</v>
      </c>
    </row>
    <row r="191" spans="1:12">
      <c r="A191" s="164" t="s">
        <v>170</v>
      </c>
      <c r="B191">
        <v>38.808593670098077</v>
      </c>
      <c r="C191">
        <v>-77.067282222571677</v>
      </c>
      <c r="D191" s="165" t="s">
        <v>67</v>
      </c>
      <c r="E191">
        <v>38.897788758778049</v>
      </c>
      <c r="F191">
        <v>-77.036569</v>
      </c>
      <c r="G191" s="167">
        <v>6.3792945971914659</v>
      </c>
      <c r="H191" s="168">
        <v>15.001366433392691</v>
      </c>
      <c r="I191" s="169">
        <v>195.02063367478601</v>
      </c>
      <c r="J191">
        <v>15.020633674786041</v>
      </c>
      <c r="K191">
        <v>195.00136643339269</v>
      </c>
      <c r="L191" t="s">
        <v>288</v>
      </c>
    </row>
    <row r="192" spans="1:12">
      <c r="A192" s="164" t="s">
        <v>175</v>
      </c>
      <c r="B192">
        <v>38.890643961669717</v>
      </c>
      <c r="C192">
        <v>-77.012352075974064</v>
      </c>
      <c r="D192" s="165" t="s">
        <v>178</v>
      </c>
      <c r="E192">
        <v>38.77367519361357</v>
      </c>
      <c r="F192">
        <v>-76.972158414322777</v>
      </c>
      <c r="G192" s="167">
        <v>8.3646960264896606</v>
      </c>
      <c r="H192" s="168">
        <v>165.00173861246168</v>
      </c>
      <c r="I192" s="169">
        <v>345.02694170594867</v>
      </c>
      <c r="J192">
        <v>165.02694170594873</v>
      </c>
      <c r="K192">
        <v>345.00173861246168</v>
      </c>
      <c r="L192" t="s">
        <v>288</v>
      </c>
    </row>
    <row r="193" spans="1:12">
      <c r="A193" s="164" t="s">
        <v>251</v>
      </c>
      <c r="B193">
        <v>38.888685784961083</v>
      </c>
      <c r="C193">
        <v>-77.004678711651678</v>
      </c>
      <c r="D193" s="165" t="s">
        <v>159</v>
      </c>
      <c r="E193">
        <v>38.785226169416099</v>
      </c>
      <c r="F193">
        <v>-77.040251901847796</v>
      </c>
      <c r="G193" s="167">
        <v>7.3988944792148734</v>
      </c>
      <c r="H193" s="168">
        <v>195.00456015737689</v>
      </c>
      <c r="I193" s="169">
        <v>14.982251974149859</v>
      </c>
      <c r="J193">
        <v>194.98225197414985</v>
      </c>
      <c r="K193">
        <v>15.004560157376886</v>
      </c>
      <c r="L193" t="s">
        <v>288</v>
      </c>
    </row>
    <row r="194" spans="1:12">
      <c r="A194" s="164" t="s">
        <v>134</v>
      </c>
      <c r="B194">
        <v>38.892786699999967</v>
      </c>
      <c r="C194">
        <v>-77.040679699999998</v>
      </c>
      <c r="D194" s="165" t="s">
        <v>56</v>
      </c>
      <c r="E194">
        <v>38.947325108309627</v>
      </c>
      <c r="F194">
        <v>-77.021883345949419</v>
      </c>
      <c r="G194" s="167">
        <v>3.9006115487179063</v>
      </c>
      <c r="H194" s="168">
        <v>15.00436697617379</v>
      </c>
      <c r="I194" s="169">
        <v>195.01617551326999</v>
      </c>
      <c r="J194">
        <v>15.016175513270014</v>
      </c>
      <c r="K194">
        <v>195.0043669761738</v>
      </c>
      <c r="L194" t="s">
        <v>288</v>
      </c>
    </row>
    <row r="195" spans="1:12">
      <c r="A195" s="164" t="s">
        <v>161</v>
      </c>
      <c r="B195">
        <v>38.898285637635617</v>
      </c>
      <c r="C195">
        <v>-77.036570972830333</v>
      </c>
      <c r="D195" s="165" t="s">
        <v>77</v>
      </c>
      <c r="E195">
        <v>38.921883328355477</v>
      </c>
      <c r="F195">
        <v>-77.089117288265243</v>
      </c>
      <c r="G195" s="167">
        <v>3.2611965408464396</v>
      </c>
      <c r="H195" s="168">
        <v>300.00703226173641</v>
      </c>
      <c r="I195" s="169">
        <v>119.97402791761971</v>
      </c>
      <c r="J195">
        <v>299.97402791761971</v>
      </c>
      <c r="K195">
        <v>120.00703226173641</v>
      </c>
      <c r="L195" t="s">
        <v>288</v>
      </c>
    </row>
    <row r="196" spans="1:12">
      <c r="A196" s="164" t="s">
        <v>38</v>
      </c>
      <c r="B196">
        <v>38.92609741015503</v>
      </c>
      <c r="C196">
        <v>-76.958533324767643</v>
      </c>
      <c r="D196" s="165" t="s">
        <v>76</v>
      </c>
      <c r="E196">
        <v>38.872804095441928</v>
      </c>
      <c r="F196">
        <v>-76.940197367335742</v>
      </c>
      <c r="G196" s="167">
        <v>3.8112007934253067</v>
      </c>
      <c r="H196" s="168">
        <v>165.00423047382816</v>
      </c>
      <c r="I196" s="169">
        <v>345.01574464223188</v>
      </c>
      <c r="J196">
        <v>165.01574464223188</v>
      </c>
      <c r="K196">
        <v>345.00423047382816</v>
      </c>
      <c r="L196" t="s">
        <v>288</v>
      </c>
    </row>
    <row r="197" spans="1:12">
      <c r="A197" s="164" t="s">
        <v>193</v>
      </c>
      <c r="B197">
        <v>38.967911031638792</v>
      </c>
      <c r="C197">
        <v>-77.068345449756862</v>
      </c>
      <c r="D197" s="165" t="s">
        <v>73</v>
      </c>
      <c r="E197">
        <v>38.891720559711821</v>
      </c>
      <c r="F197">
        <v>-76.899121357377226</v>
      </c>
      <c r="G197" s="167">
        <v>10.507139655984659</v>
      </c>
      <c r="H197" s="168">
        <v>120.00776111248018</v>
      </c>
      <c r="I197" s="169">
        <v>300.11409618008952</v>
      </c>
      <c r="J197">
        <v>120.11409618008952</v>
      </c>
      <c r="K197">
        <v>300.00776111248018</v>
      </c>
      <c r="L197" t="s">
        <v>288</v>
      </c>
    </row>
    <row r="198" spans="1:12">
      <c r="A198" s="164" t="s">
        <v>61</v>
      </c>
      <c r="B198">
        <v>38.84552270708302</v>
      </c>
      <c r="C198">
        <v>-77.10483209910393</v>
      </c>
      <c r="D198" s="165" t="s">
        <v>70</v>
      </c>
      <c r="E198">
        <v>38.91858289999999</v>
      </c>
      <c r="F198">
        <v>-76.941921800000017</v>
      </c>
      <c r="G198" s="167">
        <v>10.110283594756895</v>
      </c>
      <c r="H198" s="168">
        <v>60.00210873999719</v>
      </c>
      <c r="I198" s="169">
        <v>240.10437073359006</v>
      </c>
      <c r="J198">
        <v>60.104370733590031</v>
      </c>
      <c r="K198">
        <v>240.0021087399972</v>
      </c>
      <c r="L198" t="s">
        <v>288</v>
      </c>
    </row>
    <row r="199" spans="1:12">
      <c r="A199" s="164" t="s">
        <v>43</v>
      </c>
      <c r="B199">
        <v>38.85493665631558</v>
      </c>
      <c r="C199">
        <v>-77.002259504610606</v>
      </c>
      <c r="D199" s="165" t="s">
        <v>108</v>
      </c>
      <c r="E199">
        <v>38.889795721566593</v>
      </c>
      <c r="F199">
        <v>-76.990256830609582</v>
      </c>
      <c r="G199" s="167">
        <v>2.4930909384358246</v>
      </c>
      <c r="H199" s="168">
        <v>15.002635549601958</v>
      </c>
      <c r="I199" s="169">
        <v>195.01016827978378</v>
      </c>
      <c r="J199">
        <v>15.010168279783784</v>
      </c>
      <c r="K199">
        <v>195.00263554960196</v>
      </c>
      <c r="L199" t="s">
        <v>288</v>
      </c>
    </row>
    <row r="200" spans="1:12">
      <c r="A200" s="164" t="s">
        <v>87</v>
      </c>
      <c r="B200">
        <v>38.897423715886298</v>
      </c>
      <c r="C200">
        <v>-76.911825683464457</v>
      </c>
      <c r="D200" s="165" t="s">
        <v>13</v>
      </c>
      <c r="E200">
        <v>38.928234461306907</v>
      </c>
      <c r="F200">
        <v>-77.06004232078331</v>
      </c>
      <c r="G200" s="167">
        <v>8.2462656752042403</v>
      </c>
      <c r="H200" s="168">
        <v>285.00424639538278</v>
      </c>
      <c r="I200" s="169">
        <v>104.91114596246854</v>
      </c>
      <c r="J200">
        <v>284.91114596246854</v>
      </c>
      <c r="K200">
        <v>105.00424639538278</v>
      </c>
      <c r="L200" t="s">
        <v>288</v>
      </c>
    </row>
    <row r="201" spans="1:12">
      <c r="A201" s="164" t="s">
        <v>6</v>
      </c>
      <c r="B201">
        <v>38.849500020681234</v>
      </c>
      <c r="C201">
        <v>-77.004921790891075</v>
      </c>
      <c r="D201" s="165" t="s">
        <v>25</v>
      </c>
      <c r="E201">
        <v>38.904990813622462</v>
      </c>
      <c r="F201">
        <v>-77.128535953950191</v>
      </c>
      <c r="G201" s="167">
        <v>7.6737910429056608</v>
      </c>
      <c r="H201" s="168">
        <v>300.00788154331207</v>
      </c>
      <c r="I201" s="169">
        <v>119.93029460013577</v>
      </c>
      <c r="J201">
        <v>299.93029460013577</v>
      </c>
      <c r="K201">
        <v>120.00788154331207</v>
      </c>
      <c r="L201" t="s">
        <v>288</v>
      </c>
    </row>
    <row r="202" spans="1:12">
      <c r="A202" s="164" t="s">
        <v>62</v>
      </c>
      <c r="B202">
        <v>38.892755432872512</v>
      </c>
      <c r="C202">
        <v>-77.051434507806491</v>
      </c>
      <c r="D202" s="165" t="s">
        <v>85</v>
      </c>
      <c r="E202">
        <v>38.892743275999997</v>
      </c>
      <c r="F202">
        <v>-77.008886000000004</v>
      </c>
      <c r="G202" s="167">
        <v>2.2876899426708777</v>
      </c>
      <c r="H202" s="168">
        <v>90.007675613242938</v>
      </c>
      <c r="I202" s="169">
        <v>270.03439031444378</v>
      </c>
      <c r="J202">
        <v>90.034390314443783</v>
      </c>
      <c r="K202">
        <v>270.00767561324295</v>
      </c>
      <c r="L202" t="s">
        <v>276</v>
      </c>
    </row>
    <row r="203" spans="1:12">
      <c r="A203" s="164" t="s">
        <v>66</v>
      </c>
      <c r="B203">
        <v>38.889801299593749</v>
      </c>
      <c r="C203">
        <v>-77.036569080803147</v>
      </c>
      <c r="D203" s="165" t="s">
        <v>163</v>
      </c>
      <c r="E203">
        <v>38.889725240473808</v>
      </c>
      <c r="F203">
        <v>-76.91344596466341</v>
      </c>
      <c r="G203" s="167">
        <v>6.6201947283201568</v>
      </c>
      <c r="H203" s="168">
        <v>90.006823435246005</v>
      </c>
      <c r="I203" s="169">
        <v>270.08412310091649</v>
      </c>
      <c r="J203">
        <v>90.084123100916486</v>
      </c>
      <c r="K203">
        <v>270.00682343524602</v>
      </c>
      <c r="L203" t="s">
        <v>276</v>
      </c>
    </row>
    <row r="204" spans="1:12">
      <c r="A204" s="164" t="s">
        <v>135</v>
      </c>
      <c r="B204">
        <v>38.893596140000007</v>
      </c>
      <c r="C204">
        <v>-77.040985579999997</v>
      </c>
      <c r="D204" s="165" t="s">
        <v>127</v>
      </c>
      <c r="E204">
        <v>38.893587651719322</v>
      </c>
      <c r="F204">
        <v>-76.999525090510573</v>
      </c>
      <c r="G204" s="167">
        <v>2.2291643470794895</v>
      </c>
      <c r="H204" s="168">
        <v>90.002055369978166</v>
      </c>
      <c r="I204" s="169">
        <v>270.02808741750948</v>
      </c>
      <c r="J204">
        <v>90.028087417509482</v>
      </c>
      <c r="K204">
        <v>270.00205536997817</v>
      </c>
      <c r="L204" t="s">
        <v>276</v>
      </c>
    </row>
    <row r="205" spans="1:12">
      <c r="A205" s="164" t="s">
        <v>158</v>
      </c>
      <c r="B205">
        <v>38.909644522916047</v>
      </c>
      <c r="C205">
        <v>-76.972391087710122</v>
      </c>
      <c r="D205" s="165" t="s">
        <v>107</v>
      </c>
      <c r="E205">
        <v>38.909632012495202</v>
      </c>
      <c r="F205">
        <v>-77.043450337735848</v>
      </c>
      <c r="G205" s="167">
        <v>3.8197076409546669</v>
      </c>
      <c r="H205" s="168">
        <v>270.00935258652805</v>
      </c>
      <c r="I205" s="169">
        <v>89.964720697001709</v>
      </c>
      <c r="J205">
        <v>269.96472069700172</v>
      </c>
      <c r="K205">
        <v>90.009352586528053</v>
      </c>
      <c r="L205" t="s">
        <v>276</v>
      </c>
    </row>
    <row r="206" spans="1:12">
      <c r="A206" s="164" t="s">
        <v>158</v>
      </c>
      <c r="B206">
        <v>38.909644522916047</v>
      </c>
      <c r="C206">
        <v>-76.972391087710122</v>
      </c>
      <c r="D206" s="165" t="s">
        <v>94</v>
      </c>
      <c r="E206">
        <v>38.909631706139457</v>
      </c>
      <c r="F206">
        <v>-77.029568629434891</v>
      </c>
      <c r="G206" s="167">
        <v>3.0735125805629924</v>
      </c>
      <c r="H206" s="168">
        <v>270.0014512816208</v>
      </c>
      <c r="I206" s="169">
        <v>89.965538411079891</v>
      </c>
      <c r="J206">
        <v>269.96553841107988</v>
      </c>
      <c r="K206">
        <v>90.001451281620803</v>
      </c>
      <c r="L206" t="s">
        <v>276</v>
      </c>
    </row>
    <row r="207" spans="1:12">
      <c r="A207" s="164" t="s">
        <v>117</v>
      </c>
      <c r="B207">
        <v>38.932037569820068</v>
      </c>
      <c r="C207">
        <v>-77.093677384943518</v>
      </c>
      <c r="D207" s="165" t="s">
        <v>125</v>
      </c>
      <c r="E207">
        <v>38.925747734853033</v>
      </c>
      <c r="F207">
        <v>-78.310073707657736</v>
      </c>
      <c r="G207" s="167">
        <v>65.369194141069556</v>
      </c>
      <c r="H207" s="168">
        <v>270.00134819260165</v>
      </c>
      <c r="I207" s="169">
        <v>89.237001590825457</v>
      </c>
      <c r="J207">
        <v>269.23700159082546</v>
      </c>
      <c r="K207">
        <v>90.001348192601654</v>
      </c>
      <c r="L207" t="s">
        <v>276</v>
      </c>
    </row>
    <row r="208" spans="1:12">
      <c r="A208" s="164" t="s">
        <v>199</v>
      </c>
      <c r="B208">
        <v>38.901242008335643</v>
      </c>
      <c r="C208">
        <v>-77.085863354657533</v>
      </c>
      <c r="D208" s="165" t="s">
        <v>96</v>
      </c>
      <c r="E208">
        <v>38.899664999999999</v>
      </c>
      <c r="F208">
        <v>-77.698808999999997</v>
      </c>
      <c r="G208" s="167">
        <v>32.952563849603209</v>
      </c>
      <c r="H208" s="168">
        <v>270.00304072378526</v>
      </c>
      <c r="I208" s="169">
        <v>89.618127503117719</v>
      </c>
      <c r="J208">
        <v>269.61812750311771</v>
      </c>
      <c r="K208">
        <v>90.003040723785261</v>
      </c>
      <c r="L208" t="s">
        <v>276</v>
      </c>
    </row>
    <row r="209" spans="1:12">
      <c r="A209" s="164" t="s">
        <v>137</v>
      </c>
      <c r="B209">
        <v>38.90117456916591</v>
      </c>
      <c r="C209">
        <v>-77.090113994513501</v>
      </c>
      <c r="D209" s="165" t="s">
        <v>96</v>
      </c>
      <c r="E209">
        <v>38.899664999999999</v>
      </c>
      <c r="F209">
        <v>-77.698808999999997</v>
      </c>
      <c r="G209" s="167">
        <v>32.724048968476602</v>
      </c>
      <c r="H209" s="168">
        <v>270.00853995652528</v>
      </c>
      <c r="I209" s="169">
        <v>89.626296331566479</v>
      </c>
      <c r="J209">
        <v>269.62629633156649</v>
      </c>
      <c r="K209">
        <v>90.008539956525283</v>
      </c>
      <c r="L209" t="s">
        <v>276</v>
      </c>
    </row>
    <row r="210" spans="1:12">
      <c r="A210" s="164" t="s">
        <v>112</v>
      </c>
      <c r="B210">
        <v>38.790339150000008</v>
      </c>
      <c r="C210">
        <v>-77.04058603</v>
      </c>
      <c r="D210" s="165" t="s">
        <v>65</v>
      </c>
      <c r="E210">
        <v>38.790339000000003</v>
      </c>
      <c r="F210">
        <v>-77.051444000000004</v>
      </c>
      <c r="G210" s="167">
        <v>0.58463726340748923</v>
      </c>
      <c r="H210" s="168">
        <v>270.00238560770561</v>
      </c>
      <c r="I210" s="169">
        <v>89.995583389204242</v>
      </c>
      <c r="J210">
        <v>269.99558338920423</v>
      </c>
      <c r="K210">
        <v>90.002385607705605</v>
      </c>
      <c r="L210" t="s">
        <v>313</v>
      </c>
    </row>
    <row r="211" spans="1:12">
      <c r="A211" s="164" t="s">
        <v>62</v>
      </c>
      <c r="B211">
        <v>38.892755432872512</v>
      </c>
      <c r="C211">
        <v>-77.051434507806491</v>
      </c>
      <c r="D211" s="165" t="s">
        <v>65</v>
      </c>
      <c r="E211">
        <v>38.790339000000003</v>
      </c>
      <c r="F211">
        <v>-77.051444000000004</v>
      </c>
      <c r="G211" s="167">
        <v>7.074940699261</v>
      </c>
      <c r="H211" s="168">
        <v>180.0041390864908</v>
      </c>
      <c r="I211" s="169">
        <v>4.1331332810699223E-3</v>
      </c>
      <c r="J211">
        <v>180.00413313328107</v>
      </c>
      <c r="K211">
        <v>4.1390864907953073E-3</v>
      </c>
      <c r="L211" t="s">
        <v>278</v>
      </c>
    </row>
    <row r="212" spans="1:12">
      <c r="A212" s="164" t="s">
        <v>62</v>
      </c>
      <c r="B212">
        <v>38.892755432872512</v>
      </c>
      <c r="C212">
        <v>-77.051434507806491</v>
      </c>
      <c r="D212" s="165" t="s">
        <v>58</v>
      </c>
      <c r="E212">
        <v>38.958786981015983</v>
      </c>
      <c r="F212">
        <v>-77.051421167473492</v>
      </c>
      <c r="G212" s="167">
        <v>4.5614681050823735</v>
      </c>
      <c r="H212" s="168">
        <v>9.0010524453770623E-3</v>
      </c>
      <c r="I212" s="169">
        <v>180.00900943435198</v>
      </c>
      <c r="J212">
        <v>9.0094343519808717E-3</v>
      </c>
      <c r="K212">
        <v>180.00900105244537</v>
      </c>
      <c r="L212" t="s">
        <v>278</v>
      </c>
    </row>
    <row r="213" spans="1:12">
      <c r="A213" s="164" t="s">
        <v>66</v>
      </c>
      <c r="B213">
        <v>38.889801299593749</v>
      </c>
      <c r="C213">
        <v>-77.036569080803147</v>
      </c>
      <c r="D213" s="165" t="s">
        <v>67</v>
      </c>
      <c r="E213">
        <v>38.897788758778049</v>
      </c>
      <c r="F213">
        <v>-77.036569</v>
      </c>
      <c r="G213" s="167">
        <v>0.55177473245940778</v>
      </c>
      <c r="H213" s="168">
        <v>4.5109819414457941E-4</v>
      </c>
      <c r="I213" s="169">
        <v>180.0004511489287</v>
      </c>
      <c r="J213">
        <v>4.5114892873243662E-4</v>
      </c>
      <c r="K213">
        <v>180.00045109819413</v>
      </c>
      <c r="L213" t="s">
        <v>278</v>
      </c>
    </row>
    <row r="214" spans="1:12">
      <c r="A214" s="164" t="s">
        <v>66</v>
      </c>
      <c r="B214">
        <v>38.889801299593749</v>
      </c>
      <c r="C214">
        <v>-77.036569080803147</v>
      </c>
      <c r="D214" s="165" t="s">
        <v>151</v>
      </c>
      <c r="E214">
        <v>38.899994319306728</v>
      </c>
      <c r="F214">
        <v>-77.036569</v>
      </c>
      <c r="G214" s="167">
        <v>0.70413514308133529</v>
      </c>
      <c r="H214" s="168">
        <v>3.5347881316201798E-4</v>
      </c>
      <c r="I214" s="169">
        <v>180.00035352954893</v>
      </c>
      <c r="J214">
        <v>3.5352954893141941E-4</v>
      </c>
      <c r="K214">
        <v>180.00035347881317</v>
      </c>
      <c r="L214" t="s">
        <v>278</v>
      </c>
    </row>
    <row r="215" spans="1:12">
      <c r="A215" s="164" t="s">
        <v>63</v>
      </c>
      <c r="B215">
        <v>38.895136600000001</v>
      </c>
      <c r="C215">
        <v>-77.051444000000004</v>
      </c>
      <c r="D215" s="165" t="s">
        <v>65</v>
      </c>
      <c r="E215">
        <v>38.790339000000003</v>
      </c>
      <c r="F215">
        <v>-77.051444000000004</v>
      </c>
      <c r="G215" s="167">
        <v>7.2394320197085138</v>
      </c>
      <c r="H215" s="168">
        <v>180</v>
      </c>
      <c r="I215" s="169">
        <v>0</v>
      </c>
      <c r="J215">
        <v>180</v>
      </c>
      <c r="K215">
        <v>0</v>
      </c>
      <c r="L215" t="s">
        <v>278</v>
      </c>
    </row>
    <row r="216" spans="1:12">
      <c r="A216" s="164" t="s">
        <v>67</v>
      </c>
      <c r="B216">
        <v>38.897788758778049</v>
      </c>
      <c r="C216">
        <v>-77.036569</v>
      </c>
      <c r="D216" s="165" t="s">
        <v>151</v>
      </c>
      <c r="E216">
        <v>38.899994319306728</v>
      </c>
      <c r="F216">
        <v>-77.036569</v>
      </c>
      <c r="G216" s="167">
        <v>0.1523604158467857</v>
      </c>
      <c r="H216" s="168">
        <v>0</v>
      </c>
      <c r="I216" s="169">
        <v>180</v>
      </c>
      <c r="J216">
        <v>0</v>
      </c>
      <c r="K216">
        <v>180</v>
      </c>
      <c r="L216" t="s">
        <v>278</v>
      </c>
    </row>
    <row r="217" spans="1:12">
      <c r="A217" s="164" t="s">
        <v>133</v>
      </c>
      <c r="B217">
        <v>38.892699520000001</v>
      </c>
      <c r="C217">
        <v>-77.04058603</v>
      </c>
      <c r="D217" s="165" t="s">
        <v>112</v>
      </c>
      <c r="E217">
        <v>38.790339150000008</v>
      </c>
      <c r="F217">
        <v>-77.04058603</v>
      </c>
      <c r="G217" s="167">
        <v>7.0710678499533479</v>
      </c>
      <c r="H217" s="168">
        <v>180</v>
      </c>
      <c r="I217" s="169">
        <v>0</v>
      </c>
      <c r="J217">
        <v>180</v>
      </c>
      <c r="K217">
        <v>0</v>
      </c>
      <c r="L217" t="s">
        <v>278</v>
      </c>
    </row>
    <row r="218" spans="1:12">
      <c r="A218" s="164" t="s">
        <v>135</v>
      </c>
      <c r="B218">
        <v>38.893596140000007</v>
      </c>
      <c r="C218">
        <v>-77.040985579999997</v>
      </c>
      <c r="D218" s="165" t="s">
        <v>69</v>
      </c>
      <c r="E218">
        <v>38.995956509999992</v>
      </c>
      <c r="F218">
        <v>-77.040985579999997</v>
      </c>
      <c r="G218" s="167">
        <v>7.0710678499533479</v>
      </c>
      <c r="H218" s="168">
        <v>0</v>
      </c>
      <c r="I218" s="169">
        <v>180</v>
      </c>
      <c r="J218">
        <v>0</v>
      </c>
      <c r="K218">
        <v>180</v>
      </c>
      <c r="L218" t="s">
        <v>278</v>
      </c>
    </row>
    <row r="219" spans="1:12">
      <c r="A219" s="164" t="s">
        <v>65</v>
      </c>
      <c r="B219">
        <v>38.790339000000003</v>
      </c>
      <c r="C219">
        <v>-77.051444000000004</v>
      </c>
      <c r="D219" s="165" t="s">
        <v>58</v>
      </c>
      <c r="E219">
        <v>38.958786981015983</v>
      </c>
      <c r="F219">
        <v>-77.051421167473492</v>
      </c>
      <c r="G219" s="167">
        <v>11.636408793700932</v>
      </c>
      <c r="H219" s="168">
        <v>6.0390245261645187E-3</v>
      </c>
      <c r="I219" s="169">
        <v>180.00605335463456</v>
      </c>
      <c r="J219">
        <v>6.0533546345595823E-3</v>
      </c>
      <c r="K219">
        <v>180.00603902452616</v>
      </c>
      <c r="L219" t="s">
        <v>278</v>
      </c>
    </row>
    <row r="220" spans="1:12">
      <c r="A220" s="164" t="s">
        <v>60</v>
      </c>
      <c r="B220">
        <v>38.953994890572183</v>
      </c>
      <c r="C220">
        <v>-77.077629631633798</v>
      </c>
      <c r="D220" s="165" t="s">
        <v>22</v>
      </c>
      <c r="E220">
        <v>38.923087370584398</v>
      </c>
      <c r="F220">
        <v>-77.077632878496715</v>
      </c>
      <c r="G220" s="167">
        <v>2.1350955606901487</v>
      </c>
      <c r="H220" s="168">
        <v>180.00468270164535</v>
      </c>
      <c r="I220" s="169">
        <v>4.6806610360319014E-3</v>
      </c>
      <c r="J220">
        <v>180.00468066103602</v>
      </c>
      <c r="K220">
        <v>4.6827016453789838E-3</v>
      </c>
      <c r="L220" t="s">
        <v>278</v>
      </c>
    </row>
    <row r="221" spans="1:12">
      <c r="A221" s="164" t="s">
        <v>62</v>
      </c>
      <c r="B221">
        <v>38.892755432872512</v>
      </c>
      <c r="C221">
        <v>-77.051434507806491</v>
      </c>
      <c r="D221" s="165" t="s">
        <v>149</v>
      </c>
      <c r="E221">
        <v>38.957046438880887</v>
      </c>
      <c r="F221">
        <v>-76.991344852497164</v>
      </c>
      <c r="G221" s="167">
        <v>5.4911989016735543</v>
      </c>
      <c r="H221" s="168">
        <v>36.003174172609704</v>
      </c>
      <c r="I221" s="169">
        <v>216.04092858470875</v>
      </c>
      <c r="J221">
        <v>36.040928584708752</v>
      </c>
      <c r="K221">
        <v>216.0031741726097</v>
      </c>
      <c r="L221" t="s">
        <v>279</v>
      </c>
    </row>
    <row r="222" spans="1:12">
      <c r="A222" s="164" t="s">
        <v>177</v>
      </c>
      <c r="B222">
        <v>38.895976636393023</v>
      </c>
      <c r="C222">
        <v>-77.034311337037963</v>
      </c>
      <c r="D222" s="165" t="s">
        <v>90</v>
      </c>
      <c r="E222">
        <v>38.876142130269038</v>
      </c>
      <c r="F222">
        <v>-77.112656342468085</v>
      </c>
      <c r="G222" s="167">
        <v>4.4299631039504286</v>
      </c>
      <c r="H222" s="168">
        <v>252.00777979757649</v>
      </c>
      <c r="I222" s="169">
        <v>71.958596859435531</v>
      </c>
      <c r="J222">
        <v>251.95859685943554</v>
      </c>
      <c r="K222">
        <v>72.007779797576518</v>
      </c>
      <c r="L222" t="s">
        <v>279</v>
      </c>
    </row>
    <row r="223" spans="1:12">
      <c r="A223" s="164" t="s">
        <v>135</v>
      </c>
      <c r="B223">
        <v>38.893596140000007</v>
      </c>
      <c r="C223">
        <v>-77.040985579999997</v>
      </c>
      <c r="D223" s="165" t="s">
        <v>70</v>
      </c>
      <c r="E223">
        <v>38.91858289999999</v>
      </c>
      <c r="F223">
        <v>-76.941921800000017</v>
      </c>
      <c r="G223" s="167">
        <v>5.5980767580262745</v>
      </c>
      <c r="H223" s="168">
        <v>72.009917687827851</v>
      </c>
      <c r="I223" s="169">
        <v>252.07213428643098</v>
      </c>
      <c r="J223">
        <v>72.07213428643098</v>
      </c>
      <c r="K223">
        <v>252.00991768782785</v>
      </c>
      <c r="L223" t="s">
        <v>279</v>
      </c>
    </row>
    <row r="224" spans="1:12">
      <c r="A224" s="164" t="s">
        <v>192</v>
      </c>
      <c r="B224">
        <v>38.891079369466112</v>
      </c>
      <c r="C224">
        <v>-77.042886445346255</v>
      </c>
      <c r="D224" s="165" t="s">
        <v>55</v>
      </c>
      <c r="E224">
        <v>38.91261730408393</v>
      </c>
      <c r="F224">
        <v>-76.957538798719796</v>
      </c>
      <c r="G224" s="167">
        <v>4.8234709715392023</v>
      </c>
      <c r="H224" s="168">
        <v>72.006814143386521</v>
      </c>
      <c r="I224" s="169">
        <v>252.06041146216563</v>
      </c>
      <c r="J224">
        <v>72.060411462165632</v>
      </c>
      <c r="K224">
        <v>252.00681414338652</v>
      </c>
      <c r="L224" t="s">
        <v>279</v>
      </c>
    </row>
    <row r="225" spans="1:12">
      <c r="A225" s="164" t="s">
        <v>156</v>
      </c>
      <c r="B225">
        <v>38.92072480308088</v>
      </c>
      <c r="C225">
        <v>-77.03571742899706</v>
      </c>
      <c r="D225" s="165" t="s">
        <v>163</v>
      </c>
      <c r="E225">
        <v>38.889725240473808</v>
      </c>
      <c r="F225">
        <v>-76.91344596466341</v>
      </c>
      <c r="G225" s="167">
        <v>6.9130125892389902</v>
      </c>
      <c r="H225" s="168">
        <v>108.00705318879211</v>
      </c>
      <c r="I225" s="169">
        <v>288.08384384926222</v>
      </c>
      <c r="J225">
        <v>108.08384384926222</v>
      </c>
      <c r="K225">
        <v>288.0070531887921</v>
      </c>
      <c r="L225" t="s">
        <v>279</v>
      </c>
    </row>
    <row r="226" spans="1:12">
      <c r="A226" s="164" t="s">
        <v>79</v>
      </c>
      <c r="B226">
        <v>38.922907194700002</v>
      </c>
      <c r="C226">
        <v>-77.035842979328919</v>
      </c>
      <c r="D226" s="165" t="s">
        <v>147</v>
      </c>
      <c r="E226">
        <v>38.95177142459147</v>
      </c>
      <c r="F226">
        <v>-76.984729407049613</v>
      </c>
      <c r="G226" s="167">
        <v>3.393959081901968</v>
      </c>
      <c r="H226" s="168">
        <v>54.004269445254671</v>
      </c>
      <c r="I226" s="169">
        <v>234.03639279947504</v>
      </c>
      <c r="J226">
        <v>54.036392799475038</v>
      </c>
      <c r="K226">
        <v>234.00426944525466</v>
      </c>
      <c r="L226" t="s">
        <v>279</v>
      </c>
    </row>
    <row r="227" spans="1:12">
      <c r="A227" s="164" t="s">
        <v>193</v>
      </c>
      <c r="B227">
        <v>38.967911031638792</v>
      </c>
      <c r="C227">
        <v>-77.068345449756862</v>
      </c>
      <c r="D227" s="165" t="s">
        <v>59</v>
      </c>
      <c r="E227">
        <v>38.93508740486395</v>
      </c>
      <c r="F227">
        <v>-77.126419797285848</v>
      </c>
      <c r="G227" s="167">
        <v>3.85681359373373</v>
      </c>
      <c r="H227" s="168">
        <v>234.00940179694061</v>
      </c>
      <c r="I227" s="169">
        <v>53.972892639914228</v>
      </c>
      <c r="J227">
        <v>233.97289263991422</v>
      </c>
      <c r="K227">
        <v>54.009401796940608</v>
      </c>
      <c r="L227" t="s">
        <v>279</v>
      </c>
    </row>
    <row r="228" spans="1:12">
      <c r="A228" s="164" t="s">
        <v>149</v>
      </c>
      <c r="B228">
        <v>38.957046438880887</v>
      </c>
      <c r="C228">
        <v>-76.991344852497164</v>
      </c>
      <c r="D228" s="165" t="s">
        <v>137</v>
      </c>
      <c r="E228">
        <v>38.90117456916591</v>
      </c>
      <c r="F228">
        <v>-77.090113994513501</v>
      </c>
      <c r="G228" s="167">
        <v>6.5627083301138063</v>
      </c>
      <c r="H228" s="168">
        <v>234.00759067076814</v>
      </c>
      <c r="I228" s="169">
        <v>53.945528235842026</v>
      </c>
      <c r="J228">
        <v>233.94552823584203</v>
      </c>
      <c r="K228">
        <v>54.007590670768138</v>
      </c>
      <c r="L228" t="s">
        <v>279</v>
      </c>
    </row>
    <row r="229" spans="1:12">
      <c r="A229" s="164" t="s">
        <v>25</v>
      </c>
      <c r="B229">
        <v>38.904990813622462</v>
      </c>
      <c r="C229">
        <v>-77.128535953950191</v>
      </c>
      <c r="D229" s="165" t="s">
        <v>173</v>
      </c>
      <c r="E229">
        <v>38.988765681572232</v>
      </c>
      <c r="F229">
        <v>-77.16354886186852</v>
      </c>
      <c r="G229" s="167">
        <v>6.0852230344124107</v>
      </c>
      <c r="H229" s="168">
        <v>342.00453651049577</v>
      </c>
      <c r="I229" s="169">
        <v>161.98252740463099</v>
      </c>
      <c r="J229">
        <v>341.98252740463101</v>
      </c>
      <c r="K229">
        <v>162.00453651049577</v>
      </c>
      <c r="L229" t="s">
        <v>279</v>
      </c>
    </row>
    <row r="230" spans="1:12">
      <c r="A230" s="164" t="s">
        <v>177</v>
      </c>
      <c r="B230">
        <v>38.895976636393023</v>
      </c>
      <c r="C230">
        <v>-77.034311337037963</v>
      </c>
      <c r="D230" s="165" t="s">
        <v>8</v>
      </c>
      <c r="E230">
        <v>38.889816848715718</v>
      </c>
      <c r="F230">
        <v>-77.008442240897836</v>
      </c>
      <c r="G230" s="167">
        <v>1.4545255822365746</v>
      </c>
      <c r="H230" s="168">
        <v>107.00245753777958</v>
      </c>
      <c r="I230" s="169">
        <v>287.01869987862972</v>
      </c>
      <c r="J230">
        <v>107.01869987862972</v>
      </c>
      <c r="K230">
        <v>287.00245753777961</v>
      </c>
      <c r="L230" t="s">
        <v>296</v>
      </c>
    </row>
    <row r="231" spans="1:12">
      <c r="A231" s="164" t="s">
        <v>77</v>
      </c>
      <c r="B231">
        <v>38.921883328355477</v>
      </c>
      <c r="C231">
        <v>-77.089117288265243</v>
      </c>
      <c r="D231" s="165" t="s">
        <v>107</v>
      </c>
      <c r="E231">
        <v>38.909632012495202</v>
      </c>
      <c r="F231">
        <v>-77.043450337735848</v>
      </c>
      <c r="G231" s="167">
        <v>2.5963701622721524</v>
      </c>
      <c r="H231" s="168">
        <v>109.00962805252767</v>
      </c>
      <c r="I231" s="169">
        <v>289.03831498474062</v>
      </c>
      <c r="J231">
        <v>109.03831498474062</v>
      </c>
      <c r="K231">
        <v>289.00962805252766</v>
      </c>
      <c r="L231" t="s">
        <v>327</v>
      </c>
    </row>
    <row r="232" spans="1:12">
      <c r="A232" s="164" t="s">
        <v>11</v>
      </c>
      <c r="B232">
        <v>38.923121509621552</v>
      </c>
      <c r="C232">
        <v>-77.074683546770501</v>
      </c>
      <c r="D232" s="165" t="s">
        <v>21</v>
      </c>
      <c r="E232">
        <v>38.916815383206369</v>
      </c>
      <c r="F232">
        <v>-77.061201400915238</v>
      </c>
      <c r="G232" s="167">
        <v>0.84547846014257888</v>
      </c>
      <c r="H232" s="168">
        <v>121.00955735165361</v>
      </c>
      <c r="I232" s="169">
        <v>301.0180272974697</v>
      </c>
      <c r="J232">
        <v>121.0180272974697</v>
      </c>
      <c r="K232">
        <v>301.0095573516536</v>
      </c>
      <c r="L232" t="s">
        <v>335</v>
      </c>
    </row>
    <row r="233" spans="1:12">
      <c r="A233" s="164" t="s">
        <v>72</v>
      </c>
      <c r="B233">
        <v>38.870628217218183</v>
      </c>
      <c r="C233">
        <v>-77.053238771071065</v>
      </c>
      <c r="D233" s="165" t="s">
        <v>65</v>
      </c>
      <c r="E233">
        <v>38.790339000000003</v>
      </c>
      <c r="F233">
        <v>-77.051444000000004</v>
      </c>
      <c r="G233" s="167">
        <v>5.5472305811287006</v>
      </c>
      <c r="H233" s="168">
        <v>179.00180487492699</v>
      </c>
      <c r="I233" s="169">
        <v>359.00293022961887</v>
      </c>
      <c r="J233">
        <v>179.00293022961887</v>
      </c>
      <c r="K233">
        <v>359.00180487492696</v>
      </c>
      <c r="L233" t="s">
        <v>319</v>
      </c>
    </row>
    <row r="234" spans="1:12">
      <c r="A234" s="164" t="s">
        <v>28</v>
      </c>
      <c r="B234">
        <v>38.9243596243616</v>
      </c>
      <c r="C234">
        <v>-77.090630055083651</v>
      </c>
      <c r="D234" s="165" t="s">
        <v>137</v>
      </c>
      <c r="E234">
        <v>38.90117456916591</v>
      </c>
      <c r="F234">
        <v>-77.090113994513501</v>
      </c>
      <c r="G234" s="167">
        <v>1.6018668606772921</v>
      </c>
      <c r="H234" s="168">
        <v>179.00761566696917</v>
      </c>
      <c r="I234" s="169">
        <v>359.00793982343367</v>
      </c>
      <c r="J234">
        <v>179.00793982343362</v>
      </c>
      <c r="K234">
        <v>359.00761566696917</v>
      </c>
      <c r="L234" t="s">
        <v>319</v>
      </c>
    </row>
    <row r="235" spans="1:12">
      <c r="A235" s="164" t="s">
        <v>72</v>
      </c>
      <c r="B235">
        <v>38.870628217218183</v>
      </c>
      <c r="C235">
        <v>-77.053238771071065</v>
      </c>
      <c r="D235" s="165" t="s">
        <v>70</v>
      </c>
      <c r="E235">
        <v>38.91858289999999</v>
      </c>
      <c r="F235">
        <v>-76.941921800000017</v>
      </c>
      <c r="G235" s="167">
        <v>6.8406200436975526</v>
      </c>
      <c r="H235" s="168">
        <v>61.000325024069518</v>
      </c>
      <c r="I235" s="169">
        <v>241.07021983228236</v>
      </c>
      <c r="J235">
        <v>61.070219832282362</v>
      </c>
      <c r="K235">
        <v>241.00032502406953</v>
      </c>
      <c r="L235" t="s">
        <v>320</v>
      </c>
    </row>
    <row r="236" spans="1:12">
      <c r="A236" s="164" t="s">
        <v>141</v>
      </c>
      <c r="B236">
        <v>38.902528221297217</v>
      </c>
      <c r="C236">
        <v>-77.050139297471702</v>
      </c>
      <c r="D236" s="165" t="s">
        <v>55</v>
      </c>
      <c r="E236">
        <v>38.91261730408393</v>
      </c>
      <c r="F236">
        <v>-76.957538798719796</v>
      </c>
      <c r="G236" s="167">
        <v>5.0263318098575667</v>
      </c>
      <c r="H236" s="168">
        <v>82.000562794512163</v>
      </c>
      <c r="I236" s="169">
        <v>262.05872201912996</v>
      </c>
      <c r="J236">
        <v>82.058722019129959</v>
      </c>
      <c r="K236">
        <v>262.00056279451218</v>
      </c>
      <c r="L236" t="s">
        <v>325</v>
      </c>
    </row>
    <row r="237" spans="1:12">
      <c r="A237" s="164" t="s">
        <v>181</v>
      </c>
      <c r="B237">
        <v>38.889811160074281</v>
      </c>
      <c r="C237">
        <v>-77.010120176650872</v>
      </c>
      <c r="D237" s="165" t="s">
        <v>111</v>
      </c>
      <c r="E237">
        <v>38.946262788060167</v>
      </c>
      <c r="F237">
        <v>-77.013912196621391</v>
      </c>
      <c r="G237" s="167">
        <v>3.9050082272618249</v>
      </c>
      <c r="H237" s="168">
        <v>357.00943080235646</v>
      </c>
      <c r="I237" s="169">
        <v>177.00704862470536</v>
      </c>
      <c r="J237">
        <v>357.00704862470536</v>
      </c>
      <c r="K237">
        <v>177.00943080235652</v>
      </c>
      <c r="L237" t="s">
        <v>191</v>
      </c>
    </row>
    <row r="238" spans="1:12">
      <c r="A238" s="164" t="s">
        <v>183</v>
      </c>
      <c r="B238">
        <v>38.890779794768029</v>
      </c>
      <c r="C238">
        <v>-77.007267880658404</v>
      </c>
      <c r="D238" s="165" t="s">
        <v>197</v>
      </c>
      <c r="E238">
        <v>38.870688770261303</v>
      </c>
      <c r="F238">
        <v>-77.009073886696044</v>
      </c>
      <c r="G238" s="167">
        <v>1.3912844880668882</v>
      </c>
      <c r="H238" s="168">
        <v>184.00338147828234</v>
      </c>
      <c r="I238" s="169">
        <v>4.0022478458591255</v>
      </c>
      <c r="J238">
        <v>184.00224784585913</v>
      </c>
      <c r="K238">
        <v>4.0033814782823356</v>
      </c>
      <c r="L238" t="s">
        <v>191</v>
      </c>
    </row>
    <row r="239" spans="1:12">
      <c r="A239" s="164" t="s">
        <v>136</v>
      </c>
      <c r="B239">
        <v>38.89317136999999</v>
      </c>
      <c r="C239">
        <v>-77.040786249999996</v>
      </c>
      <c r="D239" s="165" t="s">
        <v>192</v>
      </c>
      <c r="E239">
        <v>38.891079369466112</v>
      </c>
      <c r="F239">
        <v>-77.042886445346255</v>
      </c>
      <c r="G239" s="167">
        <v>0.1834012686392382</v>
      </c>
      <c r="H239" s="168">
        <v>218.00395740494594</v>
      </c>
      <c r="I239" s="169">
        <v>38.002638784474712</v>
      </c>
      <c r="J239">
        <v>218.0026387844747</v>
      </c>
      <c r="K239">
        <v>38.003957404945936</v>
      </c>
      <c r="L239" t="s">
        <v>191</v>
      </c>
    </row>
    <row r="240" spans="1:12">
      <c r="A240" s="164" t="s">
        <v>86</v>
      </c>
      <c r="B240">
        <v>38.87100323118176</v>
      </c>
      <c r="C240">
        <v>-77.055968546982868</v>
      </c>
      <c r="D240" s="165" t="s">
        <v>72</v>
      </c>
      <c r="E240">
        <v>38.870628217218183</v>
      </c>
      <c r="F240">
        <v>-77.053238771071065</v>
      </c>
      <c r="G240" s="167">
        <v>0.14908423419398534</v>
      </c>
      <c r="H240" s="168">
        <v>100.00609369943791</v>
      </c>
      <c r="I240" s="169">
        <v>280.00780681554983</v>
      </c>
      <c r="J240">
        <v>100.00780681554983</v>
      </c>
      <c r="K240">
        <v>280.00609369943788</v>
      </c>
      <c r="L240" t="s">
        <v>191</v>
      </c>
    </row>
    <row r="241" spans="1:12">
      <c r="A241" s="164" t="s">
        <v>110</v>
      </c>
      <c r="B241">
        <v>38.876216123616089</v>
      </c>
      <c r="C241">
        <v>-77.056932698487742</v>
      </c>
      <c r="D241" s="165" t="s">
        <v>45</v>
      </c>
      <c r="E241">
        <v>38.989097905845689</v>
      </c>
      <c r="F241">
        <v>-77.046770824431448</v>
      </c>
      <c r="G241" s="167">
        <v>7.8169845502281747</v>
      </c>
      <c r="H241" s="168">
        <v>4.0025190589835713</v>
      </c>
      <c r="I241" s="169">
        <v>184.00890485013412</v>
      </c>
      <c r="J241">
        <v>4.0089048501341153</v>
      </c>
      <c r="K241">
        <v>184.00251905898358</v>
      </c>
      <c r="L241" t="s">
        <v>191</v>
      </c>
    </row>
    <row r="242" spans="1:12">
      <c r="A242" s="164" t="s">
        <v>51</v>
      </c>
      <c r="B242">
        <v>38.803587013018927</v>
      </c>
      <c r="C242">
        <v>-77.0045692366363</v>
      </c>
      <c r="D242" s="165" t="s">
        <v>43</v>
      </c>
      <c r="E242">
        <v>38.85493665631558</v>
      </c>
      <c r="F242">
        <v>-77.002259504610606</v>
      </c>
      <c r="G242" s="167">
        <v>3.5494171864679411</v>
      </c>
      <c r="H242" s="168">
        <v>2.0061335330191374</v>
      </c>
      <c r="I242" s="169">
        <v>182.00758173918558</v>
      </c>
      <c r="J242">
        <v>2.0075817391855821</v>
      </c>
      <c r="K242">
        <v>182.00613353301912</v>
      </c>
      <c r="L242" t="s">
        <v>191</v>
      </c>
    </row>
    <row r="243" spans="1:12">
      <c r="A243" s="164" t="s">
        <v>51</v>
      </c>
      <c r="B243">
        <v>38.803587013018927</v>
      </c>
      <c r="C243">
        <v>-77.0045692366363</v>
      </c>
      <c r="D243" s="165" t="s">
        <v>197</v>
      </c>
      <c r="E243">
        <v>38.870688770261303</v>
      </c>
      <c r="F243">
        <v>-77.009073886696044</v>
      </c>
      <c r="G243" s="167">
        <v>4.6417312903703776</v>
      </c>
      <c r="H243" s="168">
        <v>357.00808792116328</v>
      </c>
      <c r="I243" s="169">
        <v>177.00526301485047</v>
      </c>
      <c r="J243">
        <v>357.00526301485047</v>
      </c>
      <c r="K243">
        <v>177.00808792116322</v>
      </c>
      <c r="L243" t="s">
        <v>191</v>
      </c>
    </row>
    <row r="244" spans="1:12">
      <c r="A244" s="164" t="s">
        <v>77</v>
      </c>
      <c r="B244">
        <v>38.921883328355477</v>
      </c>
      <c r="C244">
        <v>-77.089117288265243</v>
      </c>
      <c r="D244" s="165" t="s">
        <v>199</v>
      </c>
      <c r="E244">
        <v>38.901242008335643</v>
      </c>
      <c r="F244">
        <v>-77.085863354657533</v>
      </c>
      <c r="G244" s="167">
        <v>1.4365924021468057</v>
      </c>
      <c r="H244" s="168">
        <v>173.00580437732199</v>
      </c>
      <c r="I244" s="169">
        <v>353.00784823845839</v>
      </c>
      <c r="J244">
        <v>173.00784823845834</v>
      </c>
      <c r="K244">
        <v>353.00580437732197</v>
      </c>
      <c r="L244" t="s">
        <v>191</v>
      </c>
    </row>
    <row r="245" spans="1:12">
      <c r="A245" s="164" t="s">
        <v>74</v>
      </c>
      <c r="B245">
        <v>38.933912107140202</v>
      </c>
      <c r="C245">
        <v>-77.070259853781494</v>
      </c>
      <c r="D245" s="165" t="s">
        <v>19</v>
      </c>
      <c r="E245">
        <v>38.88120136333437</v>
      </c>
      <c r="F245">
        <v>-77.072631056499674</v>
      </c>
      <c r="G245" s="167">
        <v>3.6434954449637322</v>
      </c>
      <c r="H245" s="168">
        <v>182.00560425289692</v>
      </c>
      <c r="I245" s="169">
        <v>2.0041149816570054</v>
      </c>
      <c r="J245">
        <v>182.00411498165701</v>
      </c>
      <c r="K245">
        <v>2.0056042528968874</v>
      </c>
      <c r="L245" t="s">
        <v>191</v>
      </c>
    </row>
    <row r="246" spans="1:12">
      <c r="A246" s="164" t="s">
        <v>79</v>
      </c>
      <c r="B246">
        <v>38.922907194700002</v>
      </c>
      <c r="C246">
        <v>-77.035842979328919</v>
      </c>
      <c r="D246" s="165" t="s">
        <v>153</v>
      </c>
      <c r="E246">
        <v>38.945071482174598</v>
      </c>
      <c r="F246">
        <v>-77.038834596689199</v>
      </c>
      <c r="G246" s="167">
        <v>1.5395278690332415</v>
      </c>
      <c r="H246" s="168">
        <v>354.00725439986525</v>
      </c>
      <c r="I246" s="169">
        <v>174.00537439382353</v>
      </c>
      <c r="J246">
        <v>354.00537439382356</v>
      </c>
      <c r="K246">
        <v>174.00725439986525</v>
      </c>
      <c r="L246" t="s">
        <v>191</v>
      </c>
    </row>
    <row r="247" spans="1:12">
      <c r="A247" s="164" t="s">
        <v>41</v>
      </c>
      <c r="B247">
        <v>38.94312493001874</v>
      </c>
      <c r="C247">
        <v>-77.019266706492502</v>
      </c>
      <c r="D247" s="165" t="s">
        <v>111</v>
      </c>
      <c r="E247">
        <v>38.946262788060167</v>
      </c>
      <c r="F247">
        <v>-77.013912196621391</v>
      </c>
      <c r="G247" s="167">
        <v>0.36020569974656325</v>
      </c>
      <c r="H247" s="168">
        <v>53.001016575693882</v>
      </c>
      <c r="I247" s="169">
        <v>233.00438225964655</v>
      </c>
      <c r="J247">
        <v>53.004382259646547</v>
      </c>
      <c r="K247">
        <v>233.00101657569388</v>
      </c>
      <c r="L247" t="s">
        <v>191</v>
      </c>
    </row>
    <row r="248" spans="1:12">
      <c r="A248" s="164" t="s">
        <v>49</v>
      </c>
      <c r="B248">
        <v>38.915519421202269</v>
      </c>
      <c r="C248">
        <v>-77.089236402778027</v>
      </c>
      <c r="D248" s="165" t="s">
        <v>28</v>
      </c>
      <c r="E248">
        <v>38.9243596243616</v>
      </c>
      <c r="F248">
        <v>-77.090630055083651</v>
      </c>
      <c r="G248" s="167">
        <v>0.61525888539614459</v>
      </c>
      <c r="H248" s="168">
        <v>353.00774703207264</v>
      </c>
      <c r="I248" s="169">
        <v>173.00687149250714</v>
      </c>
      <c r="J248">
        <v>353.00687149250712</v>
      </c>
      <c r="K248">
        <v>173.00774703207264</v>
      </c>
      <c r="L248" t="s">
        <v>191</v>
      </c>
    </row>
    <row r="249" spans="1:12">
      <c r="A249" s="164" t="s">
        <v>19</v>
      </c>
      <c r="B249">
        <v>38.88120136333437</v>
      </c>
      <c r="C249">
        <v>-77.072631056499674</v>
      </c>
      <c r="D249" s="165" t="s">
        <v>26</v>
      </c>
      <c r="E249">
        <v>38.920660773128958</v>
      </c>
      <c r="F249">
        <v>-77.079750995205373</v>
      </c>
      <c r="G249" s="167">
        <v>2.7526047773320914</v>
      </c>
      <c r="H249" s="168">
        <v>352.00891006261463</v>
      </c>
      <c r="I249" s="169">
        <v>172.00443891382403</v>
      </c>
      <c r="J249">
        <v>352.00443891382406</v>
      </c>
      <c r="K249">
        <v>172.00891006261463</v>
      </c>
      <c r="L249" t="s">
        <v>334</v>
      </c>
    </row>
    <row r="250" spans="1:12">
      <c r="A250" s="164" t="s">
        <v>62</v>
      </c>
      <c r="B250">
        <v>38.892755432872512</v>
      </c>
      <c r="C250">
        <v>-77.051434507806491</v>
      </c>
      <c r="D250" s="165" t="s">
        <v>30</v>
      </c>
      <c r="E250">
        <v>38.92053966660955</v>
      </c>
      <c r="F250">
        <v>-77.11324805943606</v>
      </c>
      <c r="G250" s="167">
        <v>3.8373467628685409</v>
      </c>
      <c r="H250" s="168">
        <v>300.03087568125466</v>
      </c>
      <c r="I250" s="169">
        <v>119.9920534698748</v>
      </c>
      <c r="J250">
        <v>299.9920534698748</v>
      </c>
      <c r="K250">
        <v>120.03087568125466</v>
      </c>
      <c r="L250" t="s">
        <v>280</v>
      </c>
    </row>
    <row r="251" spans="1:12">
      <c r="A251" s="164" t="s">
        <v>67</v>
      </c>
      <c r="B251">
        <v>38.897788758778049</v>
      </c>
      <c r="C251">
        <v>-77.036569</v>
      </c>
      <c r="D251" s="165" t="s">
        <v>37</v>
      </c>
      <c r="E251">
        <v>38.935255546149442</v>
      </c>
      <c r="F251">
        <v>-76.988452843325106</v>
      </c>
      <c r="G251" s="167">
        <v>3.6588450118213283</v>
      </c>
      <c r="H251" s="168">
        <v>44.962375518178803</v>
      </c>
      <c r="I251" s="169">
        <v>224.99260148665533</v>
      </c>
      <c r="J251">
        <v>44.992601486655303</v>
      </c>
      <c r="K251">
        <v>224.96237551817882</v>
      </c>
      <c r="L251" t="s">
        <v>280</v>
      </c>
    </row>
    <row r="252" spans="1:12">
      <c r="A252" s="164" t="s">
        <v>136</v>
      </c>
      <c r="B252">
        <v>38.89317136999999</v>
      </c>
      <c r="C252">
        <v>-77.040786249999996</v>
      </c>
      <c r="D252" s="165" t="s">
        <v>173</v>
      </c>
      <c r="E252">
        <v>38.988765681572232</v>
      </c>
      <c r="F252">
        <v>-77.16354886186852</v>
      </c>
      <c r="G252" s="167">
        <v>9.3336082734420405</v>
      </c>
      <c r="H252" s="168">
        <v>315.07163811106614</v>
      </c>
      <c r="I252" s="169">
        <v>134.99447938705137</v>
      </c>
      <c r="J252">
        <v>314.99447938705134</v>
      </c>
      <c r="K252">
        <v>135.07163811106614</v>
      </c>
      <c r="L252" t="s">
        <v>280</v>
      </c>
    </row>
    <row r="253" spans="1:12">
      <c r="A253" s="164" t="s">
        <v>112</v>
      </c>
      <c r="B253">
        <v>38.790339150000008</v>
      </c>
      <c r="C253">
        <v>-77.04058603</v>
      </c>
      <c r="D253" s="165" t="s">
        <v>82</v>
      </c>
      <c r="E253">
        <v>38.892860499999969</v>
      </c>
      <c r="F253">
        <v>-76.909165529999996</v>
      </c>
      <c r="G253" s="167">
        <v>10.007903118830349</v>
      </c>
      <c r="H253" s="168">
        <v>44.914009848195178</v>
      </c>
      <c r="I253" s="169">
        <v>224.99643283074164</v>
      </c>
      <c r="J253">
        <v>44.996432830741639</v>
      </c>
      <c r="K253">
        <v>224.91400984819518</v>
      </c>
      <c r="L253" t="s">
        <v>280</v>
      </c>
    </row>
    <row r="254" spans="1:12">
      <c r="A254" s="164" t="s">
        <v>48</v>
      </c>
      <c r="B254">
        <v>38.913291244749402</v>
      </c>
      <c r="C254">
        <v>-77.093538846706636</v>
      </c>
      <c r="D254" s="165" t="s">
        <v>37</v>
      </c>
      <c r="E254">
        <v>38.935255546149442</v>
      </c>
      <c r="F254">
        <v>-76.988452843325106</v>
      </c>
      <c r="G254" s="167">
        <v>5.847880012841574</v>
      </c>
      <c r="H254" s="168">
        <v>74.928910172176202</v>
      </c>
      <c r="I254" s="169">
        <v>254.99493495386037</v>
      </c>
      <c r="J254">
        <v>74.994934953860366</v>
      </c>
      <c r="K254">
        <v>254.92891017217619</v>
      </c>
      <c r="L254" t="s">
        <v>280</v>
      </c>
    </row>
    <row r="255" spans="1:12">
      <c r="A255" s="164" t="s">
        <v>38</v>
      </c>
      <c r="B255">
        <v>38.92609741015503</v>
      </c>
      <c r="C255">
        <v>-76.958533324767643</v>
      </c>
      <c r="D255" s="165" t="s">
        <v>189</v>
      </c>
      <c r="E255">
        <v>38.847398855787837</v>
      </c>
      <c r="F255">
        <v>-77.059730973390245</v>
      </c>
      <c r="G255" s="167">
        <v>7.6919232609373314</v>
      </c>
      <c r="H255" s="168">
        <v>225.05816076458666</v>
      </c>
      <c r="I255" s="169">
        <v>44.994630571901972</v>
      </c>
      <c r="J255">
        <v>224.99463057190198</v>
      </c>
      <c r="K255">
        <v>45.05816076458666</v>
      </c>
      <c r="L255" t="s">
        <v>280</v>
      </c>
    </row>
    <row r="256" spans="1:12">
      <c r="A256" s="164" t="s">
        <v>77</v>
      </c>
      <c r="B256">
        <v>38.921883328355477</v>
      </c>
      <c r="C256">
        <v>-77.089117288265243</v>
      </c>
      <c r="D256" s="165" t="s">
        <v>40</v>
      </c>
      <c r="E256">
        <v>38.861737201739359</v>
      </c>
      <c r="F256">
        <v>-76.955024258010965</v>
      </c>
      <c r="G256" s="167">
        <v>8.3213444393744176</v>
      </c>
      <c r="H256" s="168">
        <v>119.91202350855605</v>
      </c>
      <c r="I256" s="169">
        <v>299.9962140952984</v>
      </c>
      <c r="J256">
        <v>119.9962140952984</v>
      </c>
      <c r="K256">
        <v>299.91202350855605</v>
      </c>
      <c r="L256" t="s">
        <v>280</v>
      </c>
    </row>
    <row r="257" spans="1:12">
      <c r="A257" s="164" t="s">
        <v>74</v>
      </c>
      <c r="B257">
        <v>38.933912107140202</v>
      </c>
      <c r="C257">
        <v>-77.070259853781494</v>
      </c>
      <c r="D257" s="165" t="s">
        <v>147</v>
      </c>
      <c r="E257">
        <v>38.95177142459147</v>
      </c>
      <c r="F257">
        <v>-76.984729407049613</v>
      </c>
      <c r="G257" s="167">
        <v>4.7581645094333362</v>
      </c>
      <c r="H257" s="168">
        <v>74.945441371546352</v>
      </c>
      <c r="I257" s="169">
        <v>254.9992010955751</v>
      </c>
      <c r="J257">
        <v>74.999201095575131</v>
      </c>
      <c r="K257">
        <v>254.94544137154634</v>
      </c>
      <c r="L257" t="s">
        <v>280</v>
      </c>
    </row>
    <row r="258" spans="1:12">
      <c r="A258" s="164" t="s">
        <v>44</v>
      </c>
      <c r="B258">
        <v>38.959847905580027</v>
      </c>
      <c r="C258">
        <v>-77.026806510741665</v>
      </c>
      <c r="D258" s="165" t="s">
        <v>150</v>
      </c>
      <c r="E258">
        <v>38.926245969493429</v>
      </c>
      <c r="F258">
        <v>-76.951888012920421</v>
      </c>
      <c r="G258" s="167">
        <v>4.6465916842850232</v>
      </c>
      <c r="H258" s="168">
        <v>119.94698529029336</v>
      </c>
      <c r="I258" s="169">
        <v>299.99407513709167</v>
      </c>
      <c r="J258">
        <v>119.99407513709167</v>
      </c>
      <c r="K258">
        <v>299.94698529029336</v>
      </c>
      <c r="L258" t="s">
        <v>280</v>
      </c>
    </row>
    <row r="259" spans="1:12">
      <c r="A259" s="164" t="s">
        <v>59</v>
      </c>
      <c r="B259">
        <v>38.93508740486395</v>
      </c>
      <c r="C259">
        <v>-77.126419797285848</v>
      </c>
      <c r="D259" s="165" t="s">
        <v>64</v>
      </c>
      <c r="E259">
        <v>38.855138000000018</v>
      </c>
      <c r="F259">
        <v>-77.023560400000008</v>
      </c>
      <c r="G259" s="167">
        <v>7.8157468455921686</v>
      </c>
      <c r="H259" s="168">
        <v>134.92983828447586</v>
      </c>
      <c r="I259" s="169">
        <v>314.99442338390725</v>
      </c>
      <c r="J259">
        <v>134.99442338390725</v>
      </c>
      <c r="K259">
        <v>314.92983828447586</v>
      </c>
      <c r="L259" t="s">
        <v>280</v>
      </c>
    </row>
    <row r="260" spans="1:12">
      <c r="A260" s="164" t="s">
        <v>159</v>
      </c>
      <c r="B260">
        <v>38.785226169416099</v>
      </c>
      <c r="C260">
        <v>-77.040251901847796</v>
      </c>
      <c r="D260" s="165" t="s">
        <v>93</v>
      </c>
      <c r="E260">
        <v>39.262423017945139</v>
      </c>
      <c r="F260">
        <v>-77.393301271532664</v>
      </c>
      <c r="G260" s="167">
        <v>38.021953759753181</v>
      </c>
      <c r="H260" s="168">
        <v>330.22199731710606</v>
      </c>
      <c r="I260" s="169">
        <v>149.99969972867771</v>
      </c>
      <c r="J260">
        <v>329.99969972867768</v>
      </c>
      <c r="K260">
        <v>150.22199731710606</v>
      </c>
      <c r="L260" t="s">
        <v>280</v>
      </c>
    </row>
    <row r="261" spans="1:12">
      <c r="A261" s="164" t="s">
        <v>62</v>
      </c>
      <c r="B261">
        <v>38.892755432872512</v>
      </c>
      <c r="C261">
        <v>-77.051434507806491</v>
      </c>
      <c r="D261" s="165" t="s">
        <v>82</v>
      </c>
      <c r="E261">
        <v>38.892860499999969</v>
      </c>
      <c r="F261">
        <v>-76.909165529999996</v>
      </c>
      <c r="G261" s="167">
        <v>7.6493196252591282</v>
      </c>
      <c r="H261" s="168">
        <v>89.900972073524812</v>
      </c>
      <c r="I261" s="169">
        <v>269.99029786486278</v>
      </c>
      <c r="J261">
        <v>89.990297864862782</v>
      </c>
      <c r="K261">
        <v>269.90097207352483</v>
      </c>
      <c r="L261" t="s">
        <v>277</v>
      </c>
    </row>
    <row r="262" spans="1:12">
      <c r="A262" s="164" t="s">
        <v>134</v>
      </c>
      <c r="B262">
        <v>38.892786699999967</v>
      </c>
      <c r="C262">
        <v>-77.040679699999998</v>
      </c>
      <c r="D262" s="165" t="s">
        <v>82</v>
      </c>
      <c r="E262">
        <v>38.892860499999969</v>
      </c>
      <c r="F262">
        <v>-76.909165529999996</v>
      </c>
      <c r="G262" s="167">
        <v>7.0710673476884942</v>
      </c>
      <c r="H262" s="168">
        <v>89.917404159640853</v>
      </c>
      <c r="I262" s="169">
        <v>269.9999774017511</v>
      </c>
      <c r="J262">
        <v>89.999977401751096</v>
      </c>
      <c r="K262">
        <v>269.91740415964085</v>
      </c>
      <c r="L262" t="s">
        <v>277</v>
      </c>
    </row>
    <row r="263" spans="1:12">
      <c r="A263" s="164" t="s">
        <v>136</v>
      </c>
      <c r="B263">
        <v>38.89317136999999</v>
      </c>
      <c r="C263">
        <v>-77.040786249999996</v>
      </c>
      <c r="D263" s="165" t="s">
        <v>83</v>
      </c>
      <c r="E263">
        <v>38.893245129999983</v>
      </c>
      <c r="F263">
        <v>-77.172301140000016</v>
      </c>
      <c r="G263" s="167">
        <v>7.0710677628809906</v>
      </c>
      <c r="H263" s="168">
        <v>270.08257401772812</v>
      </c>
      <c r="I263" s="169">
        <v>89.999999636367804</v>
      </c>
      <c r="J263">
        <v>269.99999963636782</v>
      </c>
      <c r="K263">
        <v>90.08257401772812</v>
      </c>
      <c r="L263" t="s">
        <v>277</v>
      </c>
    </row>
    <row r="264" spans="1:12">
      <c r="A264" s="164" t="s">
        <v>113</v>
      </c>
      <c r="B264">
        <v>38.872735563752023</v>
      </c>
      <c r="C264">
        <v>-77.056284741966763</v>
      </c>
      <c r="D264" s="165" t="s">
        <v>76</v>
      </c>
      <c r="E264">
        <v>38.872804095441928</v>
      </c>
      <c r="F264">
        <v>-76.940197367335742</v>
      </c>
      <c r="G264" s="167">
        <v>6.2433834998941293</v>
      </c>
      <c r="H264" s="168">
        <v>89.920126445154537</v>
      </c>
      <c r="I264" s="169">
        <v>269.99298209812139</v>
      </c>
      <c r="J264">
        <v>89.992982098121388</v>
      </c>
      <c r="K264">
        <v>269.92012644515455</v>
      </c>
      <c r="L264" t="s">
        <v>277</v>
      </c>
    </row>
    <row r="265" spans="1:12">
      <c r="A265" s="164" t="s">
        <v>70</v>
      </c>
      <c r="B265">
        <v>38.91858289999999</v>
      </c>
      <c r="C265">
        <v>-76.941921800000017</v>
      </c>
      <c r="D265" s="165" t="s">
        <v>33</v>
      </c>
      <c r="E265">
        <v>38.918966507717499</v>
      </c>
      <c r="F265">
        <v>-77.24236058241425</v>
      </c>
      <c r="G265" s="167">
        <v>16.147674151437791</v>
      </c>
      <c r="H265" s="168">
        <v>270.18839756964002</v>
      </c>
      <c r="I265" s="169">
        <v>89.999656245133664</v>
      </c>
      <c r="J265">
        <v>269.99965624513368</v>
      </c>
      <c r="K265">
        <v>90.188397569640017</v>
      </c>
      <c r="L265" t="s">
        <v>277</v>
      </c>
    </row>
    <row r="266" spans="1:12">
      <c r="A266" s="164" t="s">
        <v>174</v>
      </c>
      <c r="B266">
        <v>38.921544640505182</v>
      </c>
      <c r="C266">
        <v>-77.067051280524325</v>
      </c>
      <c r="D266" s="165" t="s">
        <v>175</v>
      </c>
      <c r="E266">
        <v>38.890643961669717</v>
      </c>
      <c r="F266">
        <v>-77.012352075974064</v>
      </c>
      <c r="G266" s="167">
        <v>3.6335652902494617</v>
      </c>
      <c r="H266" s="168">
        <v>125.96073688565627</v>
      </c>
      <c r="I266" s="169">
        <v>305.99509049593968</v>
      </c>
      <c r="J266">
        <v>125.99509049593968</v>
      </c>
      <c r="K266">
        <v>305.96073688565627</v>
      </c>
      <c r="L266" t="s">
        <v>291</v>
      </c>
    </row>
    <row r="267" spans="1:12">
      <c r="A267" s="164" t="s">
        <v>196</v>
      </c>
      <c r="B267">
        <v>38.888169036259093</v>
      </c>
      <c r="C267">
        <v>-77.051451527226078</v>
      </c>
      <c r="D267" s="165" t="s">
        <v>14</v>
      </c>
      <c r="E267">
        <v>38.914649550911903</v>
      </c>
      <c r="F267">
        <v>-77.004648326263094</v>
      </c>
      <c r="G267" s="167">
        <v>3.1108251999461172</v>
      </c>
      <c r="H267" s="168">
        <v>53.967541314265972</v>
      </c>
      <c r="I267" s="169">
        <v>233.99693289313865</v>
      </c>
      <c r="J267">
        <v>53.996932893138649</v>
      </c>
      <c r="K267">
        <v>233.96754131426599</v>
      </c>
      <c r="L267" t="s">
        <v>291</v>
      </c>
    </row>
    <row r="268" spans="1:12">
      <c r="A268" s="164" t="s">
        <v>175</v>
      </c>
      <c r="B268">
        <v>38.890643961669717</v>
      </c>
      <c r="C268">
        <v>-77.012352075974064</v>
      </c>
      <c r="D268" s="165" t="s">
        <v>2</v>
      </c>
      <c r="E268">
        <v>38.897038827303611</v>
      </c>
      <c r="F268">
        <v>-77.037627866552469</v>
      </c>
      <c r="G268" s="167">
        <v>1.4289710503009165</v>
      </c>
      <c r="H268" s="168">
        <v>288.01560033592779</v>
      </c>
      <c r="I268" s="169">
        <v>107.99973018747062</v>
      </c>
      <c r="J268">
        <v>287.99973018747062</v>
      </c>
      <c r="K268">
        <v>108.01560033592779</v>
      </c>
      <c r="L268" t="s">
        <v>291</v>
      </c>
    </row>
    <row r="269" spans="1:12">
      <c r="A269" s="164" t="s">
        <v>130</v>
      </c>
      <c r="B269">
        <v>38.916014822915052</v>
      </c>
      <c r="C269">
        <v>-77.116777991306989</v>
      </c>
      <c r="D269" s="165" t="s">
        <v>193</v>
      </c>
      <c r="E269">
        <v>38.967911031638792</v>
      </c>
      <c r="F269">
        <v>-77.068345449756862</v>
      </c>
      <c r="G269" s="167">
        <v>4.4298873840704278</v>
      </c>
      <c r="H269" s="168">
        <v>35.959631420205213</v>
      </c>
      <c r="I269" s="169">
        <v>215.99007286865208</v>
      </c>
      <c r="J269">
        <v>35.990072868652078</v>
      </c>
      <c r="K269">
        <v>215.9596314202052</v>
      </c>
      <c r="L269" t="s">
        <v>291</v>
      </c>
    </row>
    <row r="270" spans="1:12">
      <c r="A270" s="164" t="s">
        <v>116</v>
      </c>
      <c r="B270">
        <v>38.8580454440363</v>
      </c>
      <c r="C270">
        <v>-77.078464399477767</v>
      </c>
      <c r="D270" s="165" t="s">
        <v>15</v>
      </c>
      <c r="E270">
        <v>38.83334538875507</v>
      </c>
      <c r="F270">
        <v>-77.176201826008182</v>
      </c>
      <c r="G270" s="167">
        <v>5.528393175446185</v>
      </c>
      <c r="H270" s="168">
        <v>252.05336953531594</v>
      </c>
      <c r="I270" s="169">
        <v>71.992066151714397</v>
      </c>
      <c r="J270">
        <v>251.9920661517144</v>
      </c>
      <c r="K270">
        <v>72.053369535315937</v>
      </c>
      <c r="L270" t="s">
        <v>291</v>
      </c>
    </row>
    <row r="271" spans="1:12">
      <c r="A271" s="164" t="s">
        <v>54</v>
      </c>
      <c r="B271">
        <v>38.888694362898732</v>
      </c>
      <c r="C271">
        <v>-76.942542813218694</v>
      </c>
      <c r="D271" s="165" t="s">
        <v>43</v>
      </c>
      <c r="E271">
        <v>38.85493665631558</v>
      </c>
      <c r="F271">
        <v>-77.002259504610606</v>
      </c>
      <c r="G271" s="167">
        <v>3.969036479074715</v>
      </c>
      <c r="H271" s="168">
        <v>234.03576900837359</v>
      </c>
      <c r="I271" s="169">
        <v>53.998291994281402</v>
      </c>
      <c r="J271">
        <v>233.9982919942814</v>
      </c>
      <c r="K271">
        <v>54.035769008373563</v>
      </c>
      <c r="L271" t="s">
        <v>291</v>
      </c>
    </row>
    <row r="272" spans="1:12">
      <c r="A272" s="164" t="s">
        <v>156</v>
      </c>
      <c r="B272">
        <v>38.92072480308088</v>
      </c>
      <c r="C272">
        <v>-77.03571742899706</v>
      </c>
      <c r="D272" s="165" t="s">
        <v>19</v>
      </c>
      <c r="E272">
        <v>38.88120136333437</v>
      </c>
      <c r="F272">
        <v>-77.072631056499674</v>
      </c>
      <c r="G272" s="167">
        <v>3.3753014757866646</v>
      </c>
      <c r="H272" s="168">
        <v>216.02290801473083</v>
      </c>
      <c r="I272" s="169">
        <v>35.999727135590632</v>
      </c>
      <c r="J272">
        <v>215.99972713559063</v>
      </c>
      <c r="K272">
        <v>36.022908014730831</v>
      </c>
      <c r="L272" t="s">
        <v>291</v>
      </c>
    </row>
    <row r="273" spans="1:12">
      <c r="A273" s="164" t="s">
        <v>90</v>
      </c>
      <c r="B273">
        <v>38.876142130269038</v>
      </c>
      <c r="C273">
        <v>-77.112656342468085</v>
      </c>
      <c r="D273" s="165" t="s">
        <v>157</v>
      </c>
      <c r="E273">
        <v>38.910082172410689</v>
      </c>
      <c r="F273">
        <v>-76.978787828466437</v>
      </c>
      <c r="G273" s="167">
        <v>7.5698622552849635</v>
      </c>
      <c r="H273" s="168">
        <v>71.915269971012307</v>
      </c>
      <c r="I273" s="169">
        <v>251.99932195429375</v>
      </c>
      <c r="J273">
        <v>71.999321954293748</v>
      </c>
      <c r="K273">
        <v>251.91526997101232</v>
      </c>
      <c r="L273" t="s">
        <v>291</v>
      </c>
    </row>
    <row r="274" spans="1:12">
      <c r="A274" s="164" t="s">
        <v>202</v>
      </c>
      <c r="B274">
        <v>38.710790497835873</v>
      </c>
      <c r="C274">
        <v>-77.0352088314432</v>
      </c>
      <c r="D274" s="165" t="s">
        <v>23</v>
      </c>
      <c r="E274">
        <v>38.896347393829558</v>
      </c>
      <c r="F274">
        <v>-77.112485891886223</v>
      </c>
      <c r="G274" s="167">
        <v>13.476475526277282</v>
      </c>
      <c r="H274" s="168">
        <v>342.04352087685146</v>
      </c>
      <c r="I274" s="169">
        <v>161.99509495699064</v>
      </c>
      <c r="J274">
        <v>341.99509495699067</v>
      </c>
      <c r="K274">
        <v>162.04352087685152</v>
      </c>
      <c r="L274" t="s">
        <v>291</v>
      </c>
    </row>
    <row r="275" spans="1:12">
      <c r="A275" s="164" t="s">
        <v>165</v>
      </c>
      <c r="B275">
        <v>38.709536573715518</v>
      </c>
      <c r="C275">
        <v>-77.026233748190492</v>
      </c>
      <c r="D275" s="165" t="s">
        <v>68</v>
      </c>
      <c r="E275">
        <v>38.934493099999983</v>
      </c>
      <c r="F275">
        <v>-77.119915899999995</v>
      </c>
      <c r="G275" s="167">
        <v>16.337501242405576</v>
      </c>
      <c r="H275" s="168">
        <v>342.05361431018417</v>
      </c>
      <c r="I275" s="169">
        <v>161.99488454727273</v>
      </c>
      <c r="J275">
        <v>341.9948845472727</v>
      </c>
      <c r="K275">
        <v>162.05361431018423</v>
      </c>
      <c r="L275" t="s">
        <v>291</v>
      </c>
    </row>
    <row r="276" spans="1:12">
      <c r="A276" s="164" t="s">
        <v>45</v>
      </c>
      <c r="B276">
        <v>38.989097905845689</v>
      </c>
      <c r="C276">
        <v>-77.046770824431448</v>
      </c>
      <c r="D276" s="165" t="s">
        <v>7</v>
      </c>
      <c r="E276">
        <v>38.876337452964407</v>
      </c>
      <c r="F276">
        <v>-77.072341784270549</v>
      </c>
      <c r="G276" s="167">
        <v>7.9097750136911289</v>
      </c>
      <c r="H276" s="168">
        <v>190.01224539156604</v>
      </c>
      <c r="I276" s="169">
        <v>9.9961764043519015</v>
      </c>
      <c r="J276">
        <v>189.9961764043519</v>
      </c>
      <c r="K276">
        <v>10.012245391566012</v>
      </c>
      <c r="L276" t="s">
        <v>328</v>
      </c>
    </row>
    <row r="277" spans="1:12">
      <c r="A277" s="164" t="s">
        <v>8</v>
      </c>
      <c r="B277">
        <v>38.889816848715718</v>
      </c>
      <c r="C277">
        <v>-77.008442240897836</v>
      </c>
      <c r="D277" s="165" t="s">
        <v>48</v>
      </c>
      <c r="E277">
        <v>38.913291244749402</v>
      </c>
      <c r="F277">
        <v>-77.093538846706636</v>
      </c>
      <c r="G277" s="167">
        <v>4.8536931854892291</v>
      </c>
      <c r="H277" s="168">
        <v>289.54447727712522</v>
      </c>
      <c r="I277" s="169">
        <v>109.49103794903517</v>
      </c>
      <c r="J277">
        <v>289.49103794903516</v>
      </c>
      <c r="K277">
        <v>109.54447727712522</v>
      </c>
      <c r="L277" t="s">
        <v>298</v>
      </c>
    </row>
    <row r="278" spans="1:12">
      <c r="A278" s="164" t="s">
        <v>89</v>
      </c>
      <c r="B278">
        <v>38.911588839433009</v>
      </c>
      <c r="C278">
        <v>-76.993547550999835</v>
      </c>
      <c r="D278" s="165" t="s">
        <v>14</v>
      </c>
      <c r="E278">
        <v>38.914649550911903</v>
      </c>
      <c r="F278">
        <v>-77.004648326263094</v>
      </c>
      <c r="G278" s="167">
        <v>0.63303362009864683</v>
      </c>
      <c r="H278" s="168">
        <v>289.51533415880601</v>
      </c>
      <c r="I278" s="169">
        <v>109.50836130405534</v>
      </c>
      <c r="J278">
        <v>289.50836130405537</v>
      </c>
      <c r="K278">
        <v>109.51533415880601</v>
      </c>
      <c r="L278" t="s">
        <v>298</v>
      </c>
    </row>
    <row r="279" spans="1:12">
      <c r="A279" s="164" t="s">
        <v>162</v>
      </c>
      <c r="B279">
        <v>38.863742890040719</v>
      </c>
      <c r="C279">
        <v>-77.04279029496989</v>
      </c>
      <c r="D279" s="165" t="s">
        <v>33</v>
      </c>
      <c r="E279">
        <v>38.918966507717499</v>
      </c>
      <c r="F279">
        <v>-77.24236058241425</v>
      </c>
      <c r="G279" s="167">
        <v>11.388380911566323</v>
      </c>
      <c r="H279" s="168">
        <v>289.63381305888248</v>
      </c>
      <c r="I279" s="169">
        <v>109.50851363629451</v>
      </c>
      <c r="J279">
        <v>289.50851363629454</v>
      </c>
      <c r="K279">
        <v>109.63381305888248</v>
      </c>
      <c r="L279" t="s">
        <v>298</v>
      </c>
    </row>
    <row r="280" spans="1:12">
      <c r="A280" s="164" t="s">
        <v>6</v>
      </c>
      <c r="B280">
        <v>38.849500020681234</v>
      </c>
      <c r="C280">
        <v>-77.004921790891075</v>
      </c>
      <c r="D280" s="165" t="s">
        <v>19</v>
      </c>
      <c r="E280">
        <v>38.88120136333437</v>
      </c>
      <c r="F280">
        <v>-77.072631056499674</v>
      </c>
      <c r="G280" s="167">
        <v>4.2496189276850869</v>
      </c>
      <c r="H280" s="168">
        <v>301.04038902754854</v>
      </c>
      <c r="I280" s="169">
        <v>120.99790197980684</v>
      </c>
      <c r="J280">
        <v>300.99790197980684</v>
      </c>
      <c r="K280">
        <v>121.04038902754854</v>
      </c>
      <c r="L280" t="s">
        <v>333</v>
      </c>
    </row>
    <row r="281" spans="1:12">
      <c r="A281" s="164" t="s">
        <v>265</v>
      </c>
      <c r="B281">
        <v>38.890621000000003</v>
      </c>
      <c r="C281">
        <v>-77.00510154468833</v>
      </c>
      <c r="D281" s="165" t="s">
        <v>17</v>
      </c>
      <c r="E281">
        <v>38.939237314230454</v>
      </c>
      <c r="F281">
        <v>-77.088340704127447</v>
      </c>
      <c r="G281" s="167">
        <v>5.5943256814299884</v>
      </c>
      <c r="H281" s="168">
        <v>306.91941281766236</v>
      </c>
      <c r="I281" s="169">
        <v>126.8671248127376</v>
      </c>
      <c r="J281">
        <v>306.86712481273759</v>
      </c>
      <c r="K281">
        <v>126.91941281766236</v>
      </c>
      <c r="L281" t="s">
        <v>308</v>
      </c>
    </row>
    <row r="282" spans="1:12">
      <c r="A282" s="164" t="s">
        <v>8</v>
      </c>
      <c r="B282">
        <v>38.889816848715718</v>
      </c>
      <c r="C282">
        <v>-77.008442240897836</v>
      </c>
      <c r="D282" s="165" t="s">
        <v>74</v>
      </c>
      <c r="E282">
        <v>38.933912107140202</v>
      </c>
      <c r="F282">
        <v>-77.070259853781494</v>
      </c>
      <c r="G282" s="167">
        <v>4.5077666376140471</v>
      </c>
      <c r="H282" s="168">
        <v>312.53153373998964</v>
      </c>
      <c r="I282" s="169">
        <v>132.49270459630247</v>
      </c>
      <c r="J282">
        <v>312.49270459630247</v>
      </c>
      <c r="K282">
        <v>132.53153373998964</v>
      </c>
      <c r="L282" t="s">
        <v>299</v>
      </c>
    </row>
    <row r="283" spans="1:12">
      <c r="A283" s="164" t="s">
        <v>134</v>
      </c>
      <c r="B283">
        <v>38.892786699999967</v>
      </c>
      <c r="C283">
        <v>-77.040679699999998</v>
      </c>
      <c r="D283" s="165" t="s">
        <v>26</v>
      </c>
      <c r="E283">
        <v>38.920660773128958</v>
      </c>
      <c r="F283">
        <v>-77.079750995205373</v>
      </c>
      <c r="G283" s="167">
        <v>2.8493963149195563</v>
      </c>
      <c r="H283" s="168">
        <v>312.52646161297992</v>
      </c>
      <c r="I283" s="169">
        <v>132.501922713548</v>
      </c>
      <c r="J283">
        <v>312.50192271354797</v>
      </c>
      <c r="K283">
        <v>132.52646161297992</v>
      </c>
      <c r="L283" t="s">
        <v>299</v>
      </c>
    </row>
    <row r="284" spans="1:12">
      <c r="A284" s="164" t="s">
        <v>165</v>
      </c>
      <c r="B284">
        <v>38.709536573715518</v>
      </c>
      <c r="C284">
        <v>-77.026233748190492</v>
      </c>
      <c r="D284" s="165" t="s">
        <v>9</v>
      </c>
      <c r="E284">
        <v>38.920336486884452</v>
      </c>
      <c r="F284">
        <v>-77.305560255203972</v>
      </c>
      <c r="G284" s="167">
        <v>20.930866202257462</v>
      </c>
      <c r="H284" s="168">
        <v>314.17227253191379</v>
      </c>
      <c r="I284" s="169">
        <v>133.99718822728016</v>
      </c>
      <c r="J284">
        <v>313.99718822728016</v>
      </c>
      <c r="K284">
        <v>134.17227253191379</v>
      </c>
      <c r="L284" t="s">
        <v>331</v>
      </c>
    </row>
    <row r="285" spans="1:12">
      <c r="A285" s="164" t="s">
        <v>170</v>
      </c>
      <c r="B285">
        <v>38.808593670098077</v>
      </c>
      <c r="C285">
        <v>-77.067282222571677</v>
      </c>
      <c r="D285" s="165" t="s">
        <v>160</v>
      </c>
      <c r="E285">
        <v>38.870800749819253</v>
      </c>
      <c r="F285">
        <v>-77.144343160781318</v>
      </c>
      <c r="G285" s="167">
        <v>5.9715310729716311</v>
      </c>
      <c r="H285" s="168">
        <v>316.04782303161392</v>
      </c>
      <c r="I285" s="169">
        <v>135.99949474410153</v>
      </c>
      <c r="J285">
        <v>315.99949474410153</v>
      </c>
      <c r="K285">
        <v>136.04782303161392</v>
      </c>
      <c r="L285" t="s">
        <v>290</v>
      </c>
    </row>
    <row r="286" spans="1:12">
      <c r="A286" s="164" t="s">
        <v>183</v>
      </c>
      <c r="B286">
        <v>38.890779794768029</v>
      </c>
      <c r="C286">
        <v>-77.007267880658404</v>
      </c>
      <c r="D286" s="165" t="s">
        <v>190</v>
      </c>
      <c r="E286">
        <v>38.905376415694072</v>
      </c>
      <c r="F286">
        <v>-77.021330730155185</v>
      </c>
      <c r="G286" s="167">
        <v>1.2603023692110673</v>
      </c>
      <c r="H286" s="168">
        <v>323.14168587763669</v>
      </c>
      <c r="I286" s="169">
        <v>143.13285529467788</v>
      </c>
      <c r="J286">
        <v>323.13285529467788</v>
      </c>
      <c r="K286">
        <v>143.14168587763669</v>
      </c>
      <c r="L286" t="s">
        <v>306</v>
      </c>
    </row>
    <row r="287" spans="1:12">
      <c r="A287" s="164" t="s">
        <v>51</v>
      </c>
      <c r="B287">
        <v>38.803587013018927</v>
      </c>
      <c r="C287">
        <v>-77.0045692366363</v>
      </c>
      <c r="D287" s="165" t="s">
        <v>52</v>
      </c>
      <c r="E287">
        <v>38.876508891956881</v>
      </c>
      <c r="F287">
        <v>-77.074738028614249</v>
      </c>
      <c r="G287" s="167">
        <v>6.2952845250987792</v>
      </c>
      <c r="H287" s="168">
        <v>323.17068593743846</v>
      </c>
      <c r="I287" s="169">
        <v>143.12667968020031</v>
      </c>
      <c r="J287">
        <v>323.12667968020031</v>
      </c>
      <c r="K287">
        <v>143.17068593743846</v>
      </c>
      <c r="L287" t="s">
        <v>306</v>
      </c>
    </row>
    <row r="288" spans="1:12">
      <c r="A288" s="164" t="s">
        <v>75</v>
      </c>
      <c r="B288">
        <v>38.808878603508518</v>
      </c>
      <c r="C288">
        <v>-77.013395902314087</v>
      </c>
      <c r="D288" s="165" t="s">
        <v>95</v>
      </c>
      <c r="E288">
        <v>39.448886999999999</v>
      </c>
      <c r="F288">
        <v>-77.627617999999998</v>
      </c>
      <c r="G288" s="167">
        <v>55.118241672164466</v>
      </c>
      <c r="H288" s="168">
        <v>323.5266866970112</v>
      </c>
      <c r="I288" s="169">
        <v>143.13906316264922</v>
      </c>
      <c r="J288">
        <v>323.13906316264922</v>
      </c>
      <c r="K288">
        <v>143.5266866970112</v>
      </c>
      <c r="L288" t="s">
        <v>306</v>
      </c>
    </row>
    <row r="289" spans="1:12">
      <c r="A289" s="164" t="s">
        <v>186</v>
      </c>
      <c r="B289">
        <v>38.885561745965539</v>
      </c>
      <c r="C289">
        <v>-77.009887373032456</v>
      </c>
      <c r="D289" s="165" t="s">
        <v>35</v>
      </c>
      <c r="E289">
        <v>38.886867190107317</v>
      </c>
      <c r="F289">
        <v>-76.916665420155027</v>
      </c>
      <c r="G289" s="167">
        <v>5.0135021369155561</v>
      </c>
      <c r="H289" s="168">
        <v>88.940076937599457</v>
      </c>
      <c r="I289" s="169">
        <v>268.99859943071675</v>
      </c>
      <c r="J289">
        <v>88.998599430716752</v>
      </c>
      <c r="K289">
        <v>268.94007693759943</v>
      </c>
      <c r="L289" t="s">
        <v>307</v>
      </c>
    </row>
    <row r="290" spans="1:12">
      <c r="A290" s="164" t="s">
        <v>133</v>
      </c>
      <c r="B290">
        <v>38.892699520000001</v>
      </c>
      <c r="C290">
        <v>-77.04058603</v>
      </c>
      <c r="D290" s="165" t="s">
        <v>203</v>
      </c>
      <c r="E290">
        <v>38.872918166579353</v>
      </c>
      <c r="F290">
        <v>-77.054669457877239</v>
      </c>
      <c r="G290" s="167">
        <v>1.5623246711894356</v>
      </c>
      <c r="H290" s="168">
        <v>208.99999131851803</v>
      </c>
      <c r="I290" s="169">
        <v>28.991150734887523</v>
      </c>
      <c r="J290">
        <v>208.99115073488753</v>
      </c>
      <c r="K290">
        <v>28.999991318518028</v>
      </c>
      <c r="L290" t="s">
        <v>309</v>
      </c>
    </row>
    <row r="291" spans="1:12">
      <c r="A291" s="164" t="s">
        <v>69</v>
      </c>
      <c r="B291">
        <v>38.995956509999992</v>
      </c>
      <c r="C291">
        <v>-77.040985579999997</v>
      </c>
      <c r="D291" s="165" t="s">
        <v>198</v>
      </c>
      <c r="E291">
        <v>38.937902435216373</v>
      </c>
      <c r="F291">
        <v>-77.085865083617094</v>
      </c>
      <c r="G291" s="167">
        <v>4.6790671072741157</v>
      </c>
      <c r="H291" s="168">
        <v>211.02267995637814</v>
      </c>
      <c r="I291" s="169">
        <v>30.99445650099538</v>
      </c>
      <c r="J291">
        <v>210.99445650099537</v>
      </c>
      <c r="K291">
        <v>31.02267995637817</v>
      </c>
      <c r="L291" t="s">
        <v>316</v>
      </c>
    </row>
    <row r="292" spans="1:12">
      <c r="A292" s="164" t="s">
        <v>82</v>
      </c>
      <c r="B292">
        <v>38.892860499999969</v>
      </c>
      <c r="C292">
        <v>-76.909165529999996</v>
      </c>
      <c r="D292" s="165" t="s">
        <v>75</v>
      </c>
      <c r="E292">
        <v>38.808878603508518</v>
      </c>
      <c r="F292">
        <v>-77.013395902314087</v>
      </c>
      <c r="G292" s="167">
        <v>8.0684756532778739</v>
      </c>
      <c r="H292" s="168">
        <v>224.05821254156231</v>
      </c>
      <c r="I292" s="169">
        <v>43.992829270319454</v>
      </c>
      <c r="J292">
        <v>223.99282927031945</v>
      </c>
      <c r="K292">
        <v>44.058212541562284</v>
      </c>
      <c r="L292" t="s">
        <v>315</v>
      </c>
    </row>
    <row r="293" spans="1:12">
      <c r="A293" s="164" t="s">
        <v>37</v>
      </c>
      <c r="B293">
        <v>38.935255546149442</v>
      </c>
      <c r="C293">
        <v>-76.988452843325106</v>
      </c>
      <c r="D293" s="165" t="s">
        <v>5</v>
      </c>
      <c r="E293">
        <v>38.873731147841703</v>
      </c>
      <c r="F293">
        <v>-77.070387413691392</v>
      </c>
      <c r="G293" s="167">
        <v>6.1207932542637424</v>
      </c>
      <c r="H293" s="168">
        <v>226.04846567684774</v>
      </c>
      <c r="I293" s="169">
        <v>45.997008780253907</v>
      </c>
      <c r="J293">
        <v>225.99700878025391</v>
      </c>
      <c r="K293">
        <v>46.048465676847741</v>
      </c>
      <c r="L293" t="s">
        <v>326</v>
      </c>
    </row>
    <row r="294" spans="1:12">
      <c r="A294" s="164" t="s">
        <v>172</v>
      </c>
      <c r="B294">
        <v>38.889273193198022</v>
      </c>
      <c r="C294">
        <v>-77.050184427930915</v>
      </c>
      <c r="D294" s="165" t="s">
        <v>7</v>
      </c>
      <c r="E294">
        <v>38.876337452964407</v>
      </c>
      <c r="F294">
        <v>-77.072341784270549</v>
      </c>
      <c r="G294" s="167">
        <v>1.4893560732294697</v>
      </c>
      <c r="H294" s="168">
        <v>233.13758651996514</v>
      </c>
      <c r="I294" s="169">
        <v>53.123677694088698</v>
      </c>
      <c r="J294">
        <v>233.12367769408871</v>
      </c>
      <c r="K294">
        <v>53.137586519965112</v>
      </c>
      <c r="L294" t="s">
        <v>293</v>
      </c>
    </row>
    <row r="295" spans="1:12">
      <c r="A295" s="164" t="s">
        <v>37</v>
      </c>
      <c r="B295">
        <v>38.935255546149442</v>
      </c>
      <c r="C295">
        <v>-76.988452843325106</v>
      </c>
      <c r="D295" s="165" t="s">
        <v>200</v>
      </c>
      <c r="E295">
        <v>38.907211196813563</v>
      </c>
      <c r="F295">
        <v>-77.036526673104206</v>
      </c>
      <c r="G295" s="167">
        <v>3.2293690166248745</v>
      </c>
      <c r="H295" s="168">
        <v>233.15217142103762</v>
      </c>
      <c r="I295" s="169">
        <v>53.121968966974755</v>
      </c>
      <c r="J295">
        <v>233.12196896697475</v>
      </c>
      <c r="K295">
        <v>53.152171421037622</v>
      </c>
      <c r="L295" t="s">
        <v>293</v>
      </c>
    </row>
    <row r="296" spans="1:12">
      <c r="A296" s="164" t="s">
        <v>263</v>
      </c>
      <c r="B296">
        <v>38.893613869460523</v>
      </c>
      <c r="C296">
        <v>-77.009077956021031</v>
      </c>
      <c r="D296" s="165" t="s">
        <v>109</v>
      </c>
      <c r="E296">
        <v>38.872552231854002</v>
      </c>
      <c r="F296">
        <v>-77.057900286673885</v>
      </c>
      <c r="G296" s="167">
        <v>3.0015689492023281</v>
      </c>
      <c r="H296" s="168">
        <v>241.02075594435803</v>
      </c>
      <c r="I296" s="169">
        <v>60.990108542478644</v>
      </c>
      <c r="J296">
        <v>240.99010854247865</v>
      </c>
      <c r="K296">
        <v>61.020755944358029</v>
      </c>
      <c r="L296" t="s">
        <v>303</v>
      </c>
    </row>
    <row r="297" spans="1:12">
      <c r="A297" s="164" t="s">
        <v>265</v>
      </c>
      <c r="B297">
        <v>38.890621000000003</v>
      </c>
      <c r="C297">
        <v>-77.00510154468833</v>
      </c>
      <c r="D297" s="165" t="s">
        <v>194</v>
      </c>
      <c r="E297">
        <v>38.86885600238287</v>
      </c>
      <c r="F297">
        <v>-77.055557387053852</v>
      </c>
      <c r="G297" s="167">
        <v>3.102063606784073</v>
      </c>
      <c r="H297" s="168">
        <v>241.02389128209427</v>
      </c>
      <c r="I297" s="169">
        <v>60.992220763166266</v>
      </c>
      <c r="J297">
        <v>240.99222076316627</v>
      </c>
      <c r="K297">
        <v>61.023891282094269</v>
      </c>
      <c r="L297" t="s">
        <v>303</v>
      </c>
    </row>
    <row r="298" spans="1:12">
      <c r="A298" s="164" t="s">
        <v>41</v>
      </c>
      <c r="B298">
        <v>38.94312493001874</v>
      </c>
      <c r="C298">
        <v>-77.019266706492502</v>
      </c>
      <c r="D298" s="165" t="s">
        <v>34</v>
      </c>
      <c r="E298">
        <v>38.903018005263867</v>
      </c>
      <c r="F298">
        <v>-77.112368203032503</v>
      </c>
      <c r="G298" s="167">
        <v>5.7194706287243609</v>
      </c>
      <c r="H298" s="168">
        <v>241.05516864976019</v>
      </c>
      <c r="I298" s="169">
        <v>60.996675166770288</v>
      </c>
      <c r="J298">
        <v>240.99667516677027</v>
      </c>
      <c r="K298">
        <v>61.055168649760162</v>
      </c>
      <c r="L298" t="s">
        <v>303</v>
      </c>
    </row>
    <row r="299" spans="1:12">
      <c r="A299" s="164" t="s">
        <v>62</v>
      </c>
      <c r="B299">
        <v>38.892755432872512</v>
      </c>
      <c r="C299">
        <v>-77.051434507806491</v>
      </c>
      <c r="D299" s="165" t="s">
        <v>42</v>
      </c>
      <c r="E299">
        <v>38.978006730836938</v>
      </c>
      <c r="F299">
        <v>-77.034071474795397</v>
      </c>
      <c r="G299" s="167">
        <v>5.9626173674776037</v>
      </c>
      <c r="H299" s="168">
        <v>8.9968048619748195</v>
      </c>
      <c r="I299" s="169">
        <v>189.00771655055536</v>
      </c>
      <c r="J299">
        <v>9.007716550555358</v>
      </c>
      <c r="K299">
        <v>188.99680486197482</v>
      </c>
      <c r="L299" t="s">
        <v>154</v>
      </c>
    </row>
    <row r="300" spans="1:12">
      <c r="A300" s="164" t="s">
        <v>62</v>
      </c>
      <c r="B300">
        <v>38.892755432872512</v>
      </c>
      <c r="C300">
        <v>-77.051434507806491</v>
      </c>
      <c r="D300" s="165" t="s">
        <v>76</v>
      </c>
      <c r="E300">
        <v>38.872804095441928</v>
      </c>
      <c r="F300">
        <v>-76.940197367335742</v>
      </c>
      <c r="G300" s="167">
        <v>6.1384121100638716</v>
      </c>
      <c r="H300" s="168">
        <v>102.94016415274423</v>
      </c>
      <c r="I300" s="169">
        <v>283.00999096033377</v>
      </c>
      <c r="J300">
        <v>103.00999096033377</v>
      </c>
      <c r="K300">
        <v>282.94016415274422</v>
      </c>
      <c r="L300" t="s">
        <v>154</v>
      </c>
    </row>
    <row r="301" spans="1:12">
      <c r="A301" s="164" t="s">
        <v>121</v>
      </c>
      <c r="B301">
        <v>38.735159000000003</v>
      </c>
      <c r="C301">
        <v>-77.011513956660835</v>
      </c>
      <c r="D301" s="165" t="s">
        <v>76</v>
      </c>
      <c r="E301">
        <v>38.872804095441928</v>
      </c>
      <c r="F301">
        <v>-76.940197367335742</v>
      </c>
      <c r="G301" s="167">
        <v>10.254369914074998</v>
      </c>
      <c r="H301" s="168">
        <v>21.964918412068986</v>
      </c>
      <c r="I301" s="169">
        <v>202.00960955668771</v>
      </c>
      <c r="J301">
        <v>22.009609556687678</v>
      </c>
      <c r="K301">
        <v>201.96491841206898</v>
      </c>
      <c r="L301" t="s">
        <v>154</v>
      </c>
    </row>
    <row r="302" spans="1:12">
      <c r="A302" s="164" t="s">
        <v>121</v>
      </c>
      <c r="B302">
        <v>38.735159000000003</v>
      </c>
      <c r="C302">
        <v>-77.011513956660835</v>
      </c>
      <c r="D302" s="165" t="s">
        <v>35</v>
      </c>
      <c r="E302">
        <v>38.886867190107317</v>
      </c>
      <c r="F302">
        <v>-76.916665420155027</v>
      </c>
      <c r="G302" s="167">
        <v>11.657505955644774</v>
      </c>
      <c r="H302" s="168">
        <v>25.944231215110968</v>
      </c>
      <c r="I302" s="169">
        <v>206.00367793716549</v>
      </c>
      <c r="J302">
        <v>26.003677937165492</v>
      </c>
      <c r="K302">
        <v>205.94423121511096</v>
      </c>
      <c r="L302" t="s">
        <v>154</v>
      </c>
    </row>
    <row r="303" spans="1:12">
      <c r="A303" s="164" t="s">
        <v>121</v>
      </c>
      <c r="B303">
        <v>38.735159000000003</v>
      </c>
      <c r="C303">
        <v>-77.011513956660835</v>
      </c>
      <c r="D303" s="165" t="s">
        <v>68</v>
      </c>
      <c r="E303">
        <v>38.934493099999983</v>
      </c>
      <c r="F303">
        <v>-77.119915899999995</v>
      </c>
      <c r="G303" s="167">
        <v>14.954572264466343</v>
      </c>
      <c r="H303" s="168">
        <v>337.075841223591</v>
      </c>
      <c r="I303" s="169">
        <v>157.00786469965919</v>
      </c>
      <c r="J303">
        <v>337.00786469965919</v>
      </c>
      <c r="K303">
        <v>157.07584122359094</v>
      </c>
      <c r="L303" t="s">
        <v>154</v>
      </c>
    </row>
    <row r="304" spans="1:12">
      <c r="A304" s="164" t="s">
        <v>255</v>
      </c>
      <c r="B304">
        <v>38.807607597722587</v>
      </c>
      <c r="C304">
        <v>-77.066066557763804</v>
      </c>
      <c r="D304" s="165" t="s">
        <v>78</v>
      </c>
      <c r="E304">
        <v>38.810462075372001</v>
      </c>
      <c r="F304">
        <v>-76.996648178397948</v>
      </c>
      <c r="G304" s="167">
        <v>3.7419864268871956</v>
      </c>
      <c r="H304" s="168">
        <v>86.957590147729704</v>
      </c>
      <c r="I304" s="169">
        <v>267.00109650248123</v>
      </c>
      <c r="J304">
        <v>87.001096502481232</v>
      </c>
      <c r="K304">
        <v>266.95759014772972</v>
      </c>
      <c r="L304" t="s">
        <v>154</v>
      </c>
    </row>
    <row r="305" spans="1:12">
      <c r="A305" s="164" t="s">
        <v>170</v>
      </c>
      <c r="B305">
        <v>38.808593670098077</v>
      </c>
      <c r="C305">
        <v>-77.067282222571677</v>
      </c>
      <c r="D305" s="165" t="s">
        <v>116</v>
      </c>
      <c r="E305">
        <v>38.8580454440363</v>
      </c>
      <c r="F305">
        <v>-77.078464399477767</v>
      </c>
      <c r="G305" s="167">
        <v>3.4687257770844258</v>
      </c>
      <c r="H305" s="168">
        <v>350.01369004461958</v>
      </c>
      <c r="I305" s="169">
        <v>170.00667818256102</v>
      </c>
      <c r="J305">
        <v>350.00667818256102</v>
      </c>
      <c r="K305">
        <v>170.01369004461958</v>
      </c>
      <c r="L305" t="s">
        <v>154</v>
      </c>
    </row>
    <row r="306" spans="1:12">
      <c r="A306" s="164" t="s">
        <v>171</v>
      </c>
      <c r="B306">
        <v>38.806817394919563</v>
      </c>
      <c r="C306">
        <v>-77.067484029795025</v>
      </c>
      <c r="D306" s="165" t="s">
        <v>8</v>
      </c>
      <c r="E306">
        <v>38.889816848715718</v>
      </c>
      <c r="F306">
        <v>-77.008442240897836</v>
      </c>
      <c r="G306" s="167">
        <v>6.5547106069017955</v>
      </c>
      <c r="H306" s="168">
        <v>28.968254354249147</v>
      </c>
      <c r="I306" s="169">
        <v>209.00528896560741</v>
      </c>
      <c r="J306">
        <v>29.005288965607406</v>
      </c>
      <c r="K306">
        <v>208.96825435424915</v>
      </c>
      <c r="L306" t="s">
        <v>154</v>
      </c>
    </row>
    <row r="307" spans="1:12">
      <c r="A307" s="164" t="s">
        <v>171</v>
      </c>
      <c r="B307">
        <v>38.806817394919563</v>
      </c>
      <c r="C307">
        <v>-77.067484029795025</v>
      </c>
      <c r="D307" s="165" t="s">
        <v>17</v>
      </c>
      <c r="E307">
        <v>38.939237314230454</v>
      </c>
      <c r="F307">
        <v>-77.088340704127447</v>
      </c>
      <c r="G307" s="167">
        <v>9.2161021655125808</v>
      </c>
      <c r="H307" s="168">
        <v>353.01566262883767</v>
      </c>
      <c r="I307" s="169">
        <v>173.00257304166993</v>
      </c>
      <c r="J307">
        <v>353.00257304166996</v>
      </c>
      <c r="K307">
        <v>173.01566262883762</v>
      </c>
      <c r="L307" t="s">
        <v>154</v>
      </c>
    </row>
    <row r="308" spans="1:12">
      <c r="A308" s="164" t="s">
        <v>71</v>
      </c>
      <c r="B308">
        <v>38.889484000000003</v>
      </c>
      <c r="C308">
        <v>-77.035278000000005</v>
      </c>
      <c r="D308" s="165" t="s">
        <v>26</v>
      </c>
      <c r="E308">
        <v>38.920660773128958</v>
      </c>
      <c r="F308">
        <v>-77.079750995205373</v>
      </c>
      <c r="G308" s="167">
        <v>3.2177757227117385</v>
      </c>
      <c r="H308" s="168">
        <v>312.02794157410199</v>
      </c>
      <c r="I308" s="169">
        <v>132.00001111018562</v>
      </c>
      <c r="J308">
        <v>312.0000111101856</v>
      </c>
      <c r="K308">
        <v>132.02794157410199</v>
      </c>
      <c r="L308" t="s">
        <v>154</v>
      </c>
    </row>
    <row r="309" spans="1:12">
      <c r="A309" s="164" t="s">
        <v>63</v>
      </c>
      <c r="B309">
        <v>38.895136600000001</v>
      </c>
      <c r="C309">
        <v>-77.051444000000004</v>
      </c>
      <c r="D309" s="165" t="s">
        <v>173</v>
      </c>
      <c r="E309">
        <v>38.988765681572232</v>
      </c>
      <c r="F309">
        <v>-77.16354886186852</v>
      </c>
      <c r="G309" s="167">
        <v>8.8382260494419889</v>
      </c>
      <c r="H309" s="168">
        <v>317.07362286349735</v>
      </c>
      <c r="I309" s="169">
        <v>137.0031612540084</v>
      </c>
      <c r="J309">
        <v>317.00316125400843</v>
      </c>
      <c r="K309">
        <v>137.07362286349735</v>
      </c>
      <c r="L309" t="s">
        <v>154</v>
      </c>
    </row>
    <row r="310" spans="1:12">
      <c r="A310" s="164" t="s">
        <v>174</v>
      </c>
      <c r="B310">
        <v>38.921544640505182</v>
      </c>
      <c r="C310">
        <v>-77.067051280524325</v>
      </c>
      <c r="D310" s="165" t="s">
        <v>90</v>
      </c>
      <c r="E310">
        <v>38.876142130269038</v>
      </c>
      <c r="F310">
        <v>-77.112656342468085</v>
      </c>
      <c r="G310" s="167">
        <v>3.9810170532811959</v>
      </c>
      <c r="H310" s="168">
        <v>218.03004997250122</v>
      </c>
      <c r="I310" s="169">
        <v>38.001412391664893</v>
      </c>
      <c r="J310">
        <v>218.0014123916649</v>
      </c>
      <c r="K310">
        <v>38.030049972501217</v>
      </c>
      <c r="L310" t="s">
        <v>154</v>
      </c>
    </row>
    <row r="311" spans="1:12">
      <c r="A311" s="164" t="s">
        <v>174</v>
      </c>
      <c r="B311">
        <v>38.921544640505182</v>
      </c>
      <c r="C311">
        <v>-77.067051280524325</v>
      </c>
      <c r="D311" s="165" t="s">
        <v>108</v>
      </c>
      <c r="E311">
        <v>38.889795721566593</v>
      </c>
      <c r="F311">
        <v>-76.990256830609582</v>
      </c>
      <c r="G311" s="167">
        <v>4.6746626734947583</v>
      </c>
      <c r="H311" s="168">
        <v>117.95642374695269</v>
      </c>
      <c r="I311" s="169">
        <v>298.00465374503801</v>
      </c>
      <c r="J311">
        <v>118.00465374503801</v>
      </c>
      <c r="K311">
        <v>297.95642374695268</v>
      </c>
      <c r="L311" t="s">
        <v>154</v>
      </c>
    </row>
    <row r="312" spans="1:12">
      <c r="A312" s="164" t="s">
        <v>174</v>
      </c>
      <c r="B312">
        <v>38.921544640505182</v>
      </c>
      <c r="C312">
        <v>-77.067051280524325</v>
      </c>
      <c r="D312" s="165" t="s">
        <v>64</v>
      </c>
      <c r="E312">
        <v>38.855138000000018</v>
      </c>
      <c r="F312">
        <v>-77.023560400000008</v>
      </c>
      <c r="G312" s="167">
        <v>5.1490431591983761</v>
      </c>
      <c r="H312" s="168">
        <v>152.97527559927244</v>
      </c>
      <c r="I312" s="169">
        <v>333.00257938323921</v>
      </c>
      <c r="J312">
        <v>153.00257938323921</v>
      </c>
      <c r="K312">
        <v>332.97527559927244</v>
      </c>
      <c r="L312" t="s">
        <v>154</v>
      </c>
    </row>
    <row r="313" spans="1:12">
      <c r="A313" s="164" t="s">
        <v>196</v>
      </c>
      <c r="B313">
        <v>38.888169036259093</v>
      </c>
      <c r="C313">
        <v>-77.051451527226078</v>
      </c>
      <c r="D313" s="165" t="s">
        <v>199</v>
      </c>
      <c r="E313">
        <v>38.901242008335643</v>
      </c>
      <c r="F313">
        <v>-77.085863354657533</v>
      </c>
      <c r="G313" s="167">
        <v>2.0587955237315576</v>
      </c>
      <c r="H313" s="168">
        <v>296.02833149006284</v>
      </c>
      <c r="I313" s="169">
        <v>116.00672460794978</v>
      </c>
      <c r="J313">
        <v>296.00672460794976</v>
      </c>
      <c r="K313">
        <v>116.02833149006284</v>
      </c>
      <c r="L313" t="s">
        <v>154</v>
      </c>
    </row>
    <row r="314" spans="1:12">
      <c r="A314" s="164" t="s">
        <v>67</v>
      </c>
      <c r="B314">
        <v>38.897788758778049</v>
      </c>
      <c r="C314">
        <v>-77.036569</v>
      </c>
      <c r="D314" s="165" t="s">
        <v>122</v>
      </c>
      <c r="E314">
        <v>38.899509095632219</v>
      </c>
      <c r="F314">
        <v>-77.057553372632484</v>
      </c>
      <c r="G314" s="167">
        <v>1.1344073438926725</v>
      </c>
      <c r="H314" s="168">
        <v>276.01995737399977</v>
      </c>
      <c r="I314" s="169">
        <v>96.006780348203847</v>
      </c>
      <c r="J314">
        <v>276.00678034820385</v>
      </c>
      <c r="K314">
        <v>96.019957373999773</v>
      </c>
      <c r="L314" t="s">
        <v>154</v>
      </c>
    </row>
    <row r="315" spans="1:12">
      <c r="A315" s="164" t="s">
        <v>67</v>
      </c>
      <c r="B315">
        <v>38.897788758778049</v>
      </c>
      <c r="C315">
        <v>-77.036569</v>
      </c>
      <c r="D315" s="165" t="s">
        <v>178</v>
      </c>
      <c r="E315">
        <v>38.77367519361357</v>
      </c>
      <c r="F315">
        <v>-76.972158414322777</v>
      </c>
      <c r="G315" s="167">
        <v>9.2478270045287161</v>
      </c>
      <c r="H315" s="168">
        <v>157.96896515063159</v>
      </c>
      <c r="I315" s="169">
        <v>338.00935639280357</v>
      </c>
      <c r="J315">
        <v>158.00935639280351</v>
      </c>
      <c r="K315">
        <v>337.96896515063156</v>
      </c>
      <c r="L315" t="s">
        <v>154</v>
      </c>
    </row>
    <row r="316" spans="1:12">
      <c r="A316" s="164" t="s">
        <v>177</v>
      </c>
      <c r="B316">
        <v>38.895976636393023</v>
      </c>
      <c r="C316">
        <v>-77.034311337037963</v>
      </c>
      <c r="D316" s="165" t="s">
        <v>141</v>
      </c>
      <c r="E316">
        <v>38.902528221297217</v>
      </c>
      <c r="F316">
        <v>-77.050139297471702</v>
      </c>
      <c r="G316" s="167">
        <v>0.96380927285297358</v>
      </c>
      <c r="H316" s="168">
        <v>298.01192482717443</v>
      </c>
      <c r="I316" s="169">
        <v>118.00198561340285</v>
      </c>
      <c r="J316">
        <v>298.00198561340284</v>
      </c>
      <c r="K316">
        <v>118.01192482717443</v>
      </c>
      <c r="L316" t="s">
        <v>154</v>
      </c>
    </row>
    <row r="317" spans="1:12">
      <c r="A317" s="164" t="s">
        <v>177</v>
      </c>
      <c r="B317">
        <v>38.895976636393023</v>
      </c>
      <c r="C317">
        <v>-77.034311337037963</v>
      </c>
      <c r="D317" s="165" t="s">
        <v>16</v>
      </c>
      <c r="E317">
        <v>38.912268638824223</v>
      </c>
      <c r="F317">
        <v>-77.124748759002642</v>
      </c>
      <c r="G317" s="167">
        <v>4.9903031719676791</v>
      </c>
      <c r="H317" s="168">
        <v>283.06233016559645</v>
      </c>
      <c r="I317" s="169">
        <v>103.00553373374719</v>
      </c>
      <c r="J317">
        <v>283.0055337337472</v>
      </c>
      <c r="K317">
        <v>103.06233016559645</v>
      </c>
      <c r="L317" t="s">
        <v>154</v>
      </c>
    </row>
    <row r="318" spans="1:12">
      <c r="A318" s="164" t="s">
        <v>84</v>
      </c>
      <c r="B318">
        <v>38.889800999999999</v>
      </c>
      <c r="C318">
        <v>-77.009226999999996</v>
      </c>
      <c r="D318" s="165" t="s">
        <v>113</v>
      </c>
      <c r="E318">
        <v>38.872735563752023</v>
      </c>
      <c r="F318">
        <v>-77.056284741966763</v>
      </c>
      <c r="G318" s="167">
        <v>2.7916701447055488</v>
      </c>
      <c r="H318" s="168">
        <v>245.03578883404856</v>
      </c>
      <c r="I318" s="169">
        <v>65.006250283721982</v>
      </c>
      <c r="J318">
        <v>245.00625028372198</v>
      </c>
      <c r="K318">
        <v>65.03578883404856</v>
      </c>
      <c r="L318" t="s">
        <v>154</v>
      </c>
    </row>
    <row r="319" spans="1:12">
      <c r="A319" s="164" t="s">
        <v>84</v>
      </c>
      <c r="B319">
        <v>38.889800999999999</v>
      </c>
      <c r="C319">
        <v>-77.009226999999996</v>
      </c>
      <c r="D319" s="165" t="s">
        <v>128</v>
      </c>
      <c r="E319">
        <v>39.005339472519637</v>
      </c>
      <c r="F319">
        <v>-77.038062048737274</v>
      </c>
      <c r="G319" s="167">
        <v>8.1303668367787036</v>
      </c>
      <c r="H319" s="168">
        <v>349.02471910464038</v>
      </c>
      <c r="I319" s="169">
        <v>169.00659312452936</v>
      </c>
      <c r="J319">
        <v>349.00659312452933</v>
      </c>
      <c r="K319">
        <v>169.02471910464033</v>
      </c>
      <c r="L319" t="s">
        <v>154</v>
      </c>
    </row>
    <row r="320" spans="1:12">
      <c r="A320" s="164" t="s">
        <v>84</v>
      </c>
      <c r="B320">
        <v>38.889800999999999</v>
      </c>
      <c r="C320">
        <v>-77.009226999999996</v>
      </c>
      <c r="D320" s="165" t="s">
        <v>159</v>
      </c>
      <c r="E320">
        <v>38.785226169416099</v>
      </c>
      <c r="F320">
        <v>-77.040251901847796</v>
      </c>
      <c r="G320" s="167">
        <v>7.414424813736634</v>
      </c>
      <c r="H320" s="168">
        <v>193.02177061636624</v>
      </c>
      <c r="I320" s="169">
        <v>13.002314459624108</v>
      </c>
      <c r="J320">
        <v>193.0023144596241</v>
      </c>
      <c r="K320">
        <v>13.021770616366211</v>
      </c>
      <c r="L320" t="s">
        <v>154</v>
      </c>
    </row>
    <row r="321" spans="1:12">
      <c r="A321" s="164" t="s">
        <v>182</v>
      </c>
      <c r="B321">
        <v>38.888814177374293</v>
      </c>
      <c r="C321">
        <v>-77.008603272094433</v>
      </c>
      <c r="D321" s="165" t="s">
        <v>40</v>
      </c>
      <c r="E321">
        <v>38.861737201739359</v>
      </c>
      <c r="F321">
        <v>-76.955024258010965</v>
      </c>
      <c r="G321" s="167">
        <v>3.4353423153096259</v>
      </c>
      <c r="H321" s="168">
        <v>122.97243529870558</v>
      </c>
      <c r="I321" s="169">
        <v>303.00606294617575</v>
      </c>
      <c r="J321">
        <v>123.00606294617575</v>
      </c>
      <c r="K321">
        <v>302.97243529870559</v>
      </c>
      <c r="L321" t="s">
        <v>154</v>
      </c>
    </row>
    <row r="322" spans="1:12">
      <c r="A322" s="164" t="s">
        <v>8</v>
      </c>
      <c r="B322">
        <v>38.889816848715718</v>
      </c>
      <c r="C322">
        <v>-77.008442240897836</v>
      </c>
      <c r="D322" s="165" t="s">
        <v>138</v>
      </c>
      <c r="E322">
        <v>38.900171643902958</v>
      </c>
      <c r="F322">
        <v>-77.070876040084556</v>
      </c>
      <c r="G322" s="167">
        <v>3.432117587522157</v>
      </c>
      <c r="H322" s="168">
        <v>282.04918234477918</v>
      </c>
      <c r="I322" s="169">
        <v>102.00998046802079</v>
      </c>
      <c r="J322">
        <v>282.00998046802079</v>
      </c>
      <c r="K322">
        <v>102.04918234477918</v>
      </c>
      <c r="L322" t="s">
        <v>154</v>
      </c>
    </row>
    <row r="323" spans="1:12">
      <c r="A323" s="164" t="s">
        <v>175</v>
      </c>
      <c r="B323">
        <v>38.890643961669717</v>
      </c>
      <c r="C323">
        <v>-77.012352075974064</v>
      </c>
      <c r="D323" s="165" t="s">
        <v>34</v>
      </c>
      <c r="E323">
        <v>38.903018005263867</v>
      </c>
      <c r="F323">
        <v>-77.112368203032503</v>
      </c>
      <c r="G323" s="167">
        <v>5.4447392380275481</v>
      </c>
      <c r="H323" s="168">
        <v>279.06395608219697</v>
      </c>
      <c r="I323" s="169">
        <v>99.001153944443857</v>
      </c>
      <c r="J323">
        <v>279.00115394444384</v>
      </c>
      <c r="K323">
        <v>99.063956082196967</v>
      </c>
      <c r="L323" t="s">
        <v>154</v>
      </c>
    </row>
    <row r="324" spans="1:12">
      <c r="A324" s="164" t="s">
        <v>179</v>
      </c>
      <c r="B324">
        <v>38.889749178901553</v>
      </c>
      <c r="C324">
        <v>-77.013609953486323</v>
      </c>
      <c r="D324" s="165" t="s">
        <v>53</v>
      </c>
      <c r="E324">
        <v>38.865733641110857</v>
      </c>
      <c r="F324">
        <v>-76.967852704156869</v>
      </c>
      <c r="G324" s="167">
        <v>2.9677390225282423</v>
      </c>
      <c r="H324" s="168">
        <v>123.97301466288697</v>
      </c>
      <c r="I324" s="169">
        <v>304.00173469039669</v>
      </c>
      <c r="J324">
        <v>124.00173469039669</v>
      </c>
      <c r="K324">
        <v>303.97301466288695</v>
      </c>
      <c r="L324" t="s">
        <v>154</v>
      </c>
    </row>
    <row r="325" spans="1:12">
      <c r="A325" s="164" t="s">
        <v>179</v>
      </c>
      <c r="B325">
        <v>38.889749178901553</v>
      </c>
      <c r="C325">
        <v>-77.013609953486323</v>
      </c>
      <c r="D325" s="165" t="s">
        <v>94</v>
      </c>
      <c r="E325">
        <v>38.909631706139457</v>
      </c>
      <c r="F325">
        <v>-77.029568629434891</v>
      </c>
      <c r="G325" s="167">
        <v>1.6194332707762826</v>
      </c>
      <c r="H325" s="168">
        <v>328.01371059593237</v>
      </c>
      <c r="I325" s="169">
        <v>148.00368920389946</v>
      </c>
      <c r="J325">
        <v>328.00368920389946</v>
      </c>
      <c r="K325">
        <v>148.01371059593237</v>
      </c>
      <c r="L325" t="s">
        <v>154</v>
      </c>
    </row>
    <row r="326" spans="1:12">
      <c r="A326" s="164" t="s">
        <v>181</v>
      </c>
      <c r="B326">
        <v>38.889811160074281</v>
      </c>
      <c r="C326">
        <v>-77.010120176650872</v>
      </c>
      <c r="D326" s="165" t="s">
        <v>136</v>
      </c>
      <c r="E326">
        <v>38.89317136999999</v>
      </c>
      <c r="F326">
        <v>-77.040786249999996</v>
      </c>
      <c r="G326" s="167">
        <v>1.6650995924716316</v>
      </c>
      <c r="H326" s="168">
        <v>278.02306283257883</v>
      </c>
      <c r="I326" s="169">
        <v>98.00380921550331</v>
      </c>
      <c r="J326">
        <v>278.00380921550334</v>
      </c>
      <c r="K326">
        <v>98.02306283257883</v>
      </c>
      <c r="L326" t="s">
        <v>154</v>
      </c>
    </row>
    <row r="327" spans="1:12">
      <c r="A327" s="164" t="s">
        <v>181</v>
      </c>
      <c r="B327">
        <v>38.889811160074281</v>
      </c>
      <c r="C327">
        <v>-77.010120176650872</v>
      </c>
      <c r="D327" s="165" t="s">
        <v>58</v>
      </c>
      <c r="E327">
        <v>38.958786981015983</v>
      </c>
      <c r="F327">
        <v>-77.051421167473492</v>
      </c>
      <c r="G327" s="167">
        <v>5.2564843110228594</v>
      </c>
      <c r="H327" s="168">
        <v>335.03531665394007</v>
      </c>
      <c r="I327" s="169">
        <v>155.00936752293748</v>
      </c>
      <c r="J327">
        <v>335.00936752293751</v>
      </c>
      <c r="K327">
        <v>155.03531665394007</v>
      </c>
      <c r="L327" t="s">
        <v>154</v>
      </c>
    </row>
    <row r="328" spans="1:12">
      <c r="A328" s="164" t="s">
        <v>251</v>
      </c>
      <c r="B328">
        <v>38.888685784961083</v>
      </c>
      <c r="C328">
        <v>-77.004678711651678</v>
      </c>
      <c r="D328" s="165" t="s">
        <v>47</v>
      </c>
      <c r="E328">
        <v>38.924871835602019</v>
      </c>
      <c r="F328">
        <v>-77.018002710089107</v>
      </c>
      <c r="G328" s="167">
        <v>2.6003254749673004</v>
      </c>
      <c r="H328" s="168">
        <v>344.0156878902784</v>
      </c>
      <c r="I328" s="169">
        <v>164.00731968427792</v>
      </c>
      <c r="J328">
        <v>344.00731968427795</v>
      </c>
      <c r="K328">
        <v>164.0156878902784</v>
      </c>
      <c r="L328" t="s">
        <v>154</v>
      </c>
    </row>
    <row r="329" spans="1:12">
      <c r="A329" s="164" t="s">
        <v>183</v>
      </c>
      <c r="B329">
        <v>38.890779794768029</v>
      </c>
      <c r="C329">
        <v>-77.007267880658404</v>
      </c>
      <c r="D329" s="165" t="s">
        <v>77</v>
      </c>
      <c r="E329">
        <v>38.921883328355477</v>
      </c>
      <c r="F329">
        <v>-77.089117288265243</v>
      </c>
      <c r="G329" s="167">
        <v>4.8965268202291643</v>
      </c>
      <c r="H329" s="168">
        <v>296.0535623719806</v>
      </c>
      <c r="I329" s="169">
        <v>116.00215692170677</v>
      </c>
      <c r="J329">
        <v>296.00215692170678</v>
      </c>
      <c r="K329">
        <v>116.0535623719806</v>
      </c>
      <c r="L329" t="s">
        <v>154</v>
      </c>
    </row>
    <row r="330" spans="1:12">
      <c r="A330" s="164" t="s">
        <v>183</v>
      </c>
      <c r="B330">
        <v>38.890779794768029</v>
      </c>
      <c r="C330">
        <v>-77.007267880658404</v>
      </c>
      <c r="D330" s="165" t="s">
        <v>152</v>
      </c>
      <c r="E330">
        <v>38.791643602585658</v>
      </c>
      <c r="F330">
        <v>-77.039028157210851</v>
      </c>
      <c r="G330" s="167">
        <v>7.0583320221874395</v>
      </c>
      <c r="H330" s="168">
        <v>194.02097383536378</v>
      </c>
      <c r="I330" s="169">
        <v>14.001054918805204</v>
      </c>
      <c r="J330">
        <v>194.00105491880521</v>
      </c>
      <c r="K330">
        <v>14.020973835363748</v>
      </c>
      <c r="L330" t="s">
        <v>154</v>
      </c>
    </row>
    <row r="331" spans="1:12">
      <c r="A331" s="164" t="s">
        <v>265</v>
      </c>
      <c r="B331">
        <v>38.890621000000003</v>
      </c>
      <c r="C331">
        <v>-77.00510154468833</v>
      </c>
      <c r="D331" s="165" t="s">
        <v>140</v>
      </c>
      <c r="E331">
        <v>38.908639308729029</v>
      </c>
      <c r="F331">
        <v>-76.975468342699315</v>
      </c>
      <c r="G331" s="167">
        <v>2.0217162686817014</v>
      </c>
      <c r="H331" s="168">
        <v>51.990181925883846</v>
      </c>
      <c r="I331" s="169">
        <v>232.00879033363088</v>
      </c>
      <c r="J331">
        <v>52.008790333630884</v>
      </c>
      <c r="K331">
        <v>231.99018192588386</v>
      </c>
      <c r="L331" t="s">
        <v>154</v>
      </c>
    </row>
    <row r="332" spans="1:12">
      <c r="A332" s="164" t="s">
        <v>258</v>
      </c>
      <c r="B332">
        <v>38.890621000000003</v>
      </c>
      <c r="C332">
        <v>-77.004421885776182</v>
      </c>
      <c r="D332" s="165" t="s">
        <v>162</v>
      </c>
      <c r="E332">
        <v>38.863742890040719</v>
      </c>
      <c r="F332">
        <v>-77.04279029496989</v>
      </c>
      <c r="G332" s="167">
        <v>2.7758030461204592</v>
      </c>
      <c r="H332" s="168">
        <v>228.02957823586408</v>
      </c>
      <c r="I332" s="169">
        <v>48.005496184747578</v>
      </c>
      <c r="J332">
        <v>228.00549618474759</v>
      </c>
      <c r="K332">
        <v>48.029578235864051</v>
      </c>
      <c r="L332" t="s">
        <v>154</v>
      </c>
    </row>
    <row r="333" spans="1:12">
      <c r="A333" s="164" t="s">
        <v>134</v>
      </c>
      <c r="B333">
        <v>38.892786699999967</v>
      </c>
      <c r="C333">
        <v>-77.040679699999998</v>
      </c>
      <c r="D333" s="165" t="s">
        <v>193</v>
      </c>
      <c r="E333">
        <v>38.967911031638792</v>
      </c>
      <c r="F333">
        <v>-77.068345449756862</v>
      </c>
      <c r="G333" s="167">
        <v>5.3983543523221167</v>
      </c>
      <c r="H333" s="168">
        <v>344.02284332633269</v>
      </c>
      <c r="I333" s="169">
        <v>164.00545885148563</v>
      </c>
      <c r="J333">
        <v>344.00545885148563</v>
      </c>
      <c r="K333">
        <v>164.02284332633269</v>
      </c>
      <c r="L333" t="s">
        <v>154</v>
      </c>
    </row>
    <row r="334" spans="1:12">
      <c r="A334" s="164" t="s">
        <v>135</v>
      </c>
      <c r="B334">
        <v>38.893596140000007</v>
      </c>
      <c r="C334">
        <v>-77.040985579999997</v>
      </c>
      <c r="D334" s="165" t="s">
        <v>193</v>
      </c>
      <c r="E334">
        <v>38.967911031638792</v>
      </c>
      <c r="F334">
        <v>-77.068345449756862</v>
      </c>
      <c r="G334" s="167">
        <v>5.3400712668824051</v>
      </c>
      <c r="H334" s="168">
        <v>344.02715206485664</v>
      </c>
      <c r="I334" s="169">
        <v>164.00995964720161</v>
      </c>
      <c r="J334">
        <v>344.00995964720164</v>
      </c>
      <c r="K334">
        <v>164.02715206485664</v>
      </c>
      <c r="L334" t="s">
        <v>154</v>
      </c>
    </row>
    <row r="335" spans="1:12">
      <c r="A335" s="164" t="s">
        <v>136</v>
      </c>
      <c r="B335">
        <v>38.89317136999999</v>
      </c>
      <c r="C335">
        <v>-77.040786249999996</v>
      </c>
      <c r="D335" s="165" t="s">
        <v>34</v>
      </c>
      <c r="E335">
        <v>38.903018005263867</v>
      </c>
      <c r="F335">
        <v>-77.112368203032503</v>
      </c>
      <c r="G335" s="167">
        <v>3.9080811950257521</v>
      </c>
      <c r="H335" s="168">
        <v>280.04593098844742</v>
      </c>
      <c r="I335" s="169">
        <v>100.00098201518597</v>
      </c>
      <c r="J335">
        <v>280.00098201518597</v>
      </c>
      <c r="K335">
        <v>100.04593098844742</v>
      </c>
      <c r="L335" t="s">
        <v>154</v>
      </c>
    </row>
    <row r="336" spans="1:12">
      <c r="A336" s="164" t="s">
        <v>82</v>
      </c>
      <c r="B336">
        <v>38.892860499999969</v>
      </c>
      <c r="C336">
        <v>-76.909165529999996</v>
      </c>
      <c r="D336" s="165" t="s">
        <v>109</v>
      </c>
      <c r="E336">
        <v>38.872552231854002</v>
      </c>
      <c r="F336">
        <v>-77.057900286673885</v>
      </c>
      <c r="G336" s="167">
        <v>8.1202008890548587</v>
      </c>
      <c r="H336" s="168">
        <v>260.09798699926716</v>
      </c>
      <c r="I336" s="169">
        <v>80.004621975171602</v>
      </c>
      <c r="J336">
        <v>260.00462197517163</v>
      </c>
      <c r="K336">
        <v>80.097986999267164</v>
      </c>
      <c r="L336" t="s">
        <v>154</v>
      </c>
    </row>
    <row r="337" spans="1:12">
      <c r="A337" s="164" t="s">
        <v>82</v>
      </c>
      <c r="B337">
        <v>38.892860499999969</v>
      </c>
      <c r="C337">
        <v>-76.909165529999996</v>
      </c>
      <c r="D337" s="165" t="s">
        <v>64</v>
      </c>
      <c r="E337">
        <v>38.855138000000018</v>
      </c>
      <c r="F337">
        <v>-77.023560400000008</v>
      </c>
      <c r="G337" s="167">
        <v>6.681373743664702</v>
      </c>
      <c r="H337" s="168">
        <v>247.08010866840681</v>
      </c>
      <c r="I337" s="169">
        <v>67.008313305458771</v>
      </c>
      <c r="J337">
        <v>247.00831330545878</v>
      </c>
      <c r="K337">
        <v>67.080108668406808</v>
      </c>
      <c r="L337" t="s">
        <v>154</v>
      </c>
    </row>
    <row r="338" spans="1:12">
      <c r="A338" s="164" t="s">
        <v>82</v>
      </c>
      <c r="B338">
        <v>38.892860499999969</v>
      </c>
      <c r="C338">
        <v>-76.909165529999996</v>
      </c>
      <c r="D338" s="165" t="s">
        <v>12</v>
      </c>
      <c r="E338">
        <v>38.917382469465053</v>
      </c>
      <c r="F338">
        <v>-77.070410578532105</v>
      </c>
      <c r="G338" s="167">
        <v>8.8320649501280712</v>
      </c>
      <c r="H338" s="168">
        <v>281.10841291254775</v>
      </c>
      <c r="I338" s="169">
        <v>101.0071457194973</v>
      </c>
      <c r="J338">
        <v>281.00714571949732</v>
      </c>
      <c r="K338">
        <v>101.10841291254775</v>
      </c>
      <c r="L338" t="s">
        <v>154</v>
      </c>
    </row>
    <row r="339" spans="1:12">
      <c r="A339" s="164" t="s">
        <v>69</v>
      </c>
      <c r="B339">
        <v>38.995956509999992</v>
      </c>
      <c r="C339">
        <v>-77.040985579999997</v>
      </c>
      <c r="D339" s="165" t="s">
        <v>163</v>
      </c>
      <c r="E339">
        <v>38.889725240473808</v>
      </c>
      <c r="F339">
        <v>-76.91344596466341</v>
      </c>
      <c r="G339" s="167">
        <v>10.04043571254215</v>
      </c>
      <c r="H339" s="168">
        <v>136.92107944883466</v>
      </c>
      <c r="I339" s="169">
        <v>317.00124386348421</v>
      </c>
      <c r="J339">
        <v>137.00124386348421</v>
      </c>
      <c r="K339">
        <v>316.92107944883469</v>
      </c>
      <c r="L339" t="s">
        <v>154</v>
      </c>
    </row>
    <row r="340" spans="1:12">
      <c r="A340" s="164" t="s">
        <v>83</v>
      </c>
      <c r="B340">
        <v>38.893245129999983</v>
      </c>
      <c r="C340">
        <v>-77.172301140000016</v>
      </c>
      <c r="D340" s="165" t="s">
        <v>128</v>
      </c>
      <c r="E340">
        <v>39.005339472519637</v>
      </c>
      <c r="F340">
        <v>-77.038062048737274</v>
      </c>
      <c r="G340" s="167">
        <v>10.581689777613555</v>
      </c>
      <c r="H340" s="168">
        <v>42.921831324717836</v>
      </c>
      <c r="I340" s="169">
        <v>223.00621842489406</v>
      </c>
      <c r="J340">
        <v>43.006218424894087</v>
      </c>
      <c r="K340">
        <v>222.92183132471783</v>
      </c>
      <c r="L340" t="s">
        <v>154</v>
      </c>
    </row>
    <row r="341" spans="1:12">
      <c r="A341" s="164" t="s">
        <v>83</v>
      </c>
      <c r="B341">
        <v>38.893245129999983</v>
      </c>
      <c r="C341">
        <v>-77.172301140000016</v>
      </c>
      <c r="D341" s="165" t="s">
        <v>93</v>
      </c>
      <c r="E341">
        <v>39.262423017945139</v>
      </c>
      <c r="F341">
        <v>-77.393301271532664</v>
      </c>
      <c r="G341" s="167">
        <v>28.122055878913464</v>
      </c>
      <c r="H341" s="168">
        <v>335.14487727190397</v>
      </c>
      <c r="I341" s="169">
        <v>155.00556336925104</v>
      </c>
      <c r="J341">
        <v>335.00556336925104</v>
      </c>
      <c r="K341">
        <v>155.14487727190397</v>
      </c>
      <c r="L341" t="s">
        <v>154</v>
      </c>
    </row>
    <row r="342" spans="1:12">
      <c r="A342" s="164" t="s">
        <v>187</v>
      </c>
      <c r="B342">
        <v>38.893077925522043</v>
      </c>
      <c r="C342">
        <v>-77.04077541312266</v>
      </c>
      <c r="D342" s="165" t="s">
        <v>37</v>
      </c>
      <c r="E342">
        <v>38.935255546149442</v>
      </c>
      <c r="F342">
        <v>-76.988452843325106</v>
      </c>
      <c r="G342" s="167">
        <v>4.0495231806715859</v>
      </c>
      <c r="H342" s="168">
        <v>43.970282027418797</v>
      </c>
      <c r="I342" s="169">
        <v>224.003148739133</v>
      </c>
      <c r="J342">
        <v>44.003148739132996</v>
      </c>
      <c r="K342">
        <v>223.97028202741879</v>
      </c>
      <c r="L342" t="s">
        <v>154</v>
      </c>
    </row>
    <row r="343" spans="1:12">
      <c r="A343" s="164" t="s">
        <v>203</v>
      </c>
      <c r="B343">
        <v>38.872918166579353</v>
      </c>
      <c r="C343">
        <v>-77.054669457877239</v>
      </c>
      <c r="D343" s="165" t="s">
        <v>168</v>
      </c>
      <c r="E343">
        <v>38.904077195910197</v>
      </c>
      <c r="F343">
        <v>-77.081655757436437</v>
      </c>
      <c r="G343" s="167">
        <v>2.5958948475517629</v>
      </c>
      <c r="H343" s="168">
        <v>326.02329285870366</v>
      </c>
      <c r="I343" s="169">
        <v>146.00635067524451</v>
      </c>
      <c r="J343">
        <v>326.00635067524451</v>
      </c>
      <c r="K343">
        <v>146.02329285870366</v>
      </c>
      <c r="L343" t="s">
        <v>154</v>
      </c>
    </row>
    <row r="344" spans="1:12">
      <c r="A344" s="164" t="s">
        <v>109</v>
      </c>
      <c r="B344">
        <v>38.872552231854002</v>
      </c>
      <c r="C344">
        <v>-77.057900286673885</v>
      </c>
      <c r="D344" s="165" t="s">
        <v>129</v>
      </c>
      <c r="E344">
        <v>39.010042682733477</v>
      </c>
      <c r="F344">
        <v>-77.042440353879812</v>
      </c>
      <c r="G344" s="167">
        <v>9.5341129903553874</v>
      </c>
      <c r="H344" s="168">
        <v>4.9933769955543168</v>
      </c>
      <c r="I344" s="169">
        <v>185.00309393881642</v>
      </c>
      <c r="J344">
        <v>5.0030939388163915</v>
      </c>
      <c r="K344">
        <v>184.99337699555431</v>
      </c>
      <c r="L344" t="s">
        <v>154</v>
      </c>
    </row>
    <row r="345" spans="1:12">
      <c r="A345" s="164" t="s">
        <v>188</v>
      </c>
      <c r="B345">
        <v>38.870043712048712</v>
      </c>
      <c r="C345">
        <v>-77.058459317904109</v>
      </c>
      <c r="D345" s="165" t="s">
        <v>23</v>
      </c>
      <c r="E345">
        <v>38.896347393829558</v>
      </c>
      <c r="F345">
        <v>-77.112485891886223</v>
      </c>
      <c r="G345" s="167">
        <v>3.4266603546875634</v>
      </c>
      <c r="H345" s="168">
        <v>302.04078397203563</v>
      </c>
      <c r="I345" s="169">
        <v>122.00686961022137</v>
      </c>
      <c r="J345">
        <v>302.00686961022137</v>
      </c>
      <c r="K345">
        <v>122.04078397203563</v>
      </c>
      <c r="L345" t="s">
        <v>154</v>
      </c>
    </row>
    <row r="346" spans="1:12">
      <c r="A346" s="164" t="s">
        <v>110</v>
      </c>
      <c r="B346">
        <v>38.876216123616089</v>
      </c>
      <c r="C346">
        <v>-77.056932698487742</v>
      </c>
      <c r="D346" s="165" t="s">
        <v>50</v>
      </c>
      <c r="E346">
        <v>38.825547076803183</v>
      </c>
      <c r="F346">
        <v>-77.014661035126181</v>
      </c>
      <c r="G346" s="167">
        <v>4.1741227538552605</v>
      </c>
      <c r="H346" s="168">
        <v>146.97440285244204</v>
      </c>
      <c r="I346" s="169">
        <v>327.00091968657847</v>
      </c>
      <c r="J346">
        <v>147.00091968657847</v>
      </c>
      <c r="K346">
        <v>326.97440285244204</v>
      </c>
      <c r="L346" t="s">
        <v>154</v>
      </c>
    </row>
    <row r="347" spans="1:12">
      <c r="A347" s="164" t="s">
        <v>110</v>
      </c>
      <c r="B347">
        <v>38.876216123616089</v>
      </c>
      <c r="C347">
        <v>-77.056932698487742</v>
      </c>
      <c r="D347" s="165" t="s">
        <v>199</v>
      </c>
      <c r="E347">
        <v>38.901242008335643</v>
      </c>
      <c r="F347">
        <v>-77.085863354657533</v>
      </c>
      <c r="G347" s="167">
        <v>2.3256366290946491</v>
      </c>
      <c r="H347" s="168">
        <v>318.0277352014042</v>
      </c>
      <c r="I347" s="169">
        <v>138.00957224683802</v>
      </c>
      <c r="J347">
        <v>318.00957224683805</v>
      </c>
      <c r="K347">
        <v>138.0277352014042</v>
      </c>
      <c r="L347" t="s">
        <v>154</v>
      </c>
    </row>
    <row r="348" spans="1:12">
      <c r="A348" s="164" t="s">
        <v>53</v>
      </c>
      <c r="B348">
        <v>38.865733641110857</v>
      </c>
      <c r="C348">
        <v>-76.967852704156869</v>
      </c>
      <c r="D348" s="165" t="s">
        <v>37</v>
      </c>
      <c r="E348">
        <v>38.935255546149442</v>
      </c>
      <c r="F348">
        <v>-76.988452843325106</v>
      </c>
      <c r="G348" s="167">
        <v>4.9286212229926809</v>
      </c>
      <c r="H348" s="168">
        <v>347.02101431982555</v>
      </c>
      <c r="I348" s="169">
        <v>167.0080780525881</v>
      </c>
      <c r="J348">
        <v>347.00807805258808</v>
      </c>
      <c r="K348">
        <v>167.02101431982555</v>
      </c>
      <c r="L348" t="s">
        <v>154</v>
      </c>
    </row>
    <row r="349" spans="1:12">
      <c r="A349" s="164" t="s">
        <v>48</v>
      </c>
      <c r="B349">
        <v>38.913291244749402</v>
      </c>
      <c r="C349">
        <v>-77.093538846706636</v>
      </c>
      <c r="D349" s="165" t="s">
        <v>18</v>
      </c>
      <c r="E349">
        <v>38.914489864708663</v>
      </c>
      <c r="F349">
        <v>-77.049531913503088</v>
      </c>
      <c r="G349" s="167">
        <v>2.36684873750173</v>
      </c>
      <c r="H349" s="168">
        <v>87.981358461818871</v>
      </c>
      <c r="I349" s="169">
        <v>268.00900149312565</v>
      </c>
      <c r="J349">
        <v>88.009001493125652</v>
      </c>
      <c r="K349">
        <v>267.9813584618189</v>
      </c>
      <c r="L349" t="s">
        <v>154</v>
      </c>
    </row>
    <row r="350" spans="1:12">
      <c r="A350" s="164" t="s">
        <v>184</v>
      </c>
      <c r="B350">
        <v>38.904466128951633</v>
      </c>
      <c r="C350">
        <v>-76.975703367128119</v>
      </c>
      <c r="D350" s="165" t="s">
        <v>94</v>
      </c>
      <c r="E350">
        <v>38.909631706139457</v>
      </c>
      <c r="F350">
        <v>-77.029568629434891</v>
      </c>
      <c r="G350" s="167">
        <v>2.9174751804497681</v>
      </c>
      <c r="H350" s="168">
        <v>277.04239948717543</v>
      </c>
      <c r="I350" s="169">
        <v>97.008568933753907</v>
      </c>
      <c r="J350">
        <v>277.00856893375391</v>
      </c>
      <c r="K350">
        <v>97.04239948717543</v>
      </c>
      <c r="L350" t="s">
        <v>154</v>
      </c>
    </row>
    <row r="351" spans="1:12">
      <c r="A351" s="164" t="s">
        <v>126</v>
      </c>
      <c r="B351">
        <v>38.942531162412862</v>
      </c>
      <c r="C351">
        <v>-77.110668589240717</v>
      </c>
      <c r="D351" s="165" t="s">
        <v>33</v>
      </c>
      <c r="E351">
        <v>38.918966507717499</v>
      </c>
      <c r="F351">
        <v>-77.24236058241425</v>
      </c>
      <c r="G351" s="167">
        <v>7.2616536687054394</v>
      </c>
      <c r="H351" s="168">
        <v>257.08727048898277</v>
      </c>
      <c r="I351" s="169">
        <v>77.004517768115591</v>
      </c>
      <c r="J351">
        <v>257.00451776811559</v>
      </c>
      <c r="K351">
        <v>77.087270488982767</v>
      </c>
      <c r="L351" t="s">
        <v>154</v>
      </c>
    </row>
    <row r="352" spans="1:12">
      <c r="A352" s="164" t="s">
        <v>161</v>
      </c>
      <c r="B352">
        <v>38.898285637635617</v>
      </c>
      <c r="C352">
        <v>-77.036570972830333</v>
      </c>
      <c r="D352" s="165" t="s">
        <v>45</v>
      </c>
      <c r="E352">
        <v>38.989097905845689</v>
      </c>
      <c r="F352">
        <v>-77.046770824431448</v>
      </c>
      <c r="G352" s="167">
        <v>6.2972145281700813</v>
      </c>
      <c r="H352" s="168">
        <v>355.01069744504372</v>
      </c>
      <c r="I352" s="169">
        <v>175.00428626166794</v>
      </c>
      <c r="J352">
        <v>355.00428626166797</v>
      </c>
      <c r="K352">
        <v>175.01069744504366</v>
      </c>
      <c r="L352" t="s">
        <v>154</v>
      </c>
    </row>
    <row r="353" spans="1:12">
      <c r="A353" s="164" t="s">
        <v>141</v>
      </c>
      <c r="B353">
        <v>38.902528221297217</v>
      </c>
      <c r="C353">
        <v>-77.050139297471702</v>
      </c>
      <c r="D353" s="165" t="s">
        <v>88</v>
      </c>
      <c r="E353">
        <v>38.960393169597992</v>
      </c>
      <c r="F353">
        <v>-77.010591988442854</v>
      </c>
      <c r="G353" s="167">
        <v>4.5271274392448291</v>
      </c>
      <c r="H353" s="168">
        <v>27.984830231621316</v>
      </c>
      <c r="I353" s="169">
        <v>208.00968138040079</v>
      </c>
      <c r="J353">
        <v>28.009681380400821</v>
      </c>
      <c r="K353">
        <v>207.98483023162132</v>
      </c>
      <c r="L353" t="s">
        <v>154</v>
      </c>
    </row>
    <row r="354" spans="1:12">
      <c r="A354" s="164" t="s">
        <v>146</v>
      </c>
      <c r="B354">
        <v>38.896422370023927</v>
      </c>
      <c r="C354">
        <v>-77.006599849724481</v>
      </c>
      <c r="D354" s="165" t="s">
        <v>150</v>
      </c>
      <c r="E354">
        <v>38.926245969493429</v>
      </c>
      <c r="F354">
        <v>-76.951888012920421</v>
      </c>
      <c r="G354" s="167">
        <v>3.5907377406656256</v>
      </c>
      <c r="H354" s="168">
        <v>54.970048791001531</v>
      </c>
      <c r="I354" s="169">
        <v>235.00441422834425</v>
      </c>
      <c r="J354">
        <v>55.004414228344217</v>
      </c>
      <c r="K354">
        <v>234.97004879100155</v>
      </c>
      <c r="L354" t="s">
        <v>154</v>
      </c>
    </row>
    <row r="355" spans="1:12">
      <c r="A355" s="164" t="s">
        <v>65</v>
      </c>
      <c r="B355">
        <v>38.790339000000003</v>
      </c>
      <c r="C355">
        <v>-77.051444000000004</v>
      </c>
      <c r="D355" s="165" t="s">
        <v>160</v>
      </c>
      <c r="E355">
        <v>38.870800749819253</v>
      </c>
      <c r="F355">
        <v>-77.144343160781318</v>
      </c>
      <c r="G355" s="167">
        <v>7.4757756815396563</v>
      </c>
      <c r="H355" s="168">
        <v>318.0603211897452</v>
      </c>
      <c r="I355" s="169">
        <v>138.00207157913857</v>
      </c>
      <c r="J355">
        <v>318.0020715791386</v>
      </c>
      <c r="K355">
        <v>138.0603211897452</v>
      </c>
      <c r="L355" t="s">
        <v>154</v>
      </c>
    </row>
    <row r="356" spans="1:12">
      <c r="A356" s="164" t="s">
        <v>51</v>
      </c>
      <c r="B356">
        <v>38.803587013018927</v>
      </c>
      <c r="C356">
        <v>-77.0045692366363</v>
      </c>
      <c r="D356" s="165" t="s">
        <v>70</v>
      </c>
      <c r="E356">
        <v>38.91858289999999</v>
      </c>
      <c r="F356">
        <v>-76.941921800000017</v>
      </c>
      <c r="G356" s="167">
        <v>8.6291290174484221</v>
      </c>
      <c r="H356" s="168">
        <v>22.967174065096199</v>
      </c>
      <c r="I356" s="169">
        <v>203.00648123991496</v>
      </c>
      <c r="J356">
        <v>23.006481239914933</v>
      </c>
      <c r="K356">
        <v>202.9671740650962</v>
      </c>
      <c r="L356" t="s">
        <v>154</v>
      </c>
    </row>
    <row r="357" spans="1:12">
      <c r="A357" s="164" t="s">
        <v>75</v>
      </c>
      <c r="B357">
        <v>38.808878603508518</v>
      </c>
      <c r="C357">
        <v>-77.013395902314087</v>
      </c>
      <c r="D357" s="165" t="s">
        <v>49</v>
      </c>
      <c r="E357">
        <v>38.915519421202269</v>
      </c>
      <c r="F357">
        <v>-77.089236402778027</v>
      </c>
      <c r="G357" s="167">
        <v>8.4208672525134922</v>
      </c>
      <c r="H357" s="168">
        <v>331.04771676832866</v>
      </c>
      <c r="I357" s="169">
        <v>151.00013066140281</v>
      </c>
      <c r="J357">
        <v>331.00013066140281</v>
      </c>
      <c r="K357">
        <v>151.04771676832866</v>
      </c>
      <c r="L357" t="s">
        <v>154</v>
      </c>
    </row>
    <row r="358" spans="1:12">
      <c r="A358" s="164" t="s">
        <v>37</v>
      </c>
      <c r="B358">
        <v>38.935255546149442</v>
      </c>
      <c r="C358">
        <v>-76.988452843325106</v>
      </c>
      <c r="D358" s="165" t="s">
        <v>23</v>
      </c>
      <c r="E358">
        <v>38.896347393829558</v>
      </c>
      <c r="F358">
        <v>-77.112485891886223</v>
      </c>
      <c r="G358" s="167">
        <v>7.188093722767122</v>
      </c>
      <c r="H358" s="168">
        <v>248.08131903493191</v>
      </c>
      <c r="I358" s="169">
        <v>68.003404221359645</v>
      </c>
      <c r="J358">
        <v>248.00340422135963</v>
      </c>
      <c r="K358">
        <v>68.08131903493188</v>
      </c>
      <c r="L358" t="s">
        <v>154</v>
      </c>
    </row>
    <row r="359" spans="1:12">
      <c r="A359" s="164" t="s">
        <v>118</v>
      </c>
      <c r="B359">
        <v>38.942139058947483</v>
      </c>
      <c r="C359">
        <v>-77.010995768444687</v>
      </c>
      <c r="D359" s="165" t="s">
        <v>195</v>
      </c>
      <c r="E359">
        <v>38.906084139800029</v>
      </c>
      <c r="F359">
        <v>-76.957667324779109</v>
      </c>
      <c r="G359" s="167">
        <v>3.7970479115370934</v>
      </c>
      <c r="H359" s="168">
        <v>130.97506584737786</v>
      </c>
      <c r="I359" s="169">
        <v>311.00857160544348</v>
      </c>
      <c r="J359">
        <v>131.00857160544348</v>
      </c>
      <c r="K359">
        <v>310.97506584737789</v>
      </c>
      <c r="L359" t="s">
        <v>154</v>
      </c>
    </row>
    <row r="360" spans="1:12">
      <c r="A360" s="164" t="s">
        <v>38</v>
      </c>
      <c r="B360">
        <v>38.92609741015503</v>
      </c>
      <c r="C360">
        <v>-76.958533324767643</v>
      </c>
      <c r="D360" s="165" t="s">
        <v>128</v>
      </c>
      <c r="E360">
        <v>39.005339472519637</v>
      </c>
      <c r="F360">
        <v>-77.038062048737274</v>
      </c>
      <c r="G360" s="167">
        <v>6.9434688573411387</v>
      </c>
      <c r="H360" s="168">
        <v>322.0588338504578</v>
      </c>
      <c r="I360" s="169">
        <v>142.00882177473156</v>
      </c>
      <c r="J360">
        <v>322.00882177473159</v>
      </c>
      <c r="K360">
        <v>142.0588338504578</v>
      </c>
      <c r="L360" t="s">
        <v>154</v>
      </c>
    </row>
    <row r="361" spans="1:12">
      <c r="A361" s="164" t="s">
        <v>38</v>
      </c>
      <c r="B361">
        <v>38.92609741015503</v>
      </c>
      <c r="C361">
        <v>-76.958533324767643</v>
      </c>
      <c r="D361" s="165" t="s">
        <v>23</v>
      </c>
      <c r="E361">
        <v>38.896347393829558</v>
      </c>
      <c r="F361">
        <v>-77.112485891886223</v>
      </c>
      <c r="G361" s="167">
        <v>8.5267282873302612</v>
      </c>
      <c r="H361" s="168">
        <v>256.10145164468997</v>
      </c>
      <c r="I361" s="169">
        <v>76.004751615852783</v>
      </c>
      <c r="J361">
        <v>256.0047516158528</v>
      </c>
      <c r="K361">
        <v>76.101451644689973</v>
      </c>
      <c r="L361" t="s">
        <v>154</v>
      </c>
    </row>
    <row r="362" spans="1:12">
      <c r="A362" s="164" t="s">
        <v>77</v>
      </c>
      <c r="B362">
        <v>38.921883328355477</v>
      </c>
      <c r="C362">
        <v>-77.089117288265243</v>
      </c>
      <c r="D362" s="165" t="s">
        <v>3</v>
      </c>
      <c r="E362">
        <v>38.920055892874778</v>
      </c>
      <c r="F362">
        <v>-76.94844865915428</v>
      </c>
      <c r="G362" s="167">
        <v>7.5613250607204101</v>
      </c>
      <c r="H362" s="168">
        <v>90.912433472843588</v>
      </c>
      <c r="I362" s="169">
        <v>271.00080826265616</v>
      </c>
      <c r="J362">
        <v>91.000808262656165</v>
      </c>
      <c r="K362">
        <v>270.91243347284359</v>
      </c>
      <c r="L362" t="s">
        <v>154</v>
      </c>
    </row>
    <row r="363" spans="1:12">
      <c r="A363" s="164" t="s">
        <v>40</v>
      </c>
      <c r="B363">
        <v>38.861737201739359</v>
      </c>
      <c r="C363">
        <v>-76.955024258010965</v>
      </c>
      <c r="D363" s="165" t="s">
        <v>39</v>
      </c>
      <c r="E363">
        <v>38.894330838678513</v>
      </c>
      <c r="F363">
        <v>-77.135544679034453</v>
      </c>
      <c r="G363" s="167">
        <v>9.9656667734270901</v>
      </c>
      <c r="H363" s="168">
        <v>283.11438648139335</v>
      </c>
      <c r="I363" s="169">
        <v>103.00108013318312</v>
      </c>
      <c r="J363">
        <v>283.00108013318311</v>
      </c>
      <c r="K363">
        <v>103.11438648139335</v>
      </c>
      <c r="L363" t="s">
        <v>154</v>
      </c>
    </row>
    <row r="364" spans="1:12">
      <c r="A364" s="164" t="s">
        <v>40</v>
      </c>
      <c r="B364">
        <v>38.861737201739359</v>
      </c>
      <c r="C364">
        <v>-76.955024258010965</v>
      </c>
      <c r="D364" s="165" t="s">
        <v>152</v>
      </c>
      <c r="E364">
        <v>38.791643602585658</v>
      </c>
      <c r="F364">
        <v>-77.039028157210851</v>
      </c>
      <c r="G364" s="167">
        <v>6.624451113460335</v>
      </c>
      <c r="H364" s="168">
        <v>223.06110701157704</v>
      </c>
      <c r="I364" s="169">
        <v>43.008439341255922</v>
      </c>
      <c r="J364">
        <v>223.00843934125592</v>
      </c>
      <c r="K364">
        <v>43.061107011577064</v>
      </c>
      <c r="L364" t="s">
        <v>154</v>
      </c>
    </row>
    <row r="365" spans="1:12">
      <c r="A365" s="164" t="s">
        <v>140</v>
      </c>
      <c r="B365">
        <v>38.908639308729029</v>
      </c>
      <c r="C365">
        <v>-76.975468342699315</v>
      </c>
      <c r="D365" s="165" t="s">
        <v>46</v>
      </c>
      <c r="E365">
        <v>38.894079057995107</v>
      </c>
      <c r="F365">
        <v>-77.050685019751967</v>
      </c>
      <c r="G365" s="167">
        <v>4.1668743091724521</v>
      </c>
      <c r="H365" s="168">
        <v>256.05527748537918</v>
      </c>
      <c r="I365" s="169">
        <v>76.008042797773101</v>
      </c>
      <c r="J365">
        <v>256.0080427977731</v>
      </c>
      <c r="K365">
        <v>76.055277485379179</v>
      </c>
      <c r="L365" t="s">
        <v>154</v>
      </c>
    </row>
    <row r="366" spans="1:12">
      <c r="A366" s="164" t="s">
        <v>158</v>
      </c>
      <c r="B366">
        <v>38.909644522916047</v>
      </c>
      <c r="C366">
        <v>-76.972391087710122</v>
      </c>
      <c r="D366" s="165" t="s">
        <v>108</v>
      </c>
      <c r="E366">
        <v>38.889795721566593</v>
      </c>
      <c r="F366">
        <v>-76.990256830609582</v>
      </c>
      <c r="G366" s="167">
        <v>1.6740991585251646</v>
      </c>
      <c r="H366" s="168">
        <v>215.01658401859905</v>
      </c>
      <c r="I366" s="169">
        <v>35.005365059761282</v>
      </c>
      <c r="J366">
        <v>215.00536505976129</v>
      </c>
      <c r="K366">
        <v>35.016584018599019</v>
      </c>
      <c r="L366" t="s">
        <v>154</v>
      </c>
    </row>
    <row r="367" spans="1:12">
      <c r="A367" s="164" t="s">
        <v>158</v>
      </c>
      <c r="B367">
        <v>38.909644522916047</v>
      </c>
      <c r="C367">
        <v>-76.972391087710122</v>
      </c>
      <c r="D367" s="165" t="s">
        <v>23</v>
      </c>
      <c r="E367">
        <v>38.896347393829558</v>
      </c>
      <c r="F367">
        <v>-77.112485891886223</v>
      </c>
      <c r="G367" s="167">
        <v>7.5871479282026657</v>
      </c>
      <c r="H367" s="168">
        <v>263.09020007975454</v>
      </c>
      <c r="I367" s="169">
        <v>83.00221999015173</v>
      </c>
      <c r="J367">
        <v>263.00221999015173</v>
      </c>
      <c r="K367">
        <v>83.090200079754538</v>
      </c>
      <c r="L367" t="s">
        <v>154</v>
      </c>
    </row>
    <row r="368" spans="1:12">
      <c r="A368" s="164" t="s">
        <v>39</v>
      </c>
      <c r="B368">
        <v>38.894330838678513</v>
      </c>
      <c r="C368">
        <v>-77.135544679034453</v>
      </c>
      <c r="D368" s="165" t="s">
        <v>173</v>
      </c>
      <c r="E368">
        <v>38.988765681572232</v>
      </c>
      <c r="F368">
        <v>-77.16354886186852</v>
      </c>
      <c r="G368" s="167">
        <v>6.6948465409039084</v>
      </c>
      <c r="H368" s="168">
        <v>347.02072088828919</v>
      </c>
      <c r="I368" s="169">
        <v>167.00311949039502</v>
      </c>
      <c r="J368">
        <v>347.00311949039502</v>
      </c>
      <c r="K368">
        <v>167.02072088828913</v>
      </c>
      <c r="L368" t="s">
        <v>154</v>
      </c>
    </row>
    <row r="369" spans="1:12">
      <c r="A369" s="164" t="s">
        <v>54</v>
      </c>
      <c r="B369">
        <v>38.888694362898732</v>
      </c>
      <c r="C369">
        <v>-76.942542813218694</v>
      </c>
      <c r="D369" s="165" t="s">
        <v>15</v>
      </c>
      <c r="E369">
        <v>38.83334538875507</v>
      </c>
      <c r="F369">
        <v>-77.176201826008182</v>
      </c>
      <c r="G369" s="167">
        <v>13.137372195741492</v>
      </c>
      <c r="H369" s="168">
        <v>253.15304005016864</v>
      </c>
      <c r="I369" s="169">
        <v>73.006434429580935</v>
      </c>
      <c r="J369">
        <v>253.00643442958093</v>
      </c>
      <c r="K369">
        <v>73.15304005016867</v>
      </c>
      <c r="L369" t="s">
        <v>154</v>
      </c>
    </row>
    <row r="370" spans="1:12">
      <c r="A370" s="164" t="s">
        <v>44</v>
      </c>
      <c r="B370">
        <v>38.959847905580027</v>
      </c>
      <c r="C370">
        <v>-77.026806510741665</v>
      </c>
      <c r="D370" s="165" t="s">
        <v>193</v>
      </c>
      <c r="E370">
        <v>38.967911031638792</v>
      </c>
      <c r="F370">
        <v>-77.068345449756862</v>
      </c>
      <c r="G370" s="167">
        <v>2.2996460103763461</v>
      </c>
      <c r="H370" s="168">
        <v>284.03018971722349</v>
      </c>
      <c r="I370" s="169">
        <v>104.00406877148832</v>
      </c>
      <c r="J370">
        <v>284.00406877148833</v>
      </c>
      <c r="K370">
        <v>104.03018971722349</v>
      </c>
      <c r="L370" t="s">
        <v>154</v>
      </c>
    </row>
    <row r="371" spans="1:12">
      <c r="A371" s="164" t="s">
        <v>44</v>
      </c>
      <c r="B371">
        <v>38.959847905580027</v>
      </c>
      <c r="C371">
        <v>-77.026806510741665</v>
      </c>
      <c r="D371" s="165" t="s">
        <v>80</v>
      </c>
      <c r="E371">
        <v>38.930170515981033</v>
      </c>
      <c r="F371">
        <v>-77.07230698965536</v>
      </c>
      <c r="G371" s="167">
        <v>3.1904675455352161</v>
      </c>
      <c r="H371" s="168">
        <v>230.03012599870303</v>
      </c>
      <c r="I371" s="169">
        <v>50.001525568806962</v>
      </c>
      <c r="J371">
        <v>230.00152556880695</v>
      </c>
      <c r="K371">
        <v>50.030125998703056</v>
      </c>
      <c r="L371" t="s">
        <v>154</v>
      </c>
    </row>
    <row r="372" spans="1:12">
      <c r="A372" s="164" t="s">
        <v>44</v>
      </c>
      <c r="B372">
        <v>38.959847905580027</v>
      </c>
      <c r="C372">
        <v>-77.026806510741665</v>
      </c>
      <c r="D372" s="165" t="s">
        <v>56</v>
      </c>
      <c r="E372">
        <v>38.947325108309627</v>
      </c>
      <c r="F372">
        <v>-77.021883345949419</v>
      </c>
      <c r="G372" s="167">
        <v>0.90460179186733902</v>
      </c>
      <c r="H372" s="168">
        <v>162.99877528324308</v>
      </c>
      <c r="I372" s="169">
        <v>343.00187043090898</v>
      </c>
      <c r="J372">
        <v>163.00187043090898</v>
      </c>
      <c r="K372">
        <v>342.99877528324305</v>
      </c>
      <c r="L372" t="s">
        <v>154</v>
      </c>
    </row>
    <row r="373" spans="1:12">
      <c r="A373" s="164" t="s">
        <v>88</v>
      </c>
      <c r="B373">
        <v>38.960393169597992</v>
      </c>
      <c r="C373">
        <v>-77.010591988442854</v>
      </c>
      <c r="D373" s="165" t="s">
        <v>76</v>
      </c>
      <c r="E373">
        <v>38.872804095441928</v>
      </c>
      <c r="F373">
        <v>-76.940197367335742</v>
      </c>
      <c r="G373" s="167">
        <v>7.1362624411057469</v>
      </c>
      <c r="H373" s="168">
        <v>147.95926001551192</v>
      </c>
      <c r="I373" s="169">
        <v>328.00348112246036</v>
      </c>
      <c r="J373">
        <v>148.00348112246036</v>
      </c>
      <c r="K373">
        <v>327.95926001551192</v>
      </c>
      <c r="L373" t="s">
        <v>154</v>
      </c>
    </row>
    <row r="374" spans="1:12">
      <c r="A374" s="164" t="s">
        <v>88</v>
      </c>
      <c r="B374">
        <v>38.960393169597992</v>
      </c>
      <c r="C374">
        <v>-77.010591988442854</v>
      </c>
      <c r="D374" s="165" t="s">
        <v>9</v>
      </c>
      <c r="E374">
        <v>38.920336486884452</v>
      </c>
      <c r="F374">
        <v>-77.305560255203972</v>
      </c>
      <c r="G374" s="167">
        <v>16.08855301403662</v>
      </c>
      <c r="H374" s="168">
        <v>260.18899670855308</v>
      </c>
      <c r="I374" s="169">
        <v>80.003605598052104</v>
      </c>
      <c r="J374">
        <v>260.0036055980521</v>
      </c>
      <c r="K374">
        <v>80.188996708553077</v>
      </c>
      <c r="L374" t="s">
        <v>154</v>
      </c>
    </row>
    <row r="375" spans="1:12">
      <c r="A375" s="164" t="s">
        <v>76</v>
      </c>
      <c r="B375">
        <v>38.872804095441928</v>
      </c>
      <c r="C375">
        <v>-76.940197367335742</v>
      </c>
      <c r="D375" s="165" t="s">
        <v>21</v>
      </c>
      <c r="E375">
        <v>38.916815383206369</v>
      </c>
      <c r="F375">
        <v>-77.061201400915238</v>
      </c>
      <c r="G375" s="167">
        <v>7.1811385856273242</v>
      </c>
      <c r="H375" s="168">
        <v>295.08574717516876</v>
      </c>
      <c r="I375" s="169">
        <v>115.00976962049614</v>
      </c>
      <c r="J375">
        <v>295.00976962049617</v>
      </c>
      <c r="K375">
        <v>115.08574717516876</v>
      </c>
      <c r="L375" t="s">
        <v>154</v>
      </c>
    </row>
    <row r="376" spans="1:12">
      <c r="A376" s="164" t="s">
        <v>76</v>
      </c>
      <c r="B376">
        <v>38.872804095441928</v>
      </c>
      <c r="C376">
        <v>-76.940197367335742</v>
      </c>
      <c r="D376" s="165" t="s">
        <v>29</v>
      </c>
      <c r="E376">
        <v>38.931322965354973</v>
      </c>
      <c r="F376">
        <v>-76.917209455745677</v>
      </c>
      <c r="G376" s="167">
        <v>4.2271724757622948</v>
      </c>
      <c r="H376" s="168">
        <v>16.991574723457354</v>
      </c>
      <c r="I376" s="169">
        <v>197.00601092902102</v>
      </c>
      <c r="J376">
        <v>17.006010929021045</v>
      </c>
      <c r="K376">
        <v>196.99157472345735</v>
      </c>
      <c r="L376" t="s">
        <v>154</v>
      </c>
    </row>
    <row r="377" spans="1:12">
      <c r="A377" s="164" t="s">
        <v>76</v>
      </c>
      <c r="B377">
        <v>38.872804095441928</v>
      </c>
      <c r="C377">
        <v>-76.940197367335742</v>
      </c>
      <c r="D377" s="165" t="s">
        <v>95</v>
      </c>
      <c r="E377">
        <v>39.448886999999999</v>
      </c>
      <c r="F377">
        <v>-77.627617999999998</v>
      </c>
      <c r="G377" s="167">
        <v>54.216340939599931</v>
      </c>
      <c r="H377" s="168">
        <v>317.44064523146449</v>
      </c>
      <c r="I377" s="169">
        <v>137.00653077551553</v>
      </c>
      <c r="J377">
        <v>317.00653077551556</v>
      </c>
      <c r="K377">
        <v>137.44064523146449</v>
      </c>
      <c r="L377" t="s">
        <v>154</v>
      </c>
    </row>
    <row r="378" spans="1:12">
      <c r="A378" s="164" t="s">
        <v>57</v>
      </c>
      <c r="B378">
        <v>38.971265146524964</v>
      </c>
      <c r="C378">
        <v>-77.068329157306508</v>
      </c>
      <c r="D378" s="165" t="s">
        <v>93</v>
      </c>
      <c r="E378">
        <v>39.262423017945139</v>
      </c>
      <c r="F378">
        <v>-77.393301271532664</v>
      </c>
      <c r="G378" s="167">
        <v>26.606486013901897</v>
      </c>
      <c r="H378" s="168">
        <v>319.21091682064105</v>
      </c>
      <c r="I378" s="169">
        <v>139.00588964528706</v>
      </c>
      <c r="J378">
        <v>319.00588964528708</v>
      </c>
      <c r="K378">
        <v>139.21091682064105</v>
      </c>
      <c r="L378" t="s">
        <v>154</v>
      </c>
    </row>
    <row r="379" spans="1:12">
      <c r="A379" s="164" t="s">
        <v>35</v>
      </c>
      <c r="B379">
        <v>38.886867190107317</v>
      </c>
      <c r="C379">
        <v>-76.916665420155027</v>
      </c>
      <c r="D379" s="165" t="s">
        <v>169</v>
      </c>
      <c r="E379">
        <v>38.86898287196977</v>
      </c>
      <c r="F379">
        <v>-76.996961003019521</v>
      </c>
      <c r="G379" s="167">
        <v>4.4913839717744057</v>
      </c>
      <c r="H379" s="168">
        <v>254.05893628486109</v>
      </c>
      <c r="I379" s="169">
        <v>74.008537699264068</v>
      </c>
      <c r="J379">
        <v>254.00853769926408</v>
      </c>
      <c r="K379">
        <v>74.05893628486109</v>
      </c>
      <c r="L379" t="s">
        <v>154</v>
      </c>
    </row>
    <row r="380" spans="1:12">
      <c r="A380" s="164" t="s">
        <v>193</v>
      </c>
      <c r="B380">
        <v>38.967911031638792</v>
      </c>
      <c r="C380">
        <v>-77.068345449756862</v>
      </c>
      <c r="D380" s="165" t="s">
        <v>122</v>
      </c>
      <c r="E380">
        <v>38.899509095632219</v>
      </c>
      <c r="F380">
        <v>-77.057553372632484</v>
      </c>
      <c r="G380" s="167">
        <v>4.7606680402126846</v>
      </c>
      <c r="H380" s="168">
        <v>172.99976936371263</v>
      </c>
      <c r="I380" s="169">
        <v>353.00655133099178</v>
      </c>
      <c r="J380">
        <v>173.00655133099178</v>
      </c>
      <c r="K380">
        <v>352.99976936371263</v>
      </c>
      <c r="L380" t="s">
        <v>154</v>
      </c>
    </row>
    <row r="381" spans="1:12">
      <c r="A381" s="164" t="s">
        <v>193</v>
      </c>
      <c r="B381">
        <v>38.967911031638792</v>
      </c>
      <c r="C381">
        <v>-77.068345449756862</v>
      </c>
      <c r="D381" s="165" t="s">
        <v>27</v>
      </c>
      <c r="E381">
        <v>38.874515971394558</v>
      </c>
      <c r="F381">
        <v>-77.146392815978004</v>
      </c>
      <c r="G381" s="167">
        <v>7.6954636769116167</v>
      </c>
      <c r="H381" s="168">
        <v>213.05481170753291</v>
      </c>
      <c r="I381" s="169">
        <v>33.005778338640297</v>
      </c>
      <c r="J381">
        <v>213.00577833864031</v>
      </c>
      <c r="K381">
        <v>33.054811707532906</v>
      </c>
      <c r="L381" t="s">
        <v>154</v>
      </c>
    </row>
    <row r="382" spans="1:12">
      <c r="A382" s="164" t="s">
        <v>60</v>
      </c>
      <c r="B382">
        <v>38.953994890572183</v>
      </c>
      <c r="C382">
        <v>-77.077629631633798</v>
      </c>
      <c r="D382" s="165" t="s">
        <v>190</v>
      </c>
      <c r="E382">
        <v>38.905376415694072</v>
      </c>
      <c r="F382">
        <v>-77.021330730155185</v>
      </c>
      <c r="G382" s="167">
        <v>4.5203103229781725</v>
      </c>
      <c r="H382" s="168">
        <v>137.96952899670262</v>
      </c>
      <c r="I382" s="169">
        <v>318.00490532787541</v>
      </c>
      <c r="J382">
        <v>138.00490532787541</v>
      </c>
      <c r="K382">
        <v>317.96952899670259</v>
      </c>
      <c r="L382" t="s">
        <v>154</v>
      </c>
    </row>
    <row r="383" spans="1:12">
      <c r="A383" s="164" t="s">
        <v>160</v>
      </c>
      <c r="B383">
        <v>38.870800749819253</v>
      </c>
      <c r="C383">
        <v>-77.144343160781318</v>
      </c>
      <c r="D383" s="165" t="s">
        <v>52</v>
      </c>
      <c r="E383">
        <v>38.876508891956881</v>
      </c>
      <c r="F383">
        <v>-77.074738028614249</v>
      </c>
      <c r="G383" s="167">
        <v>3.7641498183674886</v>
      </c>
      <c r="H383" s="168">
        <v>83.965020171323786</v>
      </c>
      <c r="I383" s="169">
        <v>264.00870471385383</v>
      </c>
      <c r="J383">
        <v>84.008704713853831</v>
      </c>
      <c r="K383">
        <v>263.96502017132377</v>
      </c>
      <c r="L383" t="s">
        <v>154</v>
      </c>
    </row>
    <row r="384" spans="1:12">
      <c r="A384" s="164" t="s">
        <v>160</v>
      </c>
      <c r="B384">
        <v>38.870800749819253</v>
      </c>
      <c r="C384">
        <v>-77.144343160781318</v>
      </c>
      <c r="D384" s="165" t="s">
        <v>122</v>
      </c>
      <c r="E384">
        <v>38.899509095632219</v>
      </c>
      <c r="F384">
        <v>-77.057553372632484</v>
      </c>
      <c r="G384" s="167">
        <v>5.0707866735159675</v>
      </c>
      <c r="H384" s="168">
        <v>66.949904570332436</v>
      </c>
      <c r="I384" s="169">
        <v>247.00438785703483</v>
      </c>
      <c r="J384">
        <v>67.004387857034828</v>
      </c>
      <c r="K384">
        <v>246.94990457033242</v>
      </c>
      <c r="L384" t="s">
        <v>154</v>
      </c>
    </row>
    <row r="385" spans="1:12">
      <c r="A385" s="164" t="s">
        <v>160</v>
      </c>
      <c r="B385">
        <v>38.870800749819253</v>
      </c>
      <c r="C385">
        <v>-77.144343160781318</v>
      </c>
      <c r="D385" s="165" t="s">
        <v>152</v>
      </c>
      <c r="E385">
        <v>38.791643602585658</v>
      </c>
      <c r="F385">
        <v>-77.039028157210851</v>
      </c>
      <c r="G385" s="167">
        <v>7.8752601493787742</v>
      </c>
      <c r="H385" s="168">
        <v>133.94239953749175</v>
      </c>
      <c r="I385" s="169">
        <v>314.00843506300646</v>
      </c>
      <c r="J385">
        <v>134.00843506300646</v>
      </c>
      <c r="K385">
        <v>313.94239953749172</v>
      </c>
      <c r="L385" t="s">
        <v>154</v>
      </c>
    </row>
    <row r="386" spans="1:12">
      <c r="A386" s="164" t="s">
        <v>61</v>
      </c>
      <c r="B386">
        <v>38.84552270708302</v>
      </c>
      <c r="C386">
        <v>-77.10483209910393</v>
      </c>
      <c r="D386" s="165" t="s">
        <v>87</v>
      </c>
      <c r="E386">
        <v>38.897423715886298</v>
      </c>
      <c r="F386">
        <v>-76.911825683464457</v>
      </c>
      <c r="G386" s="167">
        <v>10.982143418353289</v>
      </c>
      <c r="H386" s="168">
        <v>70.884866323020205</v>
      </c>
      <c r="I386" s="169">
        <v>251.00599250327951</v>
      </c>
      <c r="J386">
        <v>71.005992503279515</v>
      </c>
      <c r="K386">
        <v>250.88486632302022</v>
      </c>
      <c r="L386" t="s">
        <v>154</v>
      </c>
    </row>
    <row r="387" spans="1:12">
      <c r="A387" s="164" t="s">
        <v>61</v>
      </c>
      <c r="B387">
        <v>38.84552270708302</v>
      </c>
      <c r="C387">
        <v>-77.10483209910393</v>
      </c>
      <c r="D387" s="165" t="s">
        <v>30</v>
      </c>
      <c r="E387">
        <v>38.92053966660955</v>
      </c>
      <c r="F387">
        <v>-77.11324805943606</v>
      </c>
      <c r="G387" s="167">
        <v>5.2019049207448642</v>
      </c>
      <c r="H387" s="168">
        <v>355.01166499552954</v>
      </c>
      <c r="I387" s="169">
        <v>175.00638202219952</v>
      </c>
      <c r="J387">
        <v>355.00638202219955</v>
      </c>
      <c r="K387">
        <v>175.0116649955296</v>
      </c>
      <c r="L387" t="s">
        <v>154</v>
      </c>
    </row>
    <row r="388" spans="1:12">
      <c r="A388" s="164" t="s">
        <v>61</v>
      </c>
      <c r="B388">
        <v>38.84552270708302</v>
      </c>
      <c r="C388">
        <v>-77.10483209910393</v>
      </c>
      <c r="D388" s="165" t="s">
        <v>119</v>
      </c>
      <c r="E388">
        <v>38.918835090612639</v>
      </c>
      <c r="F388">
        <v>-77.007394020653479</v>
      </c>
      <c r="G388" s="167">
        <v>7.2871701373852105</v>
      </c>
      <c r="H388" s="168">
        <v>45.943902211214194</v>
      </c>
      <c r="I388" s="169">
        <v>226.0050661572923</v>
      </c>
      <c r="J388">
        <v>46.005066157292276</v>
      </c>
      <c r="K388">
        <v>225.94390221121421</v>
      </c>
      <c r="L388" t="s">
        <v>154</v>
      </c>
    </row>
    <row r="389" spans="1:12">
      <c r="A389" s="164" t="s">
        <v>58</v>
      </c>
      <c r="B389">
        <v>38.958786981015983</v>
      </c>
      <c r="C389">
        <v>-77.051421167473492</v>
      </c>
      <c r="D389" s="165" t="s">
        <v>19</v>
      </c>
      <c r="E389">
        <v>38.88120136333437</v>
      </c>
      <c r="F389">
        <v>-77.072631056499674</v>
      </c>
      <c r="G389" s="167">
        <v>5.4795122637583269</v>
      </c>
      <c r="H389" s="168">
        <v>192.0140607900922</v>
      </c>
      <c r="I389" s="169">
        <v>12.000736000832639</v>
      </c>
      <c r="J389">
        <v>192.00073600083263</v>
      </c>
      <c r="K389">
        <v>12.01406079009223</v>
      </c>
      <c r="L389" t="s">
        <v>154</v>
      </c>
    </row>
    <row r="390" spans="1:12">
      <c r="A390" s="164" t="s">
        <v>92</v>
      </c>
      <c r="B390">
        <v>38.93536052674429</v>
      </c>
      <c r="C390">
        <v>-77.014386976386291</v>
      </c>
      <c r="D390" s="165" t="s">
        <v>151</v>
      </c>
      <c r="E390">
        <v>38.899994319306728</v>
      </c>
      <c r="F390">
        <v>-77.036569</v>
      </c>
      <c r="G390" s="167">
        <v>2.7184867646788975</v>
      </c>
      <c r="H390" s="168">
        <v>206.01934421194539</v>
      </c>
      <c r="I390" s="169">
        <v>26.005409394322726</v>
      </c>
      <c r="J390">
        <v>206.00540939432273</v>
      </c>
      <c r="K390">
        <v>26.019344211945395</v>
      </c>
      <c r="L390" t="s">
        <v>154</v>
      </c>
    </row>
    <row r="391" spans="1:12">
      <c r="A391" s="164" t="s">
        <v>46</v>
      </c>
      <c r="B391">
        <v>38.894079057995107</v>
      </c>
      <c r="C391">
        <v>-77.050685019751967</v>
      </c>
      <c r="D391" s="165" t="s">
        <v>80</v>
      </c>
      <c r="E391">
        <v>38.930170515981033</v>
      </c>
      <c r="F391">
        <v>-77.07230698965536</v>
      </c>
      <c r="G391" s="167">
        <v>2.7507857508647118</v>
      </c>
      <c r="H391" s="168">
        <v>335.01389321689578</v>
      </c>
      <c r="I391" s="169">
        <v>155.00031185717981</v>
      </c>
      <c r="J391">
        <v>335.00031185717978</v>
      </c>
      <c r="K391">
        <v>155.01389321689578</v>
      </c>
      <c r="L391" t="s">
        <v>154</v>
      </c>
    </row>
    <row r="392" spans="1:12">
      <c r="A392" s="164" t="s">
        <v>46</v>
      </c>
      <c r="B392">
        <v>38.894079057995107</v>
      </c>
      <c r="C392">
        <v>-77.050685019751967</v>
      </c>
      <c r="D392" s="165" t="s">
        <v>200</v>
      </c>
      <c r="E392">
        <v>38.907211196813563</v>
      </c>
      <c r="F392">
        <v>-77.036526673104206</v>
      </c>
      <c r="G392" s="167">
        <v>1.1841979005732617</v>
      </c>
      <c r="H392" s="168">
        <v>39.993924550260076</v>
      </c>
      <c r="I392" s="169">
        <v>220.00281559306717</v>
      </c>
      <c r="J392">
        <v>40.002815593067169</v>
      </c>
      <c r="K392">
        <v>219.99392455026009</v>
      </c>
      <c r="L392" t="s">
        <v>154</v>
      </c>
    </row>
    <row r="393" spans="1:12">
      <c r="A393" s="164" t="s">
        <v>46</v>
      </c>
      <c r="B393">
        <v>38.894079057995107</v>
      </c>
      <c r="C393">
        <v>-77.050685019751967</v>
      </c>
      <c r="D393" s="165" t="s">
        <v>5</v>
      </c>
      <c r="E393">
        <v>38.873731147841703</v>
      </c>
      <c r="F393">
        <v>-77.070387413691392</v>
      </c>
      <c r="G393" s="167">
        <v>1.7601919406792421</v>
      </c>
      <c r="H393" s="168">
        <v>217.01243014016259</v>
      </c>
      <c r="I393" s="169">
        <v>37.000062072085527</v>
      </c>
      <c r="J393">
        <v>217.00006207208554</v>
      </c>
      <c r="K393">
        <v>37.012430140162564</v>
      </c>
      <c r="L393" t="s">
        <v>154</v>
      </c>
    </row>
    <row r="394" spans="1:12">
      <c r="A394" s="164" t="s">
        <v>46</v>
      </c>
      <c r="B394">
        <v>38.894079057995107</v>
      </c>
      <c r="C394">
        <v>-77.050685019751967</v>
      </c>
      <c r="D394" s="165" t="s">
        <v>137</v>
      </c>
      <c r="E394">
        <v>38.90117456916591</v>
      </c>
      <c r="F394">
        <v>-77.090113994513501</v>
      </c>
      <c r="G394" s="167">
        <v>2.1757485192585646</v>
      </c>
      <c r="H394" s="168">
        <v>283.03189055170043</v>
      </c>
      <c r="I394" s="169">
        <v>103.00713188251235</v>
      </c>
      <c r="J394">
        <v>283.00713188251234</v>
      </c>
      <c r="K394">
        <v>103.03189055170043</v>
      </c>
      <c r="L394" t="s">
        <v>154</v>
      </c>
    </row>
    <row r="395" spans="1:12">
      <c r="A395" s="164" t="s">
        <v>89</v>
      </c>
      <c r="B395">
        <v>38.911588839433009</v>
      </c>
      <c r="C395">
        <v>-76.993547550999835</v>
      </c>
      <c r="D395" s="165" t="s">
        <v>2</v>
      </c>
      <c r="E395">
        <v>38.897038827303611</v>
      </c>
      <c r="F395">
        <v>-77.037627866552469</v>
      </c>
      <c r="G395" s="167">
        <v>2.5740176767531104</v>
      </c>
      <c r="H395" s="168">
        <v>247.02912687223161</v>
      </c>
      <c r="I395" s="169">
        <v>67.001443478667383</v>
      </c>
      <c r="J395">
        <v>247.0014434786674</v>
      </c>
      <c r="K395">
        <v>67.029126872231586</v>
      </c>
      <c r="L395" t="s">
        <v>154</v>
      </c>
    </row>
    <row r="396" spans="1:12">
      <c r="A396" s="164" t="s">
        <v>59</v>
      </c>
      <c r="B396">
        <v>38.93508740486395</v>
      </c>
      <c r="C396">
        <v>-77.126419797285848</v>
      </c>
      <c r="D396" s="165" t="s">
        <v>190</v>
      </c>
      <c r="E396">
        <v>38.905376415694072</v>
      </c>
      <c r="F396">
        <v>-77.021330730155185</v>
      </c>
      <c r="G396" s="167">
        <v>6.0094517171882549</v>
      </c>
      <c r="H396" s="168">
        <v>109.9374144171089</v>
      </c>
      <c r="I396" s="169">
        <v>290.00343535766916</v>
      </c>
      <c r="J396">
        <v>110.00343535766916</v>
      </c>
      <c r="K396">
        <v>289.93741441710893</v>
      </c>
      <c r="L396" t="s">
        <v>154</v>
      </c>
    </row>
    <row r="397" spans="1:12">
      <c r="A397" s="164" t="s">
        <v>59</v>
      </c>
      <c r="B397">
        <v>38.93508740486395</v>
      </c>
      <c r="C397">
        <v>-77.126419797285848</v>
      </c>
      <c r="D397" s="165" t="s">
        <v>78</v>
      </c>
      <c r="E397">
        <v>38.810462075372001</v>
      </c>
      <c r="F397">
        <v>-76.996648178397948</v>
      </c>
      <c r="G397" s="167">
        <v>11.082796246616757</v>
      </c>
      <c r="H397" s="168">
        <v>140.92790318812163</v>
      </c>
      <c r="I397" s="169">
        <v>321.00934704148386</v>
      </c>
      <c r="J397">
        <v>141.00934704148386</v>
      </c>
      <c r="K397">
        <v>320.9279031881216</v>
      </c>
      <c r="L397" t="s">
        <v>154</v>
      </c>
    </row>
    <row r="398" spans="1:12">
      <c r="A398" s="164" t="s">
        <v>87</v>
      </c>
      <c r="B398">
        <v>38.897423715886298</v>
      </c>
      <c r="C398">
        <v>-76.911825683464457</v>
      </c>
      <c r="D398" s="165" t="s">
        <v>164</v>
      </c>
      <c r="E398">
        <v>38.888944385745397</v>
      </c>
      <c r="F398">
        <v>-77.000964800836925</v>
      </c>
      <c r="G398" s="167">
        <v>4.8283424703497273</v>
      </c>
      <c r="H398" s="168">
        <v>263.05995017697569</v>
      </c>
      <c r="I398" s="169">
        <v>83.00398235021531</v>
      </c>
      <c r="J398">
        <v>263.00398235021532</v>
      </c>
      <c r="K398">
        <v>83.05995017697569</v>
      </c>
      <c r="L398" t="s">
        <v>154</v>
      </c>
    </row>
    <row r="399" spans="1:12">
      <c r="A399" s="164" t="s">
        <v>87</v>
      </c>
      <c r="B399">
        <v>38.897423715886298</v>
      </c>
      <c r="C399">
        <v>-76.911825683464457</v>
      </c>
      <c r="D399" s="165" t="s">
        <v>18</v>
      </c>
      <c r="E399">
        <v>38.914489864708663</v>
      </c>
      <c r="F399">
        <v>-77.049531913503088</v>
      </c>
      <c r="G399" s="167">
        <v>7.4959116642027528</v>
      </c>
      <c r="H399" s="168">
        <v>279.09209546844329</v>
      </c>
      <c r="I399" s="169">
        <v>99.005609875584412</v>
      </c>
      <c r="J399">
        <v>279.00560987558441</v>
      </c>
      <c r="K399">
        <v>99.09209546844329</v>
      </c>
      <c r="L399" t="s">
        <v>154</v>
      </c>
    </row>
    <row r="400" spans="1:12">
      <c r="A400" s="164" t="s">
        <v>41</v>
      </c>
      <c r="B400">
        <v>38.94312493001874</v>
      </c>
      <c r="C400">
        <v>-77.019266706492502</v>
      </c>
      <c r="D400" s="165" t="s">
        <v>15</v>
      </c>
      <c r="E400">
        <v>38.83334538875507</v>
      </c>
      <c r="F400">
        <v>-77.176201826008182</v>
      </c>
      <c r="G400" s="167">
        <v>11.345370011237026</v>
      </c>
      <c r="H400" s="168">
        <v>228.1032973509773</v>
      </c>
      <c r="I400" s="169">
        <v>48.004772891364674</v>
      </c>
      <c r="J400">
        <v>228.00477289136467</v>
      </c>
      <c r="K400">
        <v>48.1032973509773</v>
      </c>
      <c r="L400" t="s">
        <v>154</v>
      </c>
    </row>
    <row r="401" spans="1:12">
      <c r="A401" s="164" t="s">
        <v>107</v>
      </c>
      <c r="B401">
        <v>38.909632012495202</v>
      </c>
      <c r="C401">
        <v>-77.043450337735848</v>
      </c>
      <c r="D401" s="165" t="s">
        <v>56</v>
      </c>
      <c r="E401">
        <v>38.947325108309627</v>
      </c>
      <c r="F401">
        <v>-77.021883345949419</v>
      </c>
      <c r="G401" s="167">
        <v>2.8501379999765835</v>
      </c>
      <c r="H401" s="168">
        <v>23.987620477662858</v>
      </c>
      <c r="I401" s="169">
        <v>204.00117209350384</v>
      </c>
      <c r="J401">
        <v>24.00117209350384</v>
      </c>
      <c r="K401">
        <v>203.98762047766286</v>
      </c>
      <c r="L401" t="s">
        <v>154</v>
      </c>
    </row>
    <row r="402" spans="1:12">
      <c r="A402" s="164" t="s">
        <v>107</v>
      </c>
      <c r="B402">
        <v>38.909632012495202</v>
      </c>
      <c r="C402">
        <v>-77.043450337735848</v>
      </c>
      <c r="D402" s="165" t="s">
        <v>3</v>
      </c>
      <c r="E402">
        <v>38.920055892874778</v>
      </c>
      <c r="F402">
        <v>-76.94844865915428</v>
      </c>
      <c r="G402" s="167">
        <v>5.1568526555232328</v>
      </c>
      <c r="H402" s="168">
        <v>81.943371723177265</v>
      </c>
      <c r="I402" s="169">
        <v>262.00304842888357</v>
      </c>
      <c r="J402">
        <v>82.003048428883574</v>
      </c>
      <c r="K402">
        <v>261.94337172317728</v>
      </c>
      <c r="L402" t="s">
        <v>154</v>
      </c>
    </row>
    <row r="403" spans="1:12">
      <c r="A403" s="164" t="s">
        <v>56</v>
      </c>
      <c r="B403">
        <v>38.947325108309627</v>
      </c>
      <c r="C403">
        <v>-77.021883345949419</v>
      </c>
      <c r="D403" s="165" t="s">
        <v>162</v>
      </c>
      <c r="E403">
        <v>38.863742890040719</v>
      </c>
      <c r="F403">
        <v>-77.04279029496989</v>
      </c>
      <c r="G403" s="167">
        <v>5.8822375775283424</v>
      </c>
      <c r="H403" s="168">
        <v>191.02154945415785</v>
      </c>
      <c r="I403" s="169">
        <v>11.0084190874759</v>
      </c>
      <c r="J403">
        <v>191.00841908747589</v>
      </c>
      <c r="K403">
        <v>11.021549454157821</v>
      </c>
      <c r="L403" t="s">
        <v>154</v>
      </c>
    </row>
    <row r="404" spans="1:12">
      <c r="A404" s="164" t="s">
        <v>94</v>
      </c>
      <c r="B404">
        <v>38.909631706139457</v>
      </c>
      <c r="C404">
        <v>-77.029568629434891</v>
      </c>
      <c r="D404" s="165" t="s">
        <v>201</v>
      </c>
      <c r="E404">
        <v>38.833009876161171</v>
      </c>
      <c r="F404">
        <v>-77.065415633235574</v>
      </c>
      <c r="G404" s="167">
        <v>5.6332354536446125</v>
      </c>
      <c r="H404" s="168">
        <v>200.02503867121735</v>
      </c>
      <c r="I404" s="169">
        <v>20.002542038540398</v>
      </c>
      <c r="J404">
        <v>200.00254203854041</v>
      </c>
      <c r="K404">
        <v>20.025038671217317</v>
      </c>
      <c r="L404" t="s">
        <v>154</v>
      </c>
    </row>
    <row r="405" spans="1:12">
      <c r="A405" s="164" t="s">
        <v>94</v>
      </c>
      <c r="B405">
        <v>38.909631706139457</v>
      </c>
      <c r="C405">
        <v>-77.029568629434891</v>
      </c>
      <c r="D405" s="165" t="s">
        <v>16</v>
      </c>
      <c r="E405">
        <v>38.912268638824223</v>
      </c>
      <c r="F405">
        <v>-77.124748759002642</v>
      </c>
      <c r="G405" s="167">
        <v>5.1194445961069528</v>
      </c>
      <c r="H405" s="168">
        <v>272.06901548087353</v>
      </c>
      <c r="I405" s="169">
        <v>92.009231711806464</v>
      </c>
      <c r="J405">
        <v>272.00923171180648</v>
      </c>
      <c r="K405">
        <v>92.069015480873531</v>
      </c>
      <c r="L405" t="s">
        <v>154</v>
      </c>
    </row>
    <row r="406" spans="1:12">
      <c r="A406" s="164" t="s">
        <v>94</v>
      </c>
      <c r="B406">
        <v>38.909631706139457</v>
      </c>
      <c r="C406">
        <v>-77.029568629434891</v>
      </c>
      <c r="D406" s="165" t="s">
        <v>11</v>
      </c>
      <c r="E406">
        <v>38.923121509621552</v>
      </c>
      <c r="F406">
        <v>-77.074683546770501</v>
      </c>
      <c r="G406" s="167">
        <v>2.597766192316632</v>
      </c>
      <c r="H406" s="168">
        <v>291.03593517789585</v>
      </c>
      <c r="I406" s="169">
        <v>111.007594641091</v>
      </c>
      <c r="J406">
        <v>291.00759464109103</v>
      </c>
      <c r="K406">
        <v>111.03593517789585</v>
      </c>
      <c r="L406" t="s">
        <v>154</v>
      </c>
    </row>
    <row r="407" spans="1:12">
      <c r="A407" s="164" t="s">
        <v>115</v>
      </c>
      <c r="B407">
        <v>38.884715252208309</v>
      </c>
      <c r="C407">
        <v>-77.07961687570274</v>
      </c>
      <c r="D407" s="165" t="s">
        <v>129</v>
      </c>
      <c r="E407">
        <v>39.010042682733477</v>
      </c>
      <c r="F407">
        <v>-77.042440353879812</v>
      </c>
      <c r="G407" s="167">
        <v>8.8850393965978132</v>
      </c>
      <c r="H407" s="168">
        <v>12.979177780640734</v>
      </c>
      <c r="I407" s="169">
        <v>193.00254719417416</v>
      </c>
      <c r="J407">
        <v>13.002547194174156</v>
      </c>
      <c r="K407">
        <v>192.97917778064073</v>
      </c>
      <c r="L407" t="s">
        <v>154</v>
      </c>
    </row>
    <row r="408" spans="1:12">
      <c r="A408" s="164" t="s">
        <v>197</v>
      </c>
      <c r="B408">
        <v>38.870688770261303</v>
      </c>
      <c r="C408">
        <v>-77.009073886696044</v>
      </c>
      <c r="D408" s="165" t="s">
        <v>27</v>
      </c>
      <c r="E408">
        <v>38.874515971394558</v>
      </c>
      <c r="F408">
        <v>-77.146392815978004</v>
      </c>
      <c r="G408" s="167">
        <v>7.389999771069923</v>
      </c>
      <c r="H408" s="168">
        <v>272.09333189039518</v>
      </c>
      <c r="I408" s="169">
        <v>92.00715176227888</v>
      </c>
      <c r="J408">
        <v>272.00715176227891</v>
      </c>
      <c r="K408">
        <v>92.093331890395177</v>
      </c>
      <c r="L408" t="s">
        <v>154</v>
      </c>
    </row>
    <row r="409" spans="1:12">
      <c r="A409" s="164" t="s">
        <v>166</v>
      </c>
      <c r="B409">
        <v>38.689228316924762</v>
      </c>
      <c r="C409">
        <v>-77.043517969766754</v>
      </c>
      <c r="D409" s="165" t="s">
        <v>119</v>
      </c>
      <c r="E409">
        <v>38.918835090612639</v>
      </c>
      <c r="F409">
        <v>-77.007394020653479</v>
      </c>
      <c r="G409" s="167">
        <v>15.980036183260887</v>
      </c>
      <c r="H409" s="168">
        <v>6.9786080852631001</v>
      </c>
      <c r="I409" s="169">
        <v>187.00124551631237</v>
      </c>
      <c r="J409">
        <v>7.0012455163123377</v>
      </c>
      <c r="K409">
        <v>186.97860808526309</v>
      </c>
      <c r="L409" t="s">
        <v>154</v>
      </c>
    </row>
    <row r="410" spans="1:12">
      <c r="A410" s="164" t="s">
        <v>202</v>
      </c>
      <c r="B410">
        <v>38.710790497835873</v>
      </c>
      <c r="C410">
        <v>-77.0352088314432</v>
      </c>
      <c r="D410" s="165" t="s">
        <v>10</v>
      </c>
      <c r="E410">
        <v>38.886870293837752</v>
      </c>
      <c r="F410">
        <v>-76.9299762903957</v>
      </c>
      <c r="G410" s="167">
        <v>13.418310219520846</v>
      </c>
      <c r="H410" s="168">
        <v>24.941837295752819</v>
      </c>
      <c r="I410" s="169">
        <v>205.00777482199857</v>
      </c>
      <c r="J410">
        <v>25.007774821998566</v>
      </c>
      <c r="K410">
        <v>204.9418372957528</v>
      </c>
      <c r="L410" t="s">
        <v>154</v>
      </c>
    </row>
    <row r="411" spans="1:12">
      <c r="A411" s="164" t="s">
        <v>165</v>
      </c>
      <c r="B411">
        <v>38.709536573715518</v>
      </c>
      <c r="C411">
        <v>-77.026233748190492</v>
      </c>
      <c r="D411" s="165" t="s">
        <v>173</v>
      </c>
      <c r="E411">
        <v>38.988765681572232</v>
      </c>
      <c r="F411">
        <v>-77.16354886186852</v>
      </c>
      <c r="G411" s="167">
        <v>20.65544571997458</v>
      </c>
      <c r="H411" s="168">
        <v>339.08686441253866</v>
      </c>
      <c r="I411" s="169">
        <v>159.00073018728736</v>
      </c>
      <c r="J411">
        <v>339.00073018728733</v>
      </c>
      <c r="K411">
        <v>159.08686441253872</v>
      </c>
      <c r="L411" t="s">
        <v>154</v>
      </c>
    </row>
    <row r="412" spans="1:12">
      <c r="A412" s="164" t="s">
        <v>189</v>
      </c>
      <c r="B412">
        <v>38.847398855787837</v>
      </c>
      <c r="C412">
        <v>-77.059730973390245</v>
      </c>
      <c r="D412" s="165" t="s">
        <v>4</v>
      </c>
      <c r="E412">
        <v>38.905331247930313</v>
      </c>
      <c r="F412">
        <v>-77.10094955658019</v>
      </c>
      <c r="G412" s="167">
        <v>4.5748835298251844</v>
      </c>
      <c r="H412" s="168">
        <v>331.03086271857308</v>
      </c>
      <c r="I412" s="169">
        <v>151.00499220171304</v>
      </c>
      <c r="J412">
        <v>331.00499220171304</v>
      </c>
      <c r="K412">
        <v>151.03086271857308</v>
      </c>
      <c r="L412" t="s">
        <v>154</v>
      </c>
    </row>
    <row r="413" spans="1:12">
      <c r="A413" s="164" t="s">
        <v>129</v>
      </c>
      <c r="B413">
        <v>39.010042682733477</v>
      </c>
      <c r="C413">
        <v>-77.042440353879812</v>
      </c>
      <c r="D413" s="165" t="s">
        <v>167</v>
      </c>
      <c r="E413">
        <v>38.993556118205731</v>
      </c>
      <c r="F413">
        <v>-77.037930927681117</v>
      </c>
      <c r="G413" s="167">
        <v>1.1643385630616105</v>
      </c>
      <c r="H413" s="168">
        <v>167.99836229662554</v>
      </c>
      <c r="I413" s="169">
        <v>348.00120028057472</v>
      </c>
      <c r="J413">
        <v>168.00120028057472</v>
      </c>
      <c r="K413">
        <v>347.99836229662554</v>
      </c>
      <c r="L413" t="s">
        <v>154</v>
      </c>
    </row>
    <row r="414" spans="1:12">
      <c r="A414" s="164" t="s">
        <v>128</v>
      </c>
      <c r="B414">
        <v>39.005339472519637</v>
      </c>
      <c r="C414">
        <v>-77.038062048737274</v>
      </c>
      <c r="D414" s="165" t="s">
        <v>25</v>
      </c>
      <c r="E414">
        <v>38.904990813622462</v>
      </c>
      <c r="F414">
        <v>-77.128535953950191</v>
      </c>
      <c r="G414" s="167">
        <v>8.4661388452601507</v>
      </c>
      <c r="H414" s="168">
        <v>215.06332837733785</v>
      </c>
      <c r="I414" s="169">
        <v>35.006446312208126</v>
      </c>
      <c r="J414">
        <v>215.00644631220814</v>
      </c>
      <c r="K414">
        <v>35.063328377337825</v>
      </c>
      <c r="L414" t="s">
        <v>154</v>
      </c>
    </row>
    <row r="415" spans="1:12">
      <c r="A415" s="164" t="s">
        <v>261</v>
      </c>
      <c r="B415">
        <v>38.902741392095898</v>
      </c>
      <c r="C415">
        <v>-77.022944738479183</v>
      </c>
      <c r="D415" s="165" t="s">
        <v>117</v>
      </c>
      <c r="E415">
        <v>38.932037569820068</v>
      </c>
      <c r="F415">
        <v>-77.093677384943518</v>
      </c>
      <c r="G415" s="167">
        <v>4.3068431111316352</v>
      </c>
      <c r="H415" s="168">
        <v>298.04999145311331</v>
      </c>
      <c r="I415" s="169">
        <v>118.00555725431512</v>
      </c>
      <c r="J415">
        <v>298.00555725431514</v>
      </c>
      <c r="K415">
        <v>118.04999145311331</v>
      </c>
      <c r="L415" t="s">
        <v>154</v>
      </c>
    </row>
    <row r="416" spans="1:12">
      <c r="A416" s="164" t="s">
        <v>151</v>
      </c>
      <c r="B416">
        <v>38.899994319306728</v>
      </c>
      <c r="C416">
        <v>-77.036569</v>
      </c>
      <c r="D416" s="165" t="s">
        <v>6</v>
      </c>
      <c r="E416">
        <v>38.849500020681234</v>
      </c>
      <c r="F416">
        <v>-77.004921790891075</v>
      </c>
      <c r="G416" s="167">
        <v>3.8812364183307504</v>
      </c>
      <c r="H416" s="168">
        <v>153.98065857698512</v>
      </c>
      <c r="I416" s="169">
        <v>334.00052100027796</v>
      </c>
      <c r="J416">
        <v>154.00052100027801</v>
      </c>
      <c r="K416">
        <v>333.98065857698509</v>
      </c>
      <c r="L416" t="s">
        <v>154</v>
      </c>
    </row>
    <row r="417" spans="1:12">
      <c r="A417" s="164" t="s">
        <v>122</v>
      </c>
      <c r="B417">
        <v>38.899509095632219</v>
      </c>
      <c r="C417">
        <v>-77.057553372632484</v>
      </c>
      <c r="D417" s="165" t="s">
        <v>95</v>
      </c>
      <c r="E417">
        <v>39.448886999999999</v>
      </c>
      <c r="F417">
        <v>-77.627617999999998</v>
      </c>
      <c r="G417" s="167">
        <v>48.705836466084385</v>
      </c>
      <c r="H417" s="168">
        <v>321.36581469380724</v>
      </c>
      <c r="I417" s="169">
        <v>141.00571019890435</v>
      </c>
      <c r="J417">
        <v>321.00571019890435</v>
      </c>
      <c r="K417">
        <v>141.36581469380724</v>
      </c>
      <c r="L417" t="s">
        <v>154</v>
      </c>
    </row>
    <row r="418" spans="1:12">
      <c r="A418" s="164" t="s">
        <v>185</v>
      </c>
      <c r="B418">
        <v>38.900944613209226</v>
      </c>
      <c r="C418">
        <v>-77.059114197487261</v>
      </c>
      <c r="D418" s="165" t="s">
        <v>178</v>
      </c>
      <c r="E418">
        <v>38.77367519361357</v>
      </c>
      <c r="F418">
        <v>-76.972158414322777</v>
      </c>
      <c r="G418" s="167">
        <v>9.9593292872792549</v>
      </c>
      <c r="H418" s="168">
        <v>151.95093529616102</v>
      </c>
      <c r="I418" s="169">
        <v>332.00546627891327</v>
      </c>
      <c r="J418">
        <v>152.00546627891322</v>
      </c>
      <c r="K418">
        <v>331.95093529616099</v>
      </c>
      <c r="L418" t="s">
        <v>154</v>
      </c>
    </row>
    <row r="419" spans="1:12">
      <c r="A419" s="164" t="s">
        <v>185</v>
      </c>
      <c r="B419">
        <v>38.900944613209226</v>
      </c>
      <c r="C419">
        <v>-77.059114197487261</v>
      </c>
      <c r="D419" s="165" t="s">
        <v>95</v>
      </c>
      <c r="E419">
        <v>39.448886999999999</v>
      </c>
      <c r="F419">
        <v>-77.627617999999998</v>
      </c>
      <c r="G419" s="167">
        <v>48.575983676804725</v>
      </c>
      <c r="H419" s="168">
        <v>321.36911883686469</v>
      </c>
      <c r="I419" s="169">
        <v>141.00999481065918</v>
      </c>
      <c r="J419">
        <v>321.00999481065918</v>
      </c>
      <c r="K419">
        <v>141.36911883686469</v>
      </c>
      <c r="L419" t="s">
        <v>154</v>
      </c>
    </row>
    <row r="420" spans="1:12">
      <c r="A420" s="164" t="s">
        <v>64</v>
      </c>
      <c r="B420">
        <v>38.855138000000018</v>
      </c>
      <c r="C420">
        <v>-77.023560400000008</v>
      </c>
      <c r="D420" s="165" t="s">
        <v>5</v>
      </c>
      <c r="E420">
        <v>38.873731147841703</v>
      </c>
      <c r="F420">
        <v>-77.070387413691392</v>
      </c>
      <c r="G420" s="167">
        <v>2.8273217315110348</v>
      </c>
      <c r="H420" s="168">
        <v>297.03379379070941</v>
      </c>
      <c r="I420" s="169">
        <v>117.00441078157489</v>
      </c>
      <c r="J420">
        <v>297.0044107815749</v>
      </c>
      <c r="K420">
        <v>117.03379379070941</v>
      </c>
      <c r="L420" t="s">
        <v>154</v>
      </c>
    </row>
    <row r="421" spans="1:12">
      <c r="A421" s="164" t="s">
        <v>164</v>
      </c>
      <c r="B421">
        <v>38.888944385745397</v>
      </c>
      <c r="C421">
        <v>-77.000964800836925</v>
      </c>
      <c r="D421" s="165" t="s">
        <v>33</v>
      </c>
      <c r="E421">
        <v>38.918966507717499</v>
      </c>
      <c r="F421">
        <v>-77.24236058241425</v>
      </c>
      <c r="G421" s="167">
        <v>13.14166411549834</v>
      </c>
      <c r="H421" s="168">
        <v>279.1557914032154</v>
      </c>
      <c r="I421" s="169">
        <v>99.00419066012519</v>
      </c>
      <c r="J421">
        <v>279.00419066012518</v>
      </c>
      <c r="K421">
        <v>99.155791403215403</v>
      </c>
      <c r="L421" t="s">
        <v>154</v>
      </c>
    </row>
    <row r="422" spans="1:12">
      <c r="A422" s="164" t="s">
        <v>49</v>
      </c>
      <c r="B422">
        <v>38.915519421202269</v>
      </c>
      <c r="C422">
        <v>-77.089236402778027</v>
      </c>
      <c r="D422" s="165" t="s">
        <v>153</v>
      </c>
      <c r="E422">
        <v>38.945071482174598</v>
      </c>
      <c r="F422">
        <v>-77.038834596689199</v>
      </c>
      <c r="G422" s="167">
        <v>3.3916873008113657</v>
      </c>
      <c r="H422" s="168">
        <v>52.977993212437731</v>
      </c>
      <c r="I422" s="169">
        <v>233.00966442291804</v>
      </c>
      <c r="J422">
        <v>53.009664422918036</v>
      </c>
      <c r="K422">
        <v>232.97799321243772</v>
      </c>
      <c r="L422" t="s">
        <v>154</v>
      </c>
    </row>
    <row r="423" spans="1:12">
      <c r="A423" s="164" t="s">
        <v>5</v>
      </c>
      <c r="B423">
        <v>38.873731147841703</v>
      </c>
      <c r="C423">
        <v>-77.070387413691392</v>
      </c>
      <c r="D423" s="165" t="s">
        <v>153</v>
      </c>
      <c r="E423">
        <v>38.945071482174598</v>
      </c>
      <c r="F423">
        <v>-77.038834596689199</v>
      </c>
      <c r="G423" s="167">
        <v>5.2118974522398354</v>
      </c>
      <c r="H423" s="168">
        <v>18.981522809037994</v>
      </c>
      <c r="I423" s="169">
        <v>199.00134084556197</v>
      </c>
      <c r="J423">
        <v>19.00134084556197</v>
      </c>
      <c r="K423">
        <v>198.98152280903798</v>
      </c>
      <c r="L423" t="s">
        <v>154</v>
      </c>
    </row>
    <row r="424" spans="1:12">
      <c r="A424" s="164" t="s">
        <v>5</v>
      </c>
      <c r="B424">
        <v>38.873731147841703</v>
      </c>
      <c r="C424">
        <v>-77.070387413691392</v>
      </c>
      <c r="D424" s="165" t="s">
        <v>50</v>
      </c>
      <c r="E424">
        <v>38.825547076803183</v>
      </c>
      <c r="F424">
        <v>-77.014661035126181</v>
      </c>
      <c r="G424" s="167">
        <v>4.4796819438978002</v>
      </c>
      <c r="H424" s="168">
        <v>137.97314156435908</v>
      </c>
      <c r="I424" s="169">
        <v>318.00809754320983</v>
      </c>
      <c r="J424">
        <v>138.00809754320983</v>
      </c>
      <c r="K424">
        <v>317.97314156435908</v>
      </c>
      <c r="L424" t="s">
        <v>154</v>
      </c>
    </row>
    <row r="425" spans="1:12">
      <c r="A425" s="164" t="s">
        <v>3</v>
      </c>
      <c r="B425">
        <v>38.920055892874778</v>
      </c>
      <c r="C425">
        <v>-76.94844865915428</v>
      </c>
      <c r="D425" s="165" t="s">
        <v>117</v>
      </c>
      <c r="E425">
        <v>38.932037569820068</v>
      </c>
      <c r="F425">
        <v>-77.093677384943518</v>
      </c>
      <c r="G425" s="167">
        <v>7.8485618098185759</v>
      </c>
      <c r="H425" s="168">
        <v>276.09919156089671</v>
      </c>
      <c r="I425" s="169">
        <v>96.007941885039415</v>
      </c>
      <c r="J425">
        <v>276.00794188503943</v>
      </c>
      <c r="K425">
        <v>96.099191560896713</v>
      </c>
      <c r="L425" t="s">
        <v>154</v>
      </c>
    </row>
    <row r="426" spans="1:12">
      <c r="A426" s="164" t="s">
        <v>15</v>
      </c>
      <c r="B426">
        <v>38.83334538875507</v>
      </c>
      <c r="C426">
        <v>-77.176201826008182</v>
      </c>
      <c r="D426" s="165" t="s">
        <v>119</v>
      </c>
      <c r="E426">
        <v>38.918835090612639</v>
      </c>
      <c r="F426">
        <v>-77.007394020653479</v>
      </c>
      <c r="G426" s="167">
        <v>10.830191278048728</v>
      </c>
      <c r="H426" s="168">
        <v>56.902290492137254</v>
      </c>
      <c r="I426" s="169">
        <v>237.00824080174812</v>
      </c>
      <c r="J426">
        <v>57.008240801748116</v>
      </c>
      <c r="K426">
        <v>236.90229049213724</v>
      </c>
      <c r="L426" t="s">
        <v>154</v>
      </c>
    </row>
    <row r="427" spans="1:12">
      <c r="A427" s="164" t="s">
        <v>29</v>
      </c>
      <c r="B427">
        <v>38.931322965354973</v>
      </c>
      <c r="C427">
        <v>-76.917209455745677</v>
      </c>
      <c r="D427" s="165" t="s">
        <v>95</v>
      </c>
      <c r="E427">
        <v>39.448886999999999</v>
      </c>
      <c r="F427">
        <v>-77.627617999999998</v>
      </c>
      <c r="G427" s="167">
        <v>52.201473104670413</v>
      </c>
      <c r="H427" s="168">
        <v>313.45227949894684</v>
      </c>
      <c r="I427" s="169">
        <v>133.00336753173889</v>
      </c>
      <c r="J427">
        <v>313.00336753173889</v>
      </c>
      <c r="K427">
        <v>133.45227949894684</v>
      </c>
      <c r="L427" t="s">
        <v>154</v>
      </c>
    </row>
    <row r="428" spans="1:12">
      <c r="A428" s="164" t="s">
        <v>66</v>
      </c>
      <c r="B428">
        <v>38.889801299593749</v>
      </c>
      <c r="C428">
        <v>-77.036569080803147</v>
      </c>
      <c r="D428" s="165" t="s">
        <v>14</v>
      </c>
      <c r="E428">
        <v>38.914649550911903</v>
      </c>
      <c r="F428">
        <v>-77.004648326263094</v>
      </c>
      <c r="G428" s="167">
        <v>2.4271884372296735</v>
      </c>
      <c r="H428" s="168">
        <v>44.981997078136999</v>
      </c>
      <c r="I428" s="169">
        <v>225.00204309842223</v>
      </c>
      <c r="J428">
        <v>45.002043098422234</v>
      </c>
      <c r="K428">
        <v>224.981997078137</v>
      </c>
      <c r="L428" t="s">
        <v>285</v>
      </c>
    </row>
    <row r="429" spans="1:12">
      <c r="A429" s="164" t="s">
        <v>182</v>
      </c>
      <c r="B429">
        <v>38.888814177374293</v>
      </c>
      <c r="C429">
        <v>-77.008603272094433</v>
      </c>
      <c r="D429" s="165" t="s">
        <v>168</v>
      </c>
      <c r="E429">
        <v>38.904077195910197</v>
      </c>
      <c r="F429">
        <v>-77.081655757436437</v>
      </c>
      <c r="G429" s="167">
        <v>4.0666440222585294</v>
      </c>
      <c r="H429" s="168">
        <v>285.04986670072714</v>
      </c>
      <c r="I429" s="169">
        <v>105.00399596140302</v>
      </c>
      <c r="J429">
        <v>285.00399596140301</v>
      </c>
      <c r="K429">
        <v>105.04986670072714</v>
      </c>
      <c r="L429" t="s">
        <v>285</v>
      </c>
    </row>
    <row r="430" spans="1:12">
      <c r="A430" s="164" t="s">
        <v>253</v>
      </c>
      <c r="B430">
        <v>38.888987189853758</v>
      </c>
      <c r="C430">
        <v>-77.012333798205077</v>
      </c>
      <c r="D430" s="165" t="s">
        <v>45</v>
      </c>
      <c r="E430">
        <v>38.989097905845689</v>
      </c>
      <c r="F430">
        <v>-77.046770824431448</v>
      </c>
      <c r="G430" s="167">
        <v>7.1589235058773015</v>
      </c>
      <c r="H430" s="168">
        <v>345.03161909512812</v>
      </c>
      <c r="I430" s="169">
        <v>165.00997564886973</v>
      </c>
      <c r="J430">
        <v>345.00997564886973</v>
      </c>
      <c r="K430">
        <v>165.03161909512812</v>
      </c>
      <c r="L430" t="s">
        <v>285</v>
      </c>
    </row>
    <row r="431" spans="1:12">
      <c r="A431" s="164" t="s">
        <v>263</v>
      </c>
      <c r="B431">
        <v>38.893613869460523</v>
      </c>
      <c r="C431">
        <v>-77.009077956021031</v>
      </c>
      <c r="D431" s="165" t="s">
        <v>11</v>
      </c>
      <c r="E431">
        <v>38.923121509621552</v>
      </c>
      <c r="F431">
        <v>-77.074683546770501</v>
      </c>
      <c r="G431" s="167">
        <v>4.0733348811289591</v>
      </c>
      <c r="H431" s="168">
        <v>300.04860740233448</v>
      </c>
      <c r="I431" s="169">
        <v>120.00740205474452</v>
      </c>
      <c r="J431">
        <v>300.00740205474449</v>
      </c>
      <c r="K431">
        <v>120.04860740233448</v>
      </c>
      <c r="L431" t="s">
        <v>285</v>
      </c>
    </row>
    <row r="432" spans="1:12">
      <c r="A432" s="164" t="s">
        <v>186</v>
      </c>
      <c r="B432">
        <v>38.885561745965539</v>
      </c>
      <c r="C432">
        <v>-77.009887373032456</v>
      </c>
      <c r="D432" s="165" t="s">
        <v>46</v>
      </c>
      <c r="E432">
        <v>38.894079057995107</v>
      </c>
      <c r="F432">
        <v>-77.050685019751967</v>
      </c>
      <c r="G432" s="167">
        <v>2.2711790482770198</v>
      </c>
      <c r="H432" s="168">
        <v>285.02724016986701</v>
      </c>
      <c r="I432" s="169">
        <v>105.0016263955935</v>
      </c>
      <c r="J432">
        <v>285.00162639559352</v>
      </c>
      <c r="K432">
        <v>105.02724016986701</v>
      </c>
      <c r="L432" t="s">
        <v>285</v>
      </c>
    </row>
    <row r="433" spans="1:12">
      <c r="A433" s="164" t="s">
        <v>135</v>
      </c>
      <c r="B433">
        <v>38.893596140000007</v>
      </c>
      <c r="C433">
        <v>-77.040985579999997</v>
      </c>
      <c r="D433" s="165" t="s">
        <v>188</v>
      </c>
      <c r="E433">
        <v>38.870043712048712</v>
      </c>
      <c r="F433">
        <v>-77.058459317904109</v>
      </c>
      <c r="G433" s="167">
        <v>1.8788517820484212</v>
      </c>
      <c r="H433" s="168">
        <v>210.01332436503154</v>
      </c>
      <c r="I433" s="169">
        <v>30.002355818350718</v>
      </c>
      <c r="J433">
        <v>210.00235581835071</v>
      </c>
      <c r="K433">
        <v>30.013324365031508</v>
      </c>
      <c r="L433" t="s">
        <v>285</v>
      </c>
    </row>
    <row r="434" spans="1:12">
      <c r="A434" s="164" t="s">
        <v>83</v>
      </c>
      <c r="B434">
        <v>38.893245129999983</v>
      </c>
      <c r="C434">
        <v>-77.172301140000016</v>
      </c>
      <c r="D434" s="165" t="s">
        <v>256</v>
      </c>
      <c r="E434">
        <v>38.871476946892543</v>
      </c>
      <c r="F434">
        <v>-77.067752201956665</v>
      </c>
      <c r="G434" s="167">
        <v>5.8196977815784763</v>
      </c>
      <c r="H434" s="168">
        <v>104.9417048143044</v>
      </c>
      <c r="I434" s="169">
        <v>285.00733264551354</v>
      </c>
      <c r="J434">
        <v>105.00733264551354</v>
      </c>
      <c r="K434">
        <v>284.94170481430439</v>
      </c>
      <c r="L434" t="s">
        <v>285</v>
      </c>
    </row>
    <row r="435" spans="1:12">
      <c r="A435" s="164" t="s">
        <v>118</v>
      </c>
      <c r="B435">
        <v>38.942139058947483</v>
      </c>
      <c r="C435">
        <v>-77.010995768444687</v>
      </c>
      <c r="D435" s="165" t="s">
        <v>193</v>
      </c>
      <c r="E435">
        <v>38.967911031638792</v>
      </c>
      <c r="F435">
        <v>-77.068345449756862</v>
      </c>
      <c r="G435" s="167">
        <v>3.5582112951120362</v>
      </c>
      <c r="H435" s="168">
        <v>300.0408160361302</v>
      </c>
      <c r="I435" s="169">
        <v>120.00475970563028</v>
      </c>
      <c r="J435">
        <v>300.00475970563025</v>
      </c>
      <c r="K435">
        <v>120.0408160361302</v>
      </c>
      <c r="L435" t="s">
        <v>285</v>
      </c>
    </row>
    <row r="436" spans="1:12">
      <c r="A436" s="164" t="s">
        <v>70</v>
      </c>
      <c r="B436">
        <v>38.91858289999999</v>
      </c>
      <c r="C436">
        <v>-76.941921800000017</v>
      </c>
      <c r="D436" s="165" t="s">
        <v>149</v>
      </c>
      <c r="E436">
        <v>38.957046438880887</v>
      </c>
      <c r="F436">
        <v>-76.991344852497164</v>
      </c>
      <c r="G436" s="167">
        <v>3.756639398788896</v>
      </c>
      <c r="H436" s="168">
        <v>315.03108306633544</v>
      </c>
      <c r="I436" s="169">
        <v>135.00002183370071</v>
      </c>
      <c r="J436">
        <v>315.00002183370071</v>
      </c>
      <c r="K436">
        <v>135.03108306633544</v>
      </c>
      <c r="L436" t="s">
        <v>285</v>
      </c>
    </row>
    <row r="437" spans="1:12">
      <c r="A437" s="164" t="s">
        <v>150</v>
      </c>
      <c r="B437">
        <v>38.926245969493429</v>
      </c>
      <c r="C437">
        <v>-76.951888012920421</v>
      </c>
      <c r="D437" s="165" t="s">
        <v>31</v>
      </c>
      <c r="E437">
        <v>38.938415626440083</v>
      </c>
      <c r="F437">
        <v>-77.010186601521028</v>
      </c>
      <c r="G437" s="167">
        <v>3.2436089535163468</v>
      </c>
      <c r="H437" s="168">
        <v>285.03978142919448</v>
      </c>
      <c r="I437" s="169">
        <v>105.0031464713513</v>
      </c>
      <c r="J437">
        <v>285.00314647135133</v>
      </c>
      <c r="K437">
        <v>105.03978142919448</v>
      </c>
      <c r="L437" t="s">
        <v>285</v>
      </c>
    </row>
    <row r="438" spans="1:12">
      <c r="A438" s="164" t="s">
        <v>67</v>
      </c>
      <c r="B438">
        <v>38.897788758778049</v>
      </c>
      <c r="C438">
        <v>-77.036569</v>
      </c>
      <c r="D438" s="165" t="s">
        <v>96</v>
      </c>
      <c r="E438">
        <v>38.899664999999999</v>
      </c>
      <c r="F438">
        <v>-77.698808999999997</v>
      </c>
      <c r="G438" s="167">
        <v>35.603572962722559</v>
      </c>
      <c r="H438" s="168">
        <v>270.41650362807627</v>
      </c>
      <c r="I438" s="169">
        <v>90.000650020647726</v>
      </c>
      <c r="J438">
        <v>270.00065002064775</v>
      </c>
      <c r="K438">
        <v>90.416503628076271</v>
      </c>
      <c r="L438" t="s">
        <v>295</v>
      </c>
    </row>
    <row r="439" spans="1:12">
      <c r="A439" s="164" t="s">
        <v>251</v>
      </c>
      <c r="B439">
        <v>38.888685784961083</v>
      </c>
      <c r="C439">
        <v>-77.004678711651678</v>
      </c>
      <c r="D439" s="165" t="s">
        <v>54</v>
      </c>
      <c r="E439">
        <v>38.888694362898732</v>
      </c>
      <c r="F439">
        <v>-76.942542813218694</v>
      </c>
      <c r="G439" s="167">
        <v>3.3410286801762386</v>
      </c>
      <c r="H439" s="168">
        <v>89.970333265516786</v>
      </c>
      <c r="I439" s="169">
        <v>270.00934277042813</v>
      </c>
      <c r="J439">
        <v>90.009342770428134</v>
      </c>
      <c r="K439">
        <v>269.97033326551679</v>
      </c>
      <c r="L439" t="s">
        <v>295</v>
      </c>
    </row>
    <row r="440" spans="1:12">
      <c r="A440" s="164" t="s">
        <v>134</v>
      </c>
      <c r="B440">
        <v>38.892786699999967</v>
      </c>
      <c r="C440">
        <v>-77.040679699999998</v>
      </c>
      <c r="D440" s="165" t="s">
        <v>132</v>
      </c>
      <c r="E440">
        <v>38.909694801858848</v>
      </c>
      <c r="F440">
        <v>-76.973871148151133</v>
      </c>
      <c r="G440" s="167">
        <v>3.7767898292396977</v>
      </c>
      <c r="H440" s="168">
        <v>71.964323059321757</v>
      </c>
      <c r="I440" s="169">
        <v>252.00627749107207</v>
      </c>
      <c r="J440">
        <v>72.006277491072069</v>
      </c>
      <c r="K440">
        <v>251.96432305932177</v>
      </c>
      <c r="L440" t="s">
        <v>311</v>
      </c>
    </row>
    <row r="441" spans="1:12">
      <c r="A441" s="164" t="s">
        <v>122</v>
      </c>
      <c r="B441">
        <v>38.899509095632219</v>
      </c>
      <c r="C441">
        <v>-77.057553372632484</v>
      </c>
      <c r="D441" s="165" t="s">
        <v>111</v>
      </c>
      <c r="E441">
        <v>38.946262788060167</v>
      </c>
      <c r="F441">
        <v>-77.013912196621391</v>
      </c>
      <c r="G441" s="167">
        <v>3.9915403964917755</v>
      </c>
      <c r="H441" s="168">
        <v>35.973418026438907</v>
      </c>
      <c r="I441" s="169">
        <v>216.00083663985453</v>
      </c>
      <c r="J441">
        <v>36.000836639854526</v>
      </c>
      <c r="K441">
        <v>215.97341802643891</v>
      </c>
      <c r="L441" t="s">
        <v>311</v>
      </c>
    </row>
    <row r="442" spans="1:12">
      <c r="A442" s="164" t="s">
        <v>110</v>
      </c>
      <c r="B442">
        <v>38.876216123616089</v>
      </c>
      <c r="C442">
        <v>-77.056932698487742</v>
      </c>
      <c r="D442" s="165" t="s">
        <v>137</v>
      </c>
      <c r="E442">
        <v>38.90117456916591</v>
      </c>
      <c r="F442">
        <v>-77.090113994513501</v>
      </c>
      <c r="G442" s="167">
        <v>2.4810921698249011</v>
      </c>
      <c r="H442" s="168">
        <v>314.03036172610814</v>
      </c>
      <c r="I442" s="169">
        <v>134.00953019254703</v>
      </c>
      <c r="J442">
        <v>314.009530192547</v>
      </c>
      <c r="K442">
        <v>134.03036172610814</v>
      </c>
      <c r="L442" t="s">
        <v>321</v>
      </c>
    </row>
    <row r="443" spans="1:12">
      <c r="A443" s="164" t="s">
        <v>40</v>
      </c>
      <c r="B443">
        <v>38.861737201739359</v>
      </c>
      <c r="C443">
        <v>-76.955024258010965</v>
      </c>
      <c r="D443" s="165" t="s">
        <v>60</v>
      </c>
      <c r="E443">
        <v>38.953994890572183</v>
      </c>
      <c r="F443">
        <v>-77.077629631633798</v>
      </c>
      <c r="G443" s="167">
        <v>9.1681127680606487</v>
      </c>
      <c r="H443" s="168">
        <v>314.07729832266239</v>
      </c>
      <c r="I443" s="169">
        <v>134.00029353571566</v>
      </c>
      <c r="J443">
        <v>314.00029353571563</v>
      </c>
      <c r="K443">
        <v>134.07729832266239</v>
      </c>
      <c r="L443" t="s">
        <v>321</v>
      </c>
    </row>
    <row r="444" spans="1:12">
      <c r="A444" s="164" t="s">
        <v>62</v>
      </c>
      <c r="B444">
        <v>38.892755432872512</v>
      </c>
      <c r="C444">
        <v>-77.051434507806491</v>
      </c>
      <c r="D444" s="165" t="s">
        <v>28</v>
      </c>
      <c r="E444">
        <v>38.9243596243616</v>
      </c>
      <c r="F444">
        <v>-77.090630055083651</v>
      </c>
      <c r="G444" s="167">
        <v>3.0340841655207513</v>
      </c>
      <c r="H444" s="168">
        <v>316.03090946732999</v>
      </c>
      <c r="I444" s="169">
        <v>136.00629155443778</v>
      </c>
      <c r="J444">
        <v>316.00629155443778</v>
      </c>
      <c r="K444">
        <v>136.03090946732999</v>
      </c>
      <c r="L444" t="s">
        <v>281</v>
      </c>
    </row>
    <row r="445" spans="1:12">
      <c r="A445" s="164" t="s">
        <v>255</v>
      </c>
      <c r="B445">
        <v>38.807607597722587</v>
      </c>
      <c r="C445">
        <v>-77.066066557763804</v>
      </c>
      <c r="D445" s="165" t="s">
        <v>160</v>
      </c>
      <c r="E445">
        <v>38.870800749819253</v>
      </c>
      <c r="F445">
        <v>-77.144343160781318</v>
      </c>
      <c r="G445" s="167">
        <v>6.0659897048888745</v>
      </c>
      <c r="H445" s="168">
        <v>316.05014964166736</v>
      </c>
      <c r="I445" s="169">
        <v>136.00105948182079</v>
      </c>
      <c r="J445">
        <v>316.00105948182079</v>
      </c>
      <c r="K445">
        <v>136.05014964166736</v>
      </c>
      <c r="L445" t="s">
        <v>281</v>
      </c>
    </row>
    <row r="446" spans="1:12">
      <c r="A446" s="164" t="s">
        <v>192</v>
      </c>
      <c r="B446">
        <v>38.891079369466112</v>
      </c>
      <c r="C446">
        <v>-77.042886445346255</v>
      </c>
      <c r="D446" s="165" t="s">
        <v>117</v>
      </c>
      <c r="E446">
        <v>38.932037569820068</v>
      </c>
      <c r="F446">
        <v>-77.093677384943518</v>
      </c>
      <c r="G446" s="167">
        <v>3.9318092791581227</v>
      </c>
      <c r="H446" s="168">
        <v>316.03883772166995</v>
      </c>
      <c r="I446" s="169">
        <v>136.00693491122996</v>
      </c>
      <c r="J446">
        <v>316.00693491122996</v>
      </c>
      <c r="K446">
        <v>136.03883772166995</v>
      </c>
      <c r="L446" t="s">
        <v>281</v>
      </c>
    </row>
    <row r="447" spans="1:12">
      <c r="A447" s="164" t="s">
        <v>47</v>
      </c>
      <c r="B447">
        <v>38.924871835602019</v>
      </c>
      <c r="C447">
        <v>-77.018002710089107</v>
      </c>
      <c r="D447" s="165" t="s">
        <v>138</v>
      </c>
      <c r="E447">
        <v>38.900171643902958</v>
      </c>
      <c r="F447">
        <v>-77.070876040084556</v>
      </c>
      <c r="G447" s="167">
        <v>3.3149001567907845</v>
      </c>
      <c r="H447" s="168">
        <v>239.03691810918306</v>
      </c>
      <c r="I447" s="169">
        <v>59.00370661702064</v>
      </c>
      <c r="J447">
        <v>239.00370661702064</v>
      </c>
      <c r="K447">
        <v>59.036918109183034</v>
      </c>
      <c r="L447" t="s">
        <v>324</v>
      </c>
    </row>
    <row r="448" spans="1:12">
      <c r="A448" s="164" t="s">
        <v>251</v>
      </c>
      <c r="B448">
        <v>38.888685784961083</v>
      </c>
      <c r="C448">
        <v>-77.004678711651678</v>
      </c>
      <c r="D448" s="165" t="s">
        <v>61</v>
      </c>
      <c r="E448">
        <v>38.84552270708302</v>
      </c>
      <c r="F448">
        <v>-77.10483209910393</v>
      </c>
      <c r="G448" s="167">
        <v>6.1570112444667915</v>
      </c>
      <c r="H448" s="168">
        <v>241.06618984767715</v>
      </c>
      <c r="I448" s="169">
        <v>61.003341966988607</v>
      </c>
      <c r="J448">
        <v>241.00334196698861</v>
      </c>
      <c r="K448">
        <v>61.066189847677151</v>
      </c>
      <c r="L448" t="s">
        <v>302</v>
      </c>
    </row>
    <row r="449" spans="1:12">
      <c r="A449" s="164" t="s">
        <v>41</v>
      </c>
      <c r="B449">
        <v>38.94312493001874</v>
      </c>
      <c r="C449">
        <v>-77.019266706492502</v>
      </c>
      <c r="D449" s="165" t="s">
        <v>33</v>
      </c>
      <c r="E449">
        <v>38.918966507717499</v>
      </c>
      <c r="F449">
        <v>-77.24236058241425</v>
      </c>
      <c r="G449" s="167">
        <v>12.104132234896774</v>
      </c>
      <c r="H449" s="168">
        <v>262.14515958202702</v>
      </c>
      <c r="I449" s="169">
        <v>82.004970703142263</v>
      </c>
      <c r="J449">
        <v>262.00497070314225</v>
      </c>
      <c r="K449">
        <v>82.14515958202702</v>
      </c>
      <c r="L449" t="s">
        <v>330</v>
      </c>
    </row>
    <row r="450" spans="1:12">
      <c r="A450" s="164" t="s">
        <v>87</v>
      </c>
      <c r="B450">
        <v>38.897423715886298</v>
      </c>
      <c r="C450">
        <v>-76.911825683464457</v>
      </c>
      <c r="D450" s="165" t="s">
        <v>122</v>
      </c>
      <c r="E450">
        <v>38.899509095632219</v>
      </c>
      <c r="F450">
        <v>-77.057553372632484</v>
      </c>
      <c r="G450" s="167">
        <v>7.8359792734609748</v>
      </c>
      <c r="H450" s="168">
        <v>271.09915074611672</v>
      </c>
      <c r="I450" s="169">
        <v>91.007642146586335</v>
      </c>
      <c r="J450">
        <v>271.00764214658636</v>
      </c>
      <c r="K450">
        <v>91.09915074611672</v>
      </c>
      <c r="L450" t="s">
        <v>329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E8CF-8605-4495-8E21-CF12B28672E9}">
  <dimension ref="A1:O210"/>
  <sheetViews>
    <sheetView topLeftCell="A81" workbookViewId="0">
      <selection activeCell="A92" sqref="A92"/>
    </sheetView>
  </sheetViews>
  <sheetFormatPr defaultRowHeight="13.8"/>
  <cols>
    <col min="1" max="1" width="8.7109375" bestFit="1" customWidth="1"/>
    <col min="2" max="2" width="11.7109375" hidden="1" customWidth="1"/>
    <col min="3" max="3" width="12.28515625" hidden="1" customWidth="1"/>
    <col min="4" max="4" width="8.6640625" bestFit="1" customWidth="1"/>
    <col min="5" max="5" width="11.7109375" hidden="1" customWidth="1"/>
    <col min="6" max="6" width="12.28515625" hidden="1" customWidth="1"/>
    <col min="7" max="7" width="7.1875" style="160" bestFit="1" customWidth="1"/>
    <col min="8" max="9" width="8.85546875" style="161" bestFit="1" customWidth="1"/>
    <col min="10" max="11" width="11.7109375" hidden="1" customWidth="1"/>
    <col min="12" max="12" width="33.37890625" bestFit="1" customWidth="1"/>
    <col min="13" max="13" width="10.140625" style="7" bestFit="1" customWidth="1"/>
  </cols>
  <sheetData>
    <row r="1" spans="1:1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s="160" t="s">
        <v>0</v>
      </c>
      <c r="H1" s="161" t="s">
        <v>103</v>
      </c>
      <c r="I1" s="161" t="s">
        <v>104</v>
      </c>
      <c r="J1" t="s">
        <v>105</v>
      </c>
      <c r="K1" t="s">
        <v>106</v>
      </c>
      <c r="L1" t="s">
        <v>1</v>
      </c>
      <c r="M1" s="7" t="s">
        <v>273</v>
      </c>
    </row>
    <row r="2" spans="1:15">
      <c r="A2" t="s">
        <v>85</v>
      </c>
      <c r="B2">
        <v>38.892743275999997</v>
      </c>
      <c r="C2">
        <v>-77.008886000000004</v>
      </c>
      <c r="D2" t="s">
        <v>164</v>
      </c>
      <c r="E2">
        <v>38.888944385745397</v>
      </c>
      <c r="F2">
        <v>-77.000964800836925</v>
      </c>
      <c r="G2" s="160">
        <v>0.50026558118610498</v>
      </c>
      <c r="H2" s="161">
        <v>121.63728761956475</v>
      </c>
      <c r="I2" s="161">
        <v>301.64226085483051</v>
      </c>
      <c r="J2">
        <v>121.64226085483051</v>
      </c>
      <c r="K2">
        <v>301.63728761956475</v>
      </c>
      <c r="L2" t="s">
        <v>262</v>
      </c>
      <c r="M2" s="159">
        <f>d_mix[[#This Row],[Dist]]</f>
        <v>0.50026558118610498</v>
      </c>
    </row>
    <row r="3" spans="1:15">
      <c r="A3" t="s">
        <v>85</v>
      </c>
      <c r="B3">
        <v>38.892743275999997</v>
      </c>
      <c r="C3">
        <v>-77.008886000000004</v>
      </c>
      <c r="D3" t="s">
        <v>88</v>
      </c>
      <c r="E3">
        <v>38.960393169597992</v>
      </c>
      <c r="F3">
        <v>-77.010591988442854</v>
      </c>
      <c r="G3" s="160">
        <v>4.6741627972441337</v>
      </c>
      <c r="H3" s="161">
        <v>358.87663342450503</v>
      </c>
      <c r="I3" s="161">
        <v>178.87556151106821</v>
      </c>
      <c r="J3">
        <v>358.87556151106821</v>
      </c>
      <c r="K3">
        <v>178.87663342450503</v>
      </c>
      <c r="L3" t="s">
        <v>254</v>
      </c>
      <c r="M3" s="7">
        <f>d_mix[[#This Row],[Dist]]</f>
        <v>4.6741627972441337</v>
      </c>
    </row>
    <row r="4" spans="1:15">
      <c r="A4" t="s">
        <v>84</v>
      </c>
      <c r="B4">
        <v>38.889800999999999</v>
      </c>
      <c r="C4">
        <v>-77.009226999999996</v>
      </c>
      <c r="D4" t="s">
        <v>179</v>
      </c>
      <c r="E4">
        <v>38.889749178901553</v>
      </c>
      <c r="F4">
        <v>-77.013609953486323</v>
      </c>
      <c r="G4" s="160">
        <v>0.23569369580087693</v>
      </c>
      <c r="H4" s="161">
        <v>269.13111159232676</v>
      </c>
      <c r="I4" s="161">
        <v>89.128359868154149</v>
      </c>
      <c r="J4">
        <v>269.12835986815412</v>
      </c>
      <c r="K4">
        <v>89.131111592326761</v>
      </c>
      <c r="L4" t="s">
        <v>275</v>
      </c>
      <c r="M4" s="7">
        <f>d_mix[[#This Row],[Dist]]</f>
        <v>0.23569369580087693</v>
      </c>
    </row>
    <row r="5" spans="1:15">
      <c r="A5" t="s">
        <v>84</v>
      </c>
      <c r="B5">
        <v>38.889800999999999</v>
      </c>
      <c r="C5">
        <v>-77.009226999999996</v>
      </c>
      <c r="D5" t="s">
        <v>186</v>
      </c>
      <c r="E5">
        <v>38.885561745965539</v>
      </c>
      <c r="F5">
        <v>-77.009887373032456</v>
      </c>
      <c r="G5" s="160">
        <v>0.29499311858200455</v>
      </c>
      <c r="H5" s="161">
        <v>186.91371156876721</v>
      </c>
      <c r="I5" s="161">
        <v>6.9132969894056231</v>
      </c>
      <c r="J5">
        <v>186.91329698940564</v>
      </c>
      <c r="K5">
        <v>6.9137115687672122</v>
      </c>
      <c r="L5" t="s">
        <v>264</v>
      </c>
      <c r="M5" s="7">
        <f>d_mix[[#This Row],[Dist]]</f>
        <v>0.29499311858200455</v>
      </c>
    </row>
    <row r="6" spans="1:15">
      <c r="A6" t="s">
        <v>84</v>
      </c>
      <c r="B6">
        <v>38.889800999999999</v>
      </c>
      <c r="C6">
        <v>-77.009226999999996</v>
      </c>
      <c r="D6" t="s">
        <v>25</v>
      </c>
      <c r="E6">
        <v>38.904990813622462</v>
      </c>
      <c r="F6">
        <v>-77.128535953950191</v>
      </c>
      <c r="G6" s="160">
        <v>6.4996803386567681</v>
      </c>
      <c r="H6" s="161">
        <v>279.3279965004715</v>
      </c>
      <c r="I6" s="161">
        <v>99.253079088061241</v>
      </c>
      <c r="J6">
        <v>279.25307908806121</v>
      </c>
      <c r="K6">
        <v>99.3279965004715</v>
      </c>
      <c r="L6" t="s">
        <v>262</v>
      </c>
      <c r="M6" s="159">
        <f>d_mix[[#This Row],[Dist]]</f>
        <v>6.4996803386567681</v>
      </c>
    </row>
    <row r="7" spans="1:15">
      <c r="A7" t="s">
        <v>187</v>
      </c>
      <c r="B7">
        <v>38.893077925522043</v>
      </c>
      <c r="C7">
        <v>-77.04077541312266</v>
      </c>
      <c r="D7" t="s">
        <v>55</v>
      </c>
      <c r="E7">
        <v>38.91261730408393</v>
      </c>
      <c r="F7">
        <v>-76.957538798719796</v>
      </c>
      <c r="G7" s="160">
        <v>4.6738627358323672</v>
      </c>
      <c r="H7" s="161">
        <v>73.188107493923937</v>
      </c>
      <c r="I7" s="161">
        <v>253.24038023857489</v>
      </c>
      <c r="J7">
        <v>73.240380238574858</v>
      </c>
      <c r="K7">
        <v>253.18810749392395</v>
      </c>
      <c r="L7" t="s">
        <v>254</v>
      </c>
      <c r="M7" s="7">
        <f>d_mix[[#This Row],[Dist]]/0.5401</f>
        <v>8.653698825832933</v>
      </c>
    </row>
    <row r="8" spans="1:15">
      <c r="A8" t="s">
        <v>187</v>
      </c>
      <c r="B8">
        <v>38.893077925522043</v>
      </c>
      <c r="C8">
        <v>-77.04077541312266</v>
      </c>
      <c r="D8" t="s">
        <v>51</v>
      </c>
      <c r="E8">
        <v>38.803587013018927</v>
      </c>
      <c r="F8">
        <v>-77.0045692366363</v>
      </c>
      <c r="G8" s="160">
        <v>6.481665197806878</v>
      </c>
      <c r="H8" s="161">
        <v>162.49951915878779</v>
      </c>
      <c r="I8" s="161">
        <v>342.5222298889027</v>
      </c>
      <c r="J8">
        <v>162.52222988890276</v>
      </c>
      <c r="K8">
        <v>342.49951915878779</v>
      </c>
      <c r="L8" t="s">
        <v>257</v>
      </c>
      <c r="M8" s="7">
        <f>d_mix[[#This Row],[Dist]]/0.3338</f>
        <v>19.417810658498738</v>
      </c>
    </row>
    <row r="9" spans="1:15">
      <c r="A9" t="s">
        <v>187</v>
      </c>
      <c r="B9">
        <v>38.893077925522043</v>
      </c>
      <c r="C9">
        <v>-77.04077541312266</v>
      </c>
      <c r="D9" t="s">
        <v>188</v>
      </c>
      <c r="E9">
        <v>38.870043712048712</v>
      </c>
      <c r="F9">
        <v>-77.058459317904109</v>
      </c>
      <c r="G9" s="160">
        <v>1.8537127684001793</v>
      </c>
      <c r="H9" s="161">
        <v>210.86938173248194</v>
      </c>
      <c r="I9" s="161">
        <v>30.85828132292901</v>
      </c>
      <c r="J9">
        <v>210.858281322929</v>
      </c>
      <c r="K9">
        <v>30.869381732481941</v>
      </c>
      <c r="L9" t="s">
        <v>131</v>
      </c>
      <c r="M9" s="7">
        <f>d_mix[[#This Row],[Dist]]/0.3338</f>
        <v>5.553363596165906</v>
      </c>
    </row>
    <row r="10" spans="1:15">
      <c r="A10" t="s">
        <v>187</v>
      </c>
      <c r="B10">
        <v>38.893077925522043</v>
      </c>
      <c r="C10">
        <v>-77.04077541312266</v>
      </c>
      <c r="D10" t="s">
        <v>75</v>
      </c>
      <c r="E10">
        <v>38.808878603508518</v>
      </c>
      <c r="F10">
        <v>-77.013395902314087</v>
      </c>
      <c r="G10" s="160">
        <v>6.0001094025594739</v>
      </c>
      <c r="H10" s="161">
        <v>165.78059356170354</v>
      </c>
      <c r="I10" s="161">
        <v>345.79776865071602</v>
      </c>
      <c r="J10">
        <v>165.79776865071608</v>
      </c>
      <c r="K10">
        <v>345.78059356170354</v>
      </c>
      <c r="L10" t="s">
        <v>24</v>
      </c>
      <c r="M10" s="7">
        <f>d_mix[[#This Row],[Dist]]/0.5401</f>
        <v>11.109256438732594</v>
      </c>
    </row>
    <row r="11" spans="1:15">
      <c r="A11" t="s">
        <v>182</v>
      </c>
      <c r="B11">
        <v>38.888814177374293</v>
      </c>
      <c r="C11">
        <v>-77.008603272094433</v>
      </c>
      <c r="D11" t="s">
        <v>86</v>
      </c>
      <c r="E11">
        <v>38.87100323118176</v>
      </c>
      <c r="F11">
        <v>-77.055968546982868</v>
      </c>
      <c r="G11" s="160">
        <v>2.8287310945707302</v>
      </c>
      <c r="H11" s="161">
        <v>244.23217183069568</v>
      </c>
      <c r="I11" s="161">
        <v>64.202441114191188</v>
      </c>
      <c r="J11">
        <v>244.20244111419117</v>
      </c>
      <c r="K11">
        <v>64.232171830695677</v>
      </c>
      <c r="L11" t="s">
        <v>139</v>
      </c>
      <c r="M11" s="7">
        <f>d_mix[[#This Row],[Dist]]</f>
        <v>2.8287310945707302</v>
      </c>
    </row>
    <row r="12" spans="1:15">
      <c r="A12" t="s">
        <v>182</v>
      </c>
      <c r="B12">
        <v>38.888814177374293</v>
      </c>
      <c r="C12">
        <v>-77.008603272094433</v>
      </c>
      <c r="D12" t="s">
        <v>160</v>
      </c>
      <c r="E12">
        <v>38.870800749819253</v>
      </c>
      <c r="F12">
        <v>-77.144343160781318</v>
      </c>
      <c r="G12" s="160">
        <v>7.4049098979224901</v>
      </c>
      <c r="H12" s="161">
        <v>260.36834290903374</v>
      </c>
      <c r="I12" s="161">
        <v>80.283140483406612</v>
      </c>
      <c r="J12">
        <v>260.28314048340661</v>
      </c>
      <c r="K12">
        <v>80.368342909033743</v>
      </c>
      <c r="L12" t="s">
        <v>259</v>
      </c>
      <c r="M12" s="7">
        <f>d_mix[[#This Row],[Dist]]</f>
        <v>7.4049098979224901</v>
      </c>
    </row>
    <row r="13" spans="1:15">
      <c r="A13" t="s">
        <v>182</v>
      </c>
      <c r="B13">
        <v>38.888814177374293</v>
      </c>
      <c r="C13">
        <v>-77.008603272094433</v>
      </c>
      <c r="D13" t="s">
        <v>167</v>
      </c>
      <c r="E13">
        <v>38.993556118205731</v>
      </c>
      <c r="F13">
        <v>-77.037930927681117</v>
      </c>
      <c r="G13" s="160">
        <v>7.4051859993447513</v>
      </c>
      <c r="H13" s="161">
        <v>347.72312317688807</v>
      </c>
      <c r="I13" s="161">
        <v>167.70469008312804</v>
      </c>
      <c r="J13">
        <v>347.70469008312807</v>
      </c>
      <c r="K13">
        <v>167.72312317688807</v>
      </c>
      <c r="L13" t="s">
        <v>259</v>
      </c>
      <c r="M13" s="7">
        <f>d_mix[[#This Row],[Dist]]</f>
        <v>7.4051859993447513</v>
      </c>
    </row>
    <row r="14" spans="1:15">
      <c r="A14" t="s">
        <v>175</v>
      </c>
      <c r="B14">
        <v>38.890643961669717</v>
      </c>
      <c r="C14">
        <v>-77.012352075974064</v>
      </c>
      <c r="D14" t="s">
        <v>37</v>
      </c>
      <c r="E14">
        <v>38.935255546149442</v>
      </c>
      <c r="F14">
        <v>-76.988452843325106</v>
      </c>
      <c r="G14" s="160">
        <v>3.3387975166454003</v>
      </c>
      <c r="H14" s="161">
        <v>22.620962192394884</v>
      </c>
      <c r="I14" s="161">
        <v>202.63597423225534</v>
      </c>
      <c r="J14">
        <v>22.635974232255307</v>
      </c>
      <c r="K14">
        <v>202.62096219239487</v>
      </c>
      <c r="L14" t="s">
        <v>254</v>
      </c>
      <c r="M14" s="7">
        <f>d_mix[[#This Row],[Dist]]/0.3338</f>
        <v>10.002389205049132</v>
      </c>
    </row>
    <row r="15" spans="1:15">
      <c r="A15" t="s">
        <v>175</v>
      </c>
      <c r="B15">
        <v>38.890643961669717</v>
      </c>
      <c r="C15">
        <v>-77.012352075974064</v>
      </c>
      <c r="D15" t="s">
        <v>200</v>
      </c>
      <c r="E15">
        <v>38.907211196813563</v>
      </c>
      <c r="F15">
        <v>-77.036526673104206</v>
      </c>
      <c r="G15" s="160">
        <v>1.7317492357410265</v>
      </c>
      <c r="H15" s="161">
        <v>311.37409696003886</v>
      </c>
      <c r="I15" s="161">
        <v>131.35891655796178</v>
      </c>
      <c r="J15">
        <v>311.35891655796178</v>
      </c>
      <c r="K15">
        <v>131.37409696003886</v>
      </c>
      <c r="L15" t="s">
        <v>145</v>
      </c>
      <c r="M15" s="7">
        <f>d_mix[[#This Row],[Dist]]/0.3338</f>
        <v>5.1879845288826436</v>
      </c>
      <c r="O15">
        <f>6.18/22</f>
        <v>0.28090909090909089</v>
      </c>
    </row>
    <row r="16" spans="1:15">
      <c r="A16" t="s">
        <v>253</v>
      </c>
      <c r="B16">
        <v>38.888987189853758</v>
      </c>
      <c r="C16">
        <v>-77.012333798205077</v>
      </c>
      <c r="D16" t="s">
        <v>118</v>
      </c>
      <c r="E16">
        <v>38.942139058947483</v>
      </c>
      <c r="F16">
        <v>-77.010995768444687</v>
      </c>
      <c r="G16" s="160">
        <v>3.6724423844835883</v>
      </c>
      <c r="H16" s="161">
        <v>1.1216871841419909</v>
      </c>
      <c r="I16" s="161">
        <v>181.12252770031034</v>
      </c>
      <c r="J16">
        <v>1.1225277003103429</v>
      </c>
      <c r="K16">
        <v>181.12168718414199</v>
      </c>
      <c r="L16" t="s">
        <v>254</v>
      </c>
      <c r="M16" s="7">
        <f>d_mix[[#This Row],[Dist]]/0.3338</f>
        <v>11.001924459207874</v>
      </c>
      <c r="O16" s="3"/>
    </row>
    <row r="17" spans="1:13">
      <c r="A17" t="s">
        <v>253</v>
      </c>
      <c r="B17">
        <v>38.888987189853758</v>
      </c>
      <c r="C17">
        <v>-77.012333798205077</v>
      </c>
      <c r="D17" t="s">
        <v>109</v>
      </c>
      <c r="E17">
        <v>38.872552231854002</v>
      </c>
      <c r="F17">
        <v>-77.057900286673885</v>
      </c>
      <c r="G17" s="160">
        <v>2.7006079207438871</v>
      </c>
      <c r="H17" s="161">
        <v>245.15461113536389</v>
      </c>
      <c r="I17" s="161">
        <v>65.126008966456794</v>
      </c>
      <c r="J17">
        <v>245.12600896645679</v>
      </c>
      <c r="K17">
        <v>65.154611135363893</v>
      </c>
      <c r="L17" t="s">
        <v>257</v>
      </c>
      <c r="M17" s="7">
        <f>d_mix[[#This Row],[Dist]]/0.3338</f>
        <v>8.0904970663387878</v>
      </c>
    </row>
    <row r="18" spans="1:13">
      <c r="A18" t="s">
        <v>253</v>
      </c>
      <c r="B18">
        <v>38.888987189853758</v>
      </c>
      <c r="C18">
        <v>-77.012333798205077</v>
      </c>
      <c r="D18" t="s">
        <v>138</v>
      </c>
      <c r="E18">
        <v>38.900171643902958</v>
      </c>
      <c r="F18">
        <v>-77.070876040084556</v>
      </c>
      <c r="G18" s="160">
        <v>3.2409784537403095</v>
      </c>
      <c r="H18" s="161">
        <v>283.81003596444145</v>
      </c>
      <c r="I18" s="161">
        <v>103.77327790758366</v>
      </c>
      <c r="J18">
        <v>283.77327790758363</v>
      </c>
      <c r="K18">
        <v>103.81003596444145</v>
      </c>
      <c r="L18" t="s">
        <v>257</v>
      </c>
      <c r="M18" s="7">
        <f>d_mix[[#This Row],[Dist]]/0.3338</f>
        <v>9.7093422820260926</v>
      </c>
    </row>
    <row r="19" spans="1:13">
      <c r="A19" t="s">
        <v>180</v>
      </c>
      <c r="B19">
        <v>38.888689784600743</v>
      </c>
      <c r="C19">
        <v>-77.005783238520763</v>
      </c>
      <c r="D19" t="s">
        <v>70</v>
      </c>
      <c r="E19">
        <v>38.91858289999999</v>
      </c>
      <c r="F19">
        <v>-76.941921800000017</v>
      </c>
      <c r="G19" s="160">
        <v>4.0062950539635471</v>
      </c>
      <c r="H19" s="161">
        <v>58.952820810924933</v>
      </c>
      <c r="I19" s="161">
        <v>238.99292659317172</v>
      </c>
      <c r="J19">
        <v>58.992926593171717</v>
      </c>
      <c r="K19">
        <v>238.95282081092495</v>
      </c>
      <c r="L19" t="s">
        <v>254</v>
      </c>
      <c r="M19" s="7">
        <f>d_mix[[#This Row],[Dist]]/0.3338</f>
        <v>12.002082246745198</v>
      </c>
    </row>
    <row r="20" spans="1:13">
      <c r="A20" t="s">
        <v>180</v>
      </c>
      <c r="B20">
        <v>38.888689784600743</v>
      </c>
      <c r="C20">
        <v>-77.005783238520763</v>
      </c>
      <c r="D20" t="s">
        <v>96</v>
      </c>
      <c r="E20">
        <v>38.899664999999999</v>
      </c>
      <c r="F20">
        <v>-77.698808999999997</v>
      </c>
      <c r="G20" s="160">
        <v>37.268532388772265</v>
      </c>
      <c r="H20" s="161">
        <v>271.38322686931019</v>
      </c>
      <c r="I20" s="161">
        <v>90.948083889625082</v>
      </c>
      <c r="J20">
        <v>270.94808388962508</v>
      </c>
      <c r="K20">
        <v>91.383226869310192</v>
      </c>
      <c r="L20" t="s">
        <v>257</v>
      </c>
      <c r="M20" s="7">
        <f>d_mix[[#This Row],[Dist]]/0.3338</f>
        <v>111.64928816288875</v>
      </c>
    </row>
    <row r="21" spans="1:13">
      <c r="A21" t="s">
        <v>180</v>
      </c>
      <c r="B21">
        <v>38.888689784600743</v>
      </c>
      <c r="C21">
        <v>-77.005783238520763</v>
      </c>
      <c r="D21" t="s">
        <v>4</v>
      </c>
      <c r="E21">
        <v>38.905331247930313</v>
      </c>
      <c r="F21">
        <v>-77.10094955658019</v>
      </c>
      <c r="G21" s="160">
        <v>5.2440232051359557</v>
      </c>
      <c r="H21" s="161">
        <v>282.69309576543429</v>
      </c>
      <c r="I21" s="161">
        <v>102.63333868880196</v>
      </c>
      <c r="J21">
        <v>282.63333868880193</v>
      </c>
      <c r="K21">
        <v>102.69309576543429</v>
      </c>
      <c r="L21" t="s">
        <v>252</v>
      </c>
      <c r="M21" s="7">
        <f>d_mix[[#This Row],[Dist]]/0.3338</f>
        <v>15.710075509694295</v>
      </c>
    </row>
    <row r="22" spans="1:13">
      <c r="A22" t="s">
        <v>180</v>
      </c>
      <c r="B22">
        <v>38.888689784600743</v>
      </c>
      <c r="C22">
        <v>-77.005783238520763</v>
      </c>
      <c r="D22" t="s">
        <v>49</v>
      </c>
      <c r="E22">
        <v>38.915519421202269</v>
      </c>
      <c r="F22">
        <v>-77.089236402778027</v>
      </c>
      <c r="G22" s="160">
        <v>4.8541624007403845</v>
      </c>
      <c r="H22" s="161">
        <v>292.4723882272433</v>
      </c>
      <c r="I22" s="161">
        <v>112.4199803303911</v>
      </c>
      <c r="J22">
        <v>292.41998033039113</v>
      </c>
      <c r="K22">
        <v>112.4723882272433</v>
      </c>
      <c r="L22" t="s">
        <v>120</v>
      </c>
      <c r="M22" s="7">
        <f>d_mix[[#This Row],[Dist]]/0.3338</f>
        <v>14.54212822270936</v>
      </c>
    </row>
    <row r="23" spans="1:13">
      <c r="A23" t="s">
        <v>181</v>
      </c>
      <c r="B23">
        <v>38.889811160074281</v>
      </c>
      <c r="C23">
        <v>-77.010120176650872</v>
      </c>
      <c r="D23" t="s">
        <v>72</v>
      </c>
      <c r="E23">
        <v>38.870628217218183</v>
      </c>
      <c r="F23">
        <v>-77.053238771071065</v>
      </c>
      <c r="G23" s="160">
        <v>2.6707026481058262</v>
      </c>
      <c r="H23" s="161">
        <v>240.26567215402309</v>
      </c>
      <c r="I23" s="161">
        <v>60.238606854944109</v>
      </c>
      <c r="J23">
        <v>240.23860685494412</v>
      </c>
      <c r="K23">
        <v>60.265672154023093</v>
      </c>
      <c r="L23" t="s">
        <v>254</v>
      </c>
      <c r="M23" s="7">
        <f>d_mix[[#This Row],[Dist]]/0.3338</f>
        <v>8.0009066749725175</v>
      </c>
    </row>
    <row r="24" spans="1:13">
      <c r="A24" t="s">
        <v>181</v>
      </c>
      <c r="B24">
        <v>38.889811160074281</v>
      </c>
      <c r="C24">
        <v>-77.010120176650872</v>
      </c>
      <c r="D24" t="s">
        <v>129</v>
      </c>
      <c r="E24">
        <v>39.010042682733477</v>
      </c>
      <c r="F24">
        <v>-77.042440353879812</v>
      </c>
      <c r="G24" s="160">
        <v>8.4851662443222224</v>
      </c>
      <c r="H24" s="161">
        <v>348.20212592532658</v>
      </c>
      <c r="I24" s="161">
        <v>168.18180812619542</v>
      </c>
      <c r="J24">
        <v>348.18180812619539</v>
      </c>
      <c r="K24">
        <v>168.20212592532653</v>
      </c>
      <c r="L24" t="s">
        <v>139</v>
      </c>
      <c r="M24" s="7">
        <f>d_mix[[#This Row],[Dist]]/0.3338</f>
        <v>25.419910857765796</v>
      </c>
    </row>
    <row r="25" spans="1:13">
      <c r="A25" t="s">
        <v>181</v>
      </c>
      <c r="B25">
        <v>38.889811160074281</v>
      </c>
      <c r="C25">
        <v>-77.010120176650872</v>
      </c>
      <c r="D25" t="s">
        <v>55</v>
      </c>
      <c r="E25">
        <v>38.91261730408393</v>
      </c>
      <c r="F25">
        <v>-76.957538798719796</v>
      </c>
      <c r="G25" s="160">
        <v>3.236165675679433</v>
      </c>
      <c r="H25" s="161">
        <v>60.851278934035307</v>
      </c>
      <c r="I25" s="161">
        <v>240.88429896615895</v>
      </c>
      <c r="J25">
        <v>60.884298966158951</v>
      </c>
      <c r="K25">
        <v>240.85127893403529</v>
      </c>
      <c r="L25" t="s">
        <v>120</v>
      </c>
      <c r="M25" s="7">
        <f>d_mix[[#This Row],[Dist]]/0.3338</f>
        <v>9.6949241332517477</v>
      </c>
    </row>
    <row r="26" spans="1:13">
      <c r="A26" t="s">
        <v>251</v>
      </c>
      <c r="B26">
        <v>38.888685784961083</v>
      </c>
      <c r="C26">
        <v>-77.004678711651678</v>
      </c>
      <c r="D26" t="s">
        <v>186</v>
      </c>
      <c r="E26">
        <v>38.885561745965539</v>
      </c>
      <c r="F26">
        <v>-77.009887373032456</v>
      </c>
      <c r="G26" s="160">
        <v>0.35357484221468682</v>
      </c>
      <c r="H26" s="161">
        <v>232.38587574627263</v>
      </c>
      <c r="I26" s="161">
        <v>52.382605810414375</v>
      </c>
      <c r="J26">
        <v>232.38260581041436</v>
      </c>
      <c r="K26">
        <v>52.385875746272632</v>
      </c>
      <c r="L26" t="s">
        <v>275</v>
      </c>
      <c r="M26" s="7">
        <f>d_mix[[#This Row],[Dist]]/0.3338</f>
        <v>1.0592415884202722</v>
      </c>
    </row>
    <row r="27" spans="1:13">
      <c r="A27" t="s">
        <v>251</v>
      </c>
      <c r="B27">
        <v>38.888685784961083</v>
      </c>
      <c r="C27">
        <v>-77.004678711651678</v>
      </c>
      <c r="D27" t="s">
        <v>137</v>
      </c>
      <c r="E27">
        <v>38.90117456916591</v>
      </c>
      <c r="F27">
        <v>-77.090113994513501</v>
      </c>
      <c r="G27" s="160">
        <v>4.6737414174777676</v>
      </c>
      <c r="H27" s="161">
        <v>280.66406083213627</v>
      </c>
      <c r="I27" s="161">
        <v>100.61041650787259</v>
      </c>
      <c r="J27">
        <v>280.61041650787257</v>
      </c>
      <c r="K27">
        <v>100.66406083213627</v>
      </c>
      <c r="L27" t="s">
        <v>254</v>
      </c>
      <c r="M27" s="7">
        <f>d_mix[[#This Row],[Dist]]/0.3338</f>
        <v>14.001621981658982</v>
      </c>
    </row>
    <row r="28" spans="1:13">
      <c r="A28" t="s">
        <v>251</v>
      </c>
      <c r="B28">
        <v>38.888685784961083</v>
      </c>
      <c r="C28">
        <v>-77.004678711651678</v>
      </c>
      <c r="D28" t="s">
        <v>118</v>
      </c>
      <c r="E28">
        <v>38.942139058947483</v>
      </c>
      <c r="F28">
        <v>-77.010995768444687</v>
      </c>
      <c r="G28" s="160">
        <v>3.708136979956218</v>
      </c>
      <c r="H28" s="161">
        <v>354.74829241355866</v>
      </c>
      <c r="I28" s="161">
        <v>174.7443242125218</v>
      </c>
      <c r="J28">
        <v>354.7443242125218</v>
      </c>
      <c r="K28">
        <v>174.7482924135586</v>
      </c>
      <c r="L28" t="s">
        <v>131</v>
      </c>
      <c r="M28" s="7">
        <f>d_mix[[#This Row],[Dist]]/0.3338</f>
        <v>11.108858537915573</v>
      </c>
    </row>
    <row r="29" spans="1:13">
      <c r="A29" t="s">
        <v>263</v>
      </c>
      <c r="B29">
        <v>38.893613869460523</v>
      </c>
      <c r="C29">
        <v>-77.009077956021031</v>
      </c>
      <c r="D29" t="s">
        <v>44</v>
      </c>
      <c r="E29">
        <v>38.959847905580027</v>
      </c>
      <c r="F29">
        <v>-77.026806510741665</v>
      </c>
      <c r="G29" s="160">
        <v>4.6735988596514888</v>
      </c>
      <c r="H29" s="161">
        <v>348.24293993334902</v>
      </c>
      <c r="I29" s="161">
        <v>168.23180061827759</v>
      </c>
      <c r="J29">
        <v>348.23180061827759</v>
      </c>
      <c r="K29">
        <v>168.24293993334902</v>
      </c>
      <c r="L29" t="s">
        <v>254</v>
      </c>
      <c r="M29" s="7">
        <f>d_mix[[#This Row],[Dist]]/0.3338</f>
        <v>14.001194906085948</v>
      </c>
    </row>
    <row r="30" spans="1:13">
      <c r="A30" t="s">
        <v>263</v>
      </c>
      <c r="B30">
        <v>38.893613869460523</v>
      </c>
      <c r="C30">
        <v>-77.009077956021031</v>
      </c>
      <c r="D30" t="s">
        <v>41</v>
      </c>
      <c r="E30">
        <v>38.94312493001874</v>
      </c>
      <c r="F30">
        <v>-77.019266706492502</v>
      </c>
      <c r="G30" s="160">
        <v>3.4637929659876754</v>
      </c>
      <c r="H30" s="161">
        <v>350.90671297785372</v>
      </c>
      <c r="I30" s="161">
        <v>170.90031227648109</v>
      </c>
      <c r="J30">
        <v>350.90031227648109</v>
      </c>
      <c r="K30">
        <v>170.90671297785366</v>
      </c>
      <c r="L30" t="s">
        <v>266</v>
      </c>
      <c r="M30" s="7">
        <f>d_mix[[#This Row],[Dist]]/0.3338</f>
        <v>10.376851306134439</v>
      </c>
    </row>
    <row r="31" spans="1:13">
      <c r="A31" t="s">
        <v>57</v>
      </c>
      <c r="B31">
        <v>38.971265146524964</v>
      </c>
      <c r="C31">
        <v>-77.068329157306508</v>
      </c>
      <c r="D31" t="s">
        <v>115</v>
      </c>
      <c r="E31">
        <v>38.884715252208309</v>
      </c>
      <c r="F31">
        <v>-77.07961687570274</v>
      </c>
      <c r="G31" s="160">
        <v>6.0095713962761437</v>
      </c>
      <c r="H31" s="161">
        <v>185.79680308403798</v>
      </c>
      <c r="I31" s="161">
        <v>5.789710521231366</v>
      </c>
      <c r="J31">
        <v>185.78971052123137</v>
      </c>
      <c r="K31">
        <v>5.796803084037947</v>
      </c>
      <c r="L31" t="s">
        <v>254</v>
      </c>
      <c r="M31" s="7">
        <f>d_mix[[#This Row],[Dist]]/0.7071</f>
        <v>8.4988988774941934</v>
      </c>
    </row>
    <row r="32" spans="1:13">
      <c r="A32" t="s">
        <v>57</v>
      </c>
      <c r="B32">
        <v>38.971265146524964</v>
      </c>
      <c r="C32">
        <v>-77.068329157306508</v>
      </c>
      <c r="D32" t="s">
        <v>21</v>
      </c>
      <c r="E32">
        <v>38.916815383206369</v>
      </c>
      <c r="F32">
        <v>-77.061201400915238</v>
      </c>
      <c r="G32" s="160">
        <v>3.7808416104944387</v>
      </c>
      <c r="H32" s="161">
        <v>174.18434493037682</v>
      </c>
      <c r="I32" s="161">
        <v>354.1888251610473</v>
      </c>
      <c r="J32">
        <v>174.18882516104736</v>
      </c>
      <c r="K32">
        <v>354.18434493037682</v>
      </c>
      <c r="L32" t="s">
        <v>257</v>
      </c>
      <c r="M32" s="7">
        <f>d_mix[[#This Row],[Dist]]/0.7071</f>
        <v>5.3469687604220608</v>
      </c>
    </row>
    <row r="33" spans="1:13">
      <c r="A33" t="s">
        <v>51</v>
      </c>
      <c r="B33">
        <v>38.803587013018927</v>
      </c>
      <c r="C33">
        <v>-77.0045692366363</v>
      </c>
      <c r="D33" t="s">
        <v>18</v>
      </c>
      <c r="E33">
        <v>38.914489864708663</v>
      </c>
      <c r="F33">
        <v>-77.049531913503088</v>
      </c>
      <c r="G33" s="160">
        <v>8.0338994998621569</v>
      </c>
      <c r="H33" s="161">
        <v>342.4931753706602</v>
      </c>
      <c r="I33" s="161">
        <v>162.46496547993885</v>
      </c>
      <c r="J33">
        <v>342.46496547993888</v>
      </c>
      <c r="K33">
        <v>162.4931753706602</v>
      </c>
      <c r="L33" t="s">
        <v>131</v>
      </c>
      <c r="M33" s="7">
        <f>d_mix[[#This Row],[Dist]]/0.618</f>
        <v>12.99983737841773</v>
      </c>
    </row>
    <row r="34" spans="1:13">
      <c r="A34" t="s">
        <v>75</v>
      </c>
      <c r="B34">
        <v>38.808878603508518</v>
      </c>
      <c r="C34">
        <v>-77.013395902314087</v>
      </c>
      <c r="D34" t="s">
        <v>9</v>
      </c>
      <c r="E34">
        <v>38.920336486884452</v>
      </c>
      <c r="F34">
        <v>-77.305560255203972</v>
      </c>
      <c r="G34" s="160">
        <v>17.499736675756292</v>
      </c>
      <c r="H34" s="161">
        <v>296.1941640552522</v>
      </c>
      <c r="I34" s="161">
        <v>116.01083579517466</v>
      </c>
      <c r="J34">
        <v>296.01083579517467</v>
      </c>
      <c r="K34">
        <v>116.1941640552522</v>
      </c>
      <c r="L34" t="s">
        <v>262</v>
      </c>
      <c r="M34" s="159">
        <f>d_mix[[#This Row],[Dist]]/0.618</f>
        <v>28.316726012550635</v>
      </c>
    </row>
    <row r="35" spans="1:13">
      <c r="A35" t="s">
        <v>37</v>
      </c>
      <c r="B35">
        <v>38.935255546149442</v>
      </c>
      <c r="C35">
        <v>-76.988452843325106</v>
      </c>
      <c r="D35" t="s">
        <v>44</v>
      </c>
      <c r="E35">
        <v>38.959847905580027</v>
      </c>
      <c r="F35">
        <v>-77.026806510741665</v>
      </c>
      <c r="G35" s="160">
        <v>2.6705724081268643</v>
      </c>
      <c r="H35" s="161">
        <v>309.51623690687001</v>
      </c>
      <c r="I35" s="161">
        <v>129.49212745553069</v>
      </c>
      <c r="J35">
        <v>309.49212745553069</v>
      </c>
      <c r="K35">
        <v>129.51623690687001</v>
      </c>
      <c r="L35" t="s">
        <v>254</v>
      </c>
      <c r="M35" s="7">
        <f>d_mix[[#This Row],[Dist]]/0.618</f>
        <v>4.3213145762570617</v>
      </c>
    </row>
    <row r="36" spans="1:13">
      <c r="A36" t="s">
        <v>118</v>
      </c>
      <c r="B36">
        <v>38.942139058947483</v>
      </c>
      <c r="C36">
        <v>-77.010995768444687</v>
      </c>
      <c r="D36" t="s">
        <v>60</v>
      </c>
      <c r="E36">
        <v>38.953994890572183</v>
      </c>
      <c r="F36">
        <v>-77.077629631633798</v>
      </c>
      <c r="G36" s="160">
        <v>3.6723765092307956</v>
      </c>
      <c r="H36" s="161">
        <v>282.90724006796563</v>
      </c>
      <c r="I36" s="161">
        <v>102.86535297061914</v>
      </c>
      <c r="J36">
        <v>282.86535297061914</v>
      </c>
      <c r="K36">
        <v>102.90724006796563</v>
      </c>
      <c r="L36" t="s">
        <v>254</v>
      </c>
      <c r="M36" s="7">
        <f>d_mix[[#This Row],[Dist]]/0.618</f>
        <v>5.9423568110530676</v>
      </c>
    </row>
    <row r="37" spans="1:13">
      <c r="A37" t="s">
        <v>118</v>
      </c>
      <c r="B37">
        <v>38.942139058947483</v>
      </c>
      <c r="C37">
        <v>-77.010995768444687</v>
      </c>
      <c r="D37" t="s">
        <v>140</v>
      </c>
      <c r="E37">
        <v>38.908639308729029</v>
      </c>
      <c r="F37">
        <v>-76.975468342699315</v>
      </c>
      <c r="G37" s="160">
        <v>3.0001401141251902</v>
      </c>
      <c r="H37" s="161">
        <v>140.46438174809876</v>
      </c>
      <c r="I37" s="161">
        <v>320.48670391014525</v>
      </c>
      <c r="J37">
        <v>140.48670391014525</v>
      </c>
      <c r="K37">
        <v>320.46438174809873</v>
      </c>
      <c r="L37" t="s">
        <v>24</v>
      </c>
      <c r="M37" s="7">
        <f>d_mix[[#This Row],[Dist]]/0.618</f>
        <v>4.8545956539242558</v>
      </c>
    </row>
    <row r="38" spans="1:13">
      <c r="A38" t="s">
        <v>38</v>
      </c>
      <c r="B38">
        <v>38.92609741015503</v>
      </c>
      <c r="C38">
        <v>-76.958533324767643</v>
      </c>
      <c r="D38" t="s">
        <v>132</v>
      </c>
      <c r="E38">
        <v>38.909694801858848</v>
      </c>
      <c r="F38">
        <v>-76.973871148151133</v>
      </c>
      <c r="G38" s="160">
        <v>1.4012459867493321</v>
      </c>
      <c r="H38" s="161">
        <v>216.04219076243717</v>
      </c>
      <c r="I38" s="161">
        <v>36.032555447974929</v>
      </c>
      <c r="J38">
        <v>216.03255544797491</v>
      </c>
      <c r="K38">
        <v>36.042190762437144</v>
      </c>
      <c r="L38" t="s">
        <v>264</v>
      </c>
      <c r="M38" s="7">
        <f>d_mix[[#This Row],[Dist]]/0.7071</f>
        <v>1.9816800830848991</v>
      </c>
    </row>
    <row r="39" spans="1:13">
      <c r="A39" t="s">
        <v>116</v>
      </c>
      <c r="B39">
        <v>38.8580454440363</v>
      </c>
      <c r="C39">
        <v>-77.078464399477767</v>
      </c>
      <c r="D39" t="s">
        <v>11</v>
      </c>
      <c r="E39">
        <v>38.923121509621552</v>
      </c>
      <c r="F39">
        <v>-77.074683546770501</v>
      </c>
      <c r="G39" s="160">
        <v>4.500057337028001</v>
      </c>
      <c r="H39" s="161">
        <v>2.5880288784992898</v>
      </c>
      <c r="I39" s="161">
        <v>182.59040263109182</v>
      </c>
      <c r="J39">
        <v>2.5904026310918198</v>
      </c>
      <c r="K39">
        <v>182.5880288784993</v>
      </c>
      <c r="L39" t="s">
        <v>262</v>
      </c>
      <c r="M39" s="159">
        <f>d_mix[[#This Row],[Dist]]/0.7071</f>
        <v>6.3641031495234071</v>
      </c>
    </row>
    <row r="40" spans="1:13">
      <c r="A40" t="s">
        <v>116</v>
      </c>
      <c r="B40">
        <v>38.8580454440363</v>
      </c>
      <c r="C40">
        <v>-77.078464399477767</v>
      </c>
      <c r="D40" t="s">
        <v>26</v>
      </c>
      <c r="E40">
        <v>38.920660773128958</v>
      </c>
      <c r="F40">
        <v>-77.079750995205373</v>
      </c>
      <c r="G40" s="160">
        <v>4.3260283574793892</v>
      </c>
      <c r="H40" s="161">
        <v>359.08412541257275</v>
      </c>
      <c r="I40" s="161">
        <v>179.08331766394099</v>
      </c>
      <c r="J40">
        <v>359.08331766394099</v>
      </c>
      <c r="K40">
        <v>179.0841254125728</v>
      </c>
      <c r="L40" t="s">
        <v>131</v>
      </c>
      <c r="M40" s="7">
        <f>d_mix[[#This Row],[Dist]]/0.7071</f>
        <v>6.1179866461312251</v>
      </c>
    </row>
    <row r="41" spans="1:13">
      <c r="A41" t="s">
        <v>116</v>
      </c>
      <c r="B41">
        <v>38.8580454440363</v>
      </c>
      <c r="C41">
        <v>-77.078464399477767</v>
      </c>
      <c r="D41" t="s">
        <v>6</v>
      </c>
      <c r="E41">
        <v>38.849500020681234</v>
      </c>
      <c r="F41">
        <v>-77.004921790891075</v>
      </c>
      <c r="G41" s="160">
        <v>4.0001051728798798</v>
      </c>
      <c r="H41" s="161">
        <v>98.463400951171195</v>
      </c>
      <c r="I41" s="161">
        <v>278.50953680402409</v>
      </c>
      <c r="J41">
        <v>98.509536804024094</v>
      </c>
      <c r="K41">
        <v>278.4634009511712</v>
      </c>
      <c r="L41" t="s">
        <v>24</v>
      </c>
      <c r="M41" s="7">
        <f>d_mix[[#This Row],[Dist]]/0.7071</f>
        <v>5.6570572378445485</v>
      </c>
    </row>
    <row r="42" spans="1:13">
      <c r="A42" t="s">
        <v>39</v>
      </c>
      <c r="B42">
        <v>38.894330838678513</v>
      </c>
      <c r="C42">
        <v>-77.135544679034453</v>
      </c>
      <c r="D42" t="s">
        <v>138</v>
      </c>
      <c r="E42">
        <v>38.900171643902958</v>
      </c>
      <c r="F42">
        <v>-77.070876040084556</v>
      </c>
      <c r="G42" s="160">
        <v>3.5001281375312971</v>
      </c>
      <c r="H42" s="161">
        <v>83.360106205758314</v>
      </c>
      <c r="I42" s="161">
        <v>263.40071331014462</v>
      </c>
      <c r="J42">
        <v>83.400713310144624</v>
      </c>
      <c r="K42">
        <v>263.36010620575831</v>
      </c>
      <c r="L42" t="s">
        <v>262</v>
      </c>
      <c r="M42" s="159">
        <f>d_mix[[#This Row],[Dist]]/0.7071</f>
        <v>4.9499761526393682</v>
      </c>
    </row>
    <row r="43" spans="1:13">
      <c r="A43" t="s">
        <v>54</v>
      </c>
      <c r="B43">
        <v>38.888694362898732</v>
      </c>
      <c r="C43">
        <v>-76.942542813218694</v>
      </c>
      <c r="D43" t="s">
        <v>149</v>
      </c>
      <c r="E43">
        <v>38.957046438880887</v>
      </c>
      <c r="F43">
        <v>-76.991344852497164</v>
      </c>
      <c r="G43" s="160">
        <v>5.4013178957606094</v>
      </c>
      <c r="H43" s="161">
        <v>330.96441228309504</v>
      </c>
      <c r="I43" s="161">
        <v>150.93375124097273</v>
      </c>
      <c r="J43">
        <v>330.9337512409727</v>
      </c>
      <c r="K43">
        <v>150.96441228309504</v>
      </c>
      <c r="L43" t="s">
        <v>257</v>
      </c>
      <c r="M43" s="7">
        <f>d_mix[[#This Row],[Dist]]/0.7071</f>
        <v>7.6386902782641917</v>
      </c>
    </row>
    <row r="44" spans="1:13">
      <c r="A44" t="s">
        <v>54</v>
      </c>
      <c r="B44">
        <v>38.888694362898732</v>
      </c>
      <c r="C44">
        <v>-76.942542813218694</v>
      </c>
      <c r="D44" t="s">
        <v>20</v>
      </c>
      <c r="E44">
        <v>38.915605867544031</v>
      </c>
      <c r="F44">
        <v>-77.078883572114037</v>
      </c>
      <c r="G44" s="160">
        <v>7.5616979265168753</v>
      </c>
      <c r="H44" s="161">
        <v>284.27492748068079</v>
      </c>
      <c r="I44" s="161">
        <v>104.18930651226799</v>
      </c>
      <c r="J44">
        <v>284.18930651226799</v>
      </c>
      <c r="K44">
        <v>104.27492748068079</v>
      </c>
      <c r="L44" t="s">
        <v>257</v>
      </c>
      <c r="M44" s="7">
        <f>d_mix[[#This Row],[Dist]]/0.7071</f>
        <v>10.693958317800702</v>
      </c>
    </row>
    <row r="45" spans="1:13">
      <c r="A45" t="s">
        <v>54</v>
      </c>
      <c r="B45">
        <v>38.888694362898732</v>
      </c>
      <c r="C45">
        <v>-76.942542813218694</v>
      </c>
      <c r="D45" t="s">
        <v>23</v>
      </c>
      <c r="E45">
        <v>38.896347393829558</v>
      </c>
      <c r="F45">
        <v>-77.112485891886223</v>
      </c>
      <c r="G45" s="160">
        <v>9.1525758014757788</v>
      </c>
      <c r="H45" s="161">
        <v>273.36471755767747</v>
      </c>
      <c r="I45" s="161">
        <v>93.258016799864862</v>
      </c>
      <c r="J45">
        <v>273.25801679986489</v>
      </c>
      <c r="K45">
        <v>93.364717557677466</v>
      </c>
      <c r="L45" t="s">
        <v>268</v>
      </c>
      <c r="M45" s="7">
        <f>d_mix[[#This Row],[Dist]]/0.7071</f>
        <v>12.943820960933078</v>
      </c>
    </row>
    <row r="46" spans="1:13">
      <c r="A46" t="s">
        <v>42</v>
      </c>
      <c r="B46">
        <v>38.978006730836938</v>
      </c>
      <c r="C46">
        <v>-77.034071474795397</v>
      </c>
      <c r="D46" t="s">
        <v>81</v>
      </c>
      <c r="E46">
        <v>38.986822265435038</v>
      </c>
      <c r="F46">
        <v>-77.05231894611552</v>
      </c>
      <c r="G46" s="160">
        <v>1.1536855850241061</v>
      </c>
      <c r="H46" s="161">
        <v>301.86635518574855</v>
      </c>
      <c r="I46" s="161">
        <v>121.85487603288909</v>
      </c>
      <c r="J46">
        <v>301.85487603288908</v>
      </c>
      <c r="K46">
        <v>121.86635518574855</v>
      </c>
      <c r="L46" t="s">
        <v>337</v>
      </c>
      <c r="M46" s="7">
        <f>d_mix[[#This Row],[Dist]]/0.7071</f>
        <v>1.6315734479198221</v>
      </c>
    </row>
    <row r="47" spans="1:13">
      <c r="A47" t="s">
        <v>42</v>
      </c>
      <c r="B47">
        <v>38.978006730836938</v>
      </c>
      <c r="C47">
        <v>-77.034071474795397</v>
      </c>
      <c r="D47" t="s">
        <v>173</v>
      </c>
      <c r="E47">
        <v>38.988765681572232</v>
      </c>
      <c r="F47">
        <v>-77.16354886186852</v>
      </c>
      <c r="G47" s="160">
        <v>6.9922817297389157</v>
      </c>
      <c r="H47" s="161">
        <v>276.14238346317768</v>
      </c>
      <c r="I47" s="161">
        <v>96.060929862573374</v>
      </c>
      <c r="J47">
        <v>276.0609298625734</v>
      </c>
      <c r="K47">
        <v>96.14238346317768</v>
      </c>
      <c r="L47" t="s">
        <v>252</v>
      </c>
      <c r="M47" s="7">
        <f>d_mix[[#This Row],[Dist]]/0.7071</f>
        <v>9.8886744869734358</v>
      </c>
    </row>
    <row r="48" spans="1:13">
      <c r="A48" t="s">
        <v>74</v>
      </c>
      <c r="B48">
        <v>38.933912107140202</v>
      </c>
      <c r="C48">
        <v>-77.070259853781494</v>
      </c>
      <c r="D48" t="s">
        <v>80</v>
      </c>
      <c r="E48">
        <v>38.930170515981033</v>
      </c>
      <c r="F48">
        <v>-77.07230698965536</v>
      </c>
      <c r="G48" s="160">
        <v>0.28090568426261669</v>
      </c>
      <c r="H48" s="161">
        <v>203.05562451254826</v>
      </c>
      <c r="I48" s="161">
        <v>23.054338096099151</v>
      </c>
      <c r="J48">
        <v>203.05433809609914</v>
      </c>
      <c r="K48">
        <v>23.055624512548263</v>
      </c>
      <c r="L48" t="s">
        <v>143</v>
      </c>
      <c r="M48" s="7">
        <f>d_mix[[#This Row],[Dist]]/0.7071</f>
        <v>0.39726443821611757</v>
      </c>
    </row>
    <row r="49" spans="1:13">
      <c r="A49" t="s">
        <v>74</v>
      </c>
      <c r="B49">
        <v>38.933912107140202</v>
      </c>
      <c r="C49">
        <v>-77.070259853781494</v>
      </c>
      <c r="D49" t="s">
        <v>119</v>
      </c>
      <c r="E49">
        <v>38.918835090612639</v>
      </c>
      <c r="F49">
        <v>-77.007394020653479</v>
      </c>
      <c r="G49" s="160">
        <v>3.5353806606775735</v>
      </c>
      <c r="H49" s="161">
        <v>107.11378660479964</v>
      </c>
      <c r="I49" s="161">
        <v>287.15328654458239</v>
      </c>
      <c r="J49">
        <v>107.15328654458239</v>
      </c>
      <c r="K49">
        <v>287.11378660479966</v>
      </c>
      <c r="L49" t="s">
        <v>139</v>
      </c>
      <c r="M49" s="7">
        <f>d_mix[[#This Row],[Dist]]/0.7071</f>
        <v>4.9998312270931606</v>
      </c>
    </row>
    <row r="50" spans="1:13">
      <c r="A50" t="s">
        <v>44</v>
      </c>
      <c r="B50">
        <v>38.959847905580027</v>
      </c>
      <c r="C50">
        <v>-77.026806510741665</v>
      </c>
      <c r="D50" t="s">
        <v>21</v>
      </c>
      <c r="E50">
        <v>38.916815383206369</v>
      </c>
      <c r="F50">
        <v>-77.061201400915238</v>
      </c>
      <c r="G50" s="160">
        <v>3.5003441526420489</v>
      </c>
      <c r="H50" s="161">
        <v>211.87984646035528</v>
      </c>
      <c r="I50" s="161">
        <v>31.858229834996369</v>
      </c>
      <c r="J50">
        <v>211.85822983499637</v>
      </c>
      <c r="K50">
        <v>31.879846460355282</v>
      </c>
      <c r="L50" t="s">
        <v>262</v>
      </c>
      <c r="M50" s="159">
        <f>d_mix[[#This Row],[Dist]]/0.7071</f>
        <v>4.950281647068377</v>
      </c>
    </row>
    <row r="51" spans="1:13">
      <c r="A51" t="s">
        <v>44</v>
      </c>
      <c r="B51">
        <v>38.959847905580027</v>
      </c>
      <c r="C51">
        <v>-77.026806510741665</v>
      </c>
      <c r="D51" t="s">
        <v>55</v>
      </c>
      <c r="E51">
        <v>38.91261730408393</v>
      </c>
      <c r="F51">
        <v>-76.957538798719796</v>
      </c>
      <c r="G51" s="160">
        <v>4.9496003056821536</v>
      </c>
      <c r="H51" s="161">
        <v>131.21587877113021</v>
      </c>
      <c r="I51" s="161">
        <v>311.25941042326355</v>
      </c>
      <c r="J51">
        <v>131.25941042326355</v>
      </c>
      <c r="K51">
        <v>311.21587877113018</v>
      </c>
      <c r="L51" t="s">
        <v>139</v>
      </c>
      <c r="M51" s="7">
        <f>d_mix[[#This Row],[Dist]]/0.7071</f>
        <v>6.9998590095915061</v>
      </c>
    </row>
    <row r="52" spans="1:13">
      <c r="A52" t="s">
        <v>76</v>
      </c>
      <c r="B52">
        <v>38.872804095441928</v>
      </c>
      <c r="C52">
        <v>-76.940197367335742</v>
      </c>
      <c r="D52" t="s">
        <v>2</v>
      </c>
      <c r="E52">
        <v>38.897038827303611</v>
      </c>
      <c r="F52">
        <v>-77.037627866552469</v>
      </c>
      <c r="G52" s="160">
        <v>5.5000696138083569</v>
      </c>
      <c r="H52" s="161">
        <v>287.75174160221252</v>
      </c>
      <c r="I52" s="161">
        <v>107.69057879461039</v>
      </c>
      <c r="J52">
        <v>287.69057879461036</v>
      </c>
      <c r="K52">
        <v>107.75174160221252</v>
      </c>
      <c r="L52" t="s">
        <v>262</v>
      </c>
      <c r="M52" s="159">
        <f>d_mix[[#This Row],[Dist]]/0.7071</f>
        <v>7.7783476365554476</v>
      </c>
    </row>
    <row r="53" spans="1:13">
      <c r="A53" t="s">
        <v>140</v>
      </c>
      <c r="B53">
        <v>38.908639308729029</v>
      </c>
      <c r="C53">
        <v>-76.975468342699315</v>
      </c>
      <c r="D53" t="s">
        <v>151</v>
      </c>
      <c r="E53">
        <v>38.899994319306728</v>
      </c>
      <c r="F53">
        <v>-77.036569</v>
      </c>
      <c r="G53" s="160">
        <v>3.3384894605500972</v>
      </c>
      <c r="H53" s="161">
        <v>259.71451788345814</v>
      </c>
      <c r="I53" s="161">
        <v>79.676145343042563</v>
      </c>
      <c r="J53">
        <v>259.67614534304255</v>
      </c>
      <c r="K53">
        <v>79.714517883458143</v>
      </c>
      <c r="L53" t="s">
        <v>254</v>
      </c>
      <c r="M53" s="7">
        <f>d_mix[[#This Row],[Dist]]/0.7071</f>
        <v>4.7213823512234443</v>
      </c>
    </row>
    <row r="54" spans="1:13">
      <c r="A54" t="s">
        <v>140</v>
      </c>
      <c r="B54">
        <v>38.908639308729029</v>
      </c>
      <c r="C54">
        <v>-76.975468342699315</v>
      </c>
      <c r="D54" t="s">
        <v>81</v>
      </c>
      <c r="E54">
        <v>38.986822265435038</v>
      </c>
      <c r="F54">
        <v>-77.05231894611552</v>
      </c>
      <c r="G54" s="160">
        <v>6.7982762603847933</v>
      </c>
      <c r="H54" s="161">
        <v>322.62745621232494</v>
      </c>
      <c r="I54" s="161">
        <v>142.57914704955249</v>
      </c>
      <c r="J54">
        <v>322.57914704955249</v>
      </c>
      <c r="K54">
        <v>142.62745621232494</v>
      </c>
      <c r="L54" t="s">
        <v>131</v>
      </c>
      <c r="M54" s="7">
        <f>d_mix[[#This Row],[Dist]]/0.7071</f>
        <v>9.6143066898384859</v>
      </c>
    </row>
    <row r="55" spans="1:13">
      <c r="A55" t="s">
        <v>140</v>
      </c>
      <c r="B55">
        <v>38.908639308729029</v>
      </c>
      <c r="C55">
        <v>-76.975468342699315</v>
      </c>
      <c r="D55" t="s">
        <v>96</v>
      </c>
      <c r="E55">
        <v>38.899664999999999</v>
      </c>
      <c r="F55">
        <v>-77.698808999999997</v>
      </c>
      <c r="G55" s="160">
        <v>38.890183375529382</v>
      </c>
      <c r="H55" s="161">
        <v>269.31376456926961</v>
      </c>
      <c r="I55" s="161">
        <v>88.859488909081193</v>
      </c>
      <c r="J55">
        <v>268.85948890908116</v>
      </c>
      <c r="K55">
        <v>89.313764569269608</v>
      </c>
      <c r="L55" t="s">
        <v>139</v>
      </c>
      <c r="M55" s="7">
        <f>d_mix[[#This Row],[Dist]]/0.7071</f>
        <v>54.99955222108526</v>
      </c>
    </row>
    <row r="56" spans="1:13">
      <c r="A56" t="s">
        <v>132</v>
      </c>
      <c r="B56">
        <v>38.909694801858848</v>
      </c>
      <c r="C56">
        <v>-76.973871148151133</v>
      </c>
      <c r="D56" t="s">
        <v>115</v>
      </c>
      <c r="E56">
        <v>38.884715252208309</v>
      </c>
      <c r="F56">
        <v>-77.07961687570274</v>
      </c>
      <c r="G56" s="160">
        <v>5.9413424089837443</v>
      </c>
      <c r="H56" s="161">
        <v>253.14903618196649</v>
      </c>
      <c r="I56" s="161">
        <v>73.082635773160746</v>
      </c>
      <c r="J56">
        <v>253.08263577316075</v>
      </c>
      <c r="K56">
        <v>73.149036181966494</v>
      </c>
      <c r="L56" t="s">
        <v>257</v>
      </c>
      <c r="M56" s="7">
        <f>d_mix[[#This Row],[Dist]]/0.7071</f>
        <v>8.4024075929624455</v>
      </c>
    </row>
    <row r="57" spans="1:13">
      <c r="A57" t="s">
        <v>132</v>
      </c>
      <c r="B57">
        <v>38.909694801858848</v>
      </c>
      <c r="C57">
        <v>-76.973871148151133</v>
      </c>
      <c r="D57" t="s">
        <v>17</v>
      </c>
      <c r="E57">
        <v>38.939237314230454</v>
      </c>
      <c r="F57">
        <v>-77.088340704127447</v>
      </c>
      <c r="G57" s="160">
        <v>6.4815618922205536</v>
      </c>
      <c r="H57" s="161">
        <v>288.38846478850661</v>
      </c>
      <c r="I57" s="161">
        <v>108.31654408527415</v>
      </c>
      <c r="J57">
        <v>288.31654408527413</v>
      </c>
      <c r="K57">
        <v>108.38846478850661</v>
      </c>
      <c r="L57" t="s">
        <v>257</v>
      </c>
      <c r="M57" s="7">
        <f>d_mix[[#This Row],[Dist]]/0.7071</f>
        <v>9.1664006395425748</v>
      </c>
    </row>
    <row r="58" spans="1:13">
      <c r="A58" t="s">
        <v>132</v>
      </c>
      <c r="B58">
        <v>38.909694801858848</v>
      </c>
      <c r="C58">
        <v>-76.973871148151133</v>
      </c>
      <c r="D58" t="s">
        <v>68</v>
      </c>
      <c r="E58">
        <v>38.934493099999983</v>
      </c>
      <c r="F58">
        <v>-77.119915899999995</v>
      </c>
      <c r="G58" s="160">
        <v>8.033852410348949</v>
      </c>
      <c r="H58" s="161">
        <v>282.35765804116761</v>
      </c>
      <c r="I58" s="161">
        <v>102.26590347880679</v>
      </c>
      <c r="J58">
        <v>282.26590347880676</v>
      </c>
      <c r="K58">
        <v>102.35765804116761</v>
      </c>
      <c r="L58" t="s">
        <v>131</v>
      </c>
      <c r="M58" s="7">
        <f>d_mix[[#This Row],[Dist]]/0.7071</f>
        <v>11.361691995967966</v>
      </c>
    </row>
    <row r="59" spans="1:13">
      <c r="A59" t="s">
        <v>79</v>
      </c>
      <c r="B59">
        <v>38.922907194700002</v>
      </c>
      <c r="C59">
        <v>-77.035842979328919</v>
      </c>
      <c r="D59" t="s">
        <v>115</v>
      </c>
      <c r="E59">
        <v>38.884715252208309</v>
      </c>
      <c r="F59">
        <v>-77.07961687570274</v>
      </c>
      <c r="G59" s="160">
        <v>3.5352847753122991</v>
      </c>
      <c r="H59" s="161">
        <v>221.74478209965278</v>
      </c>
      <c r="I59" s="161">
        <v>41.717291441501899</v>
      </c>
      <c r="J59">
        <v>221.71729144150191</v>
      </c>
      <c r="K59">
        <v>41.744782099652753</v>
      </c>
      <c r="L59" t="s">
        <v>139</v>
      </c>
      <c r="M59" s="7">
        <f>d_mix[[#This Row],[Dist]]/0.7071</f>
        <v>4.9996956234087104</v>
      </c>
    </row>
    <row r="60" spans="1:13">
      <c r="A60" t="s">
        <v>35</v>
      </c>
      <c r="B60">
        <v>38.886867190107317</v>
      </c>
      <c r="C60">
        <v>-76.916665420155027</v>
      </c>
      <c r="D60" t="s">
        <v>165</v>
      </c>
      <c r="E60">
        <v>38.709536573715518</v>
      </c>
      <c r="F60">
        <v>-77.026233748190492</v>
      </c>
      <c r="G60" s="160">
        <v>13.596345680869545</v>
      </c>
      <c r="H60" s="161">
        <v>205.7473137139724</v>
      </c>
      <c r="I60" s="161">
        <v>25.678660366967065</v>
      </c>
      <c r="J60">
        <v>205.67866036696705</v>
      </c>
      <c r="K60">
        <v>25.747313713972403</v>
      </c>
      <c r="L60" t="s">
        <v>131</v>
      </c>
      <c r="M60" s="7">
        <f>d_mix[[#This Row],[Dist]]/0.7071</f>
        <v>19.228320861079826</v>
      </c>
    </row>
    <row r="61" spans="1:13">
      <c r="A61" t="s">
        <v>35</v>
      </c>
      <c r="B61">
        <v>38.886867190107317</v>
      </c>
      <c r="C61">
        <v>-76.916665420155027</v>
      </c>
      <c r="D61" t="s">
        <v>9</v>
      </c>
      <c r="E61">
        <v>38.920336486884452</v>
      </c>
      <c r="F61">
        <v>-77.305560255203972</v>
      </c>
      <c r="G61" s="160">
        <v>21.033810783485791</v>
      </c>
      <c r="H61" s="161">
        <v>276.432864277021</v>
      </c>
      <c r="I61" s="161">
        <v>96.188633083456054</v>
      </c>
      <c r="J61">
        <v>276.18863308345607</v>
      </c>
      <c r="K61">
        <v>96.432864277020997</v>
      </c>
      <c r="L61" t="s">
        <v>120</v>
      </c>
      <c r="M61" s="7">
        <f>d_mix[[#This Row],[Dist]]/0.866</f>
        <v>24.288465107951261</v>
      </c>
    </row>
    <row r="62" spans="1:13">
      <c r="A62" t="s">
        <v>35</v>
      </c>
      <c r="B62">
        <v>38.886867190107317</v>
      </c>
      <c r="C62">
        <v>-76.916665420155027</v>
      </c>
      <c r="D62" t="s">
        <v>89</v>
      </c>
      <c r="E62">
        <v>38.911588839433009</v>
      </c>
      <c r="F62">
        <v>-76.993547550999835</v>
      </c>
      <c r="G62" s="160">
        <v>4.4722246268599095</v>
      </c>
      <c r="H62" s="161">
        <v>292.4732317688464</v>
      </c>
      <c r="I62" s="161">
        <v>112.42495343154779</v>
      </c>
      <c r="J62">
        <v>292.42495343154781</v>
      </c>
      <c r="K62">
        <v>112.4732317688464</v>
      </c>
      <c r="L62" t="s">
        <v>148</v>
      </c>
      <c r="M62" s="7">
        <f>d_mix[[#This Row],[Dist]]/0.7071</f>
        <v>6.3247413758448729</v>
      </c>
    </row>
    <row r="63" spans="1:13">
      <c r="A63" t="s">
        <v>35</v>
      </c>
      <c r="B63">
        <v>38.886867190107317</v>
      </c>
      <c r="C63">
        <v>-76.916665420155027</v>
      </c>
      <c r="D63" t="s">
        <v>20</v>
      </c>
      <c r="E63">
        <v>38.915605867544031</v>
      </c>
      <c r="F63">
        <v>-77.078883572114037</v>
      </c>
      <c r="G63" s="160">
        <v>8.9439946560924231</v>
      </c>
      <c r="H63" s="161">
        <v>282.87551489895554</v>
      </c>
      <c r="I63" s="161">
        <v>102.77364512329309</v>
      </c>
      <c r="J63">
        <v>282.77364512329308</v>
      </c>
      <c r="K63">
        <v>102.87551489895554</v>
      </c>
      <c r="L63" t="s">
        <v>148</v>
      </c>
      <c r="M63" s="7">
        <f>d_mix[[#This Row],[Dist]]/0.866</f>
        <v>10.327938401954299</v>
      </c>
    </row>
    <row r="64" spans="1:13">
      <c r="A64" t="s">
        <v>193</v>
      </c>
      <c r="B64">
        <v>38.967911031638792</v>
      </c>
      <c r="C64">
        <v>-77.068345449756862</v>
      </c>
      <c r="D64" t="s">
        <v>107</v>
      </c>
      <c r="E64">
        <v>38.909632012495202</v>
      </c>
      <c r="F64">
        <v>-77.043450337735848</v>
      </c>
      <c r="G64" s="160">
        <v>4.242331942872104</v>
      </c>
      <c r="H64" s="161">
        <v>161.61252155357676</v>
      </c>
      <c r="I64" s="161">
        <v>341.6281678733435</v>
      </c>
      <c r="J64">
        <v>161.6281678733435</v>
      </c>
      <c r="K64">
        <v>341.61252155357676</v>
      </c>
      <c r="L64" t="s">
        <v>139</v>
      </c>
      <c r="M64" s="7">
        <f>d_mix[[#This Row],[Dist]]/0.866</f>
        <v>4.8987666776814134</v>
      </c>
    </row>
    <row r="65" spans="1:13">
      <c r="A65" t="s">
        <v>60</v>
      </c>
      <c r="B65">
        <v>38.953994890572183</v>
      </c>
      <c r="C65">
        <v>-77.077629631633798</v>
      </c>
      <c r="D65" t="s">
        <v>178</v>
      </c>
      <c r="E65">
        <v>38.77367519361357</v>
      </c>
      <c r="F65">
        <v>-76.972158414322777</v>
      </c>
      <c r="G65" s="160">
        <v>13.68755030457255</v>
      </c>
      <c r="H65" s="161">
        <v>155.48067737196996</v>
      </c>
      <c r="I65" s="161">
        <v>335.54685767004366</v>
      </c>
      <c r="J65">
        <v>155.54685767004366</v>
      </c>
      <c r="K65">
        <v>335.48067737196993</v>
      </c>
      <c r="L65" t="s">
        <v>254</v>
      </c>
      <c r="M65" s="7">
        <f>d_mix[[#This Row],[Dist]]/0.866</f>
        <v>15.80548534015306</v>
      </c>
    </row>
    <row r="66" spans="1:13">
      <c r="A66" t="s">
        <v>160</v>
      </c>
      <c r="B66">
        <v>38.870800749819253</v>
      </c>
      <c r="C66">
        <v>-77.144343160781318</v>
      </c>
      <c r="D66" t="s">
        <v>178</v>
      </c>
      <c r="E66">
        <v>38.77367519361357</v>
      </c>
      <c r="F66">
        <v>-76.972158414322777</v>
      </c>
      <c r="G66" s="160">
        <v>11.440867347128188</v>
      </c>
      <c r="H66" s="161">
        <v>125.85117098517043</v>
      </c>
      <c r="I66" s="161">
        <v>305.95911476616322</v>
      </c>
      <c r="J66">
        <v>125.95911476616322</v>
      </c>
      <c r="K66">
        <v>305.85117098517043</v>
      </c>
      <c r="L66" t="s">
        <v>268</v>
      </c>
      <c r="M66" s="7">
        <f>d_mix[[#This Row],[Dist]]/0.866</f>
        <v>13.211163218392826</v>
      </c>
    </row>
    <row r="67" spans="1:13">
      <c r="A67" t="s">
        <v>160</v>
      </c>
      <c r="B67">
        <v>38.870800749819253</v>
      </c>
      <c r="C67">
        <v>-77.144343160781318</v>
      </c>
      <c r="D67" t="s">
        <v>17</v>
      </c>
      <c r="E67">
        <v>38.939237314230454</v>
      </c>
      <c r="F67">
        <v>-77.088340704127447</v>
      </c>
      <c r="G67" s="160">
        <v>5.6047866046567281</v>
      </c>
      <c r="H67" s="161">
        <v>32.471427852219513</v>
      </c>
      <c r="I67" s="161">
        <v>212.50659915182533</v>
      </c>
      <c r="J67">
        <v>32.506599151825299</v>
      </c>
      <c r="K67">
        <v>212.47142785221951</v>
      </c>
      <c r="L67" t="s">
        <v>269</v>
      </c>
      <c r="M67" s="7">
        <f>d_mix[[#This Row],[Dist]]/0.866</f>
        <v>6.4720399591879074</v>
      </c>
    </row>
    <row r="68" spans="1:13">
      <c r="A68" t="s">
        <v>58</v>
      </c>
      <c r="B68">
        <v>38.958786981015983</v>
      </c>
      <c r="C68">
        <v>-77.051421167473492</v>
      </c>
      <c r="D68" t="s">
        <v>13</v>
      </c>
      <c r="E68">
        <v>38.928234461306907</v>
      </c>
      <c r="F68">
        <v>-77.06004232078331</v>
      </c>
      <c r="G68" s="160">
        <v>2.1608025660647359</v>
      </c>
      <c r="H68" s="161">
        <v>192.38094322734221</v>
      </c>
      <c r="I68" s="161">
        <v>12.375524367792531</v>
      </c>
      <c r="J68">
        <v>192.37552436779254</v>
      </c>
      <c r="K68">
        <v>12.380943227342186</v>
      </c>
      <c r="L68" t="s">
        <v>257</v>
      </c>
      <c r="M68" s="7">
        <f>d_mix[[#This Row],[Dist]]/0.866</f>
        <v>2.4951530785966929</v>
      </c>
    </row>
    <row r="69" spans="1:13">
      <c r="A69" t="s">
        <v>92</v>
      </c>
      <c r="B69">
        <v>38.93536052674429</v>
      </c>
      <c r="C69">
        <v>-77.014386976386291</v>
      </c>
      <c r="D69" t="s">
        <v>31</v>
      </c>
      <c r="E69">
        <v>38.938415626440083</v>
      </c>
      <c r="F69">
        <v>-77.010186601521028</v>
      </c>
      <c r="G69" s="160">
        <v>0.3090000102914805</v>
      </c>
      <c r="H69" s="161">
        <v>46.920239765100789</v>
      </c>
      <c r="I69" s="161">
        <v>226.92287954937009</v>
      </c>
      <c r="J69">
        <v>46.922879549370123</v>
      </c>
      <c r="K69">
        <v>226.9202397651008</v>
      </c>
      <c r="L69" t="s">
        <v>143</v>
      </c>
      <c r="M69" s="159">
        <f>d_mix[[#This Row],[Dist]]/0.866</f>
        <v>0.35681294490933085</v>
      </c>
    </row>
    <row r="70" spans="1:13">
      <c r="A70" t="s">
        <v>46</v>
      </c>
      <c r="B70">
        <v>38.894079057995107</v>
      </c>
      <c r="C70">
        <v>-77.050685019751967</v>
      </c>
      <c r="D70" t="s">
        <v>21</v>
      </c>
      <c r="E70">
        <v>38.916815383206369</v>
      </c>
      <c r="F70">
        <v>-77.061201400915238</v>
      </c>
      <c r="G70" s="160">
        <v>1.6692724590127894</v>
      </c>
      <c r="H70" s="161">
        <v>340.20755663714567</v>
      </c>
      <c r="I70" s="161">
        <v>160.20095196006648</v>
      </c>
      <c r="J70">
        <v>340.2009519600665</v>
      </c>
      <c r="K70">
        <v>160.20755663714567</v>
      </c>
      <c r="L70" t="s">
        <v>254</v>
      </c>
      <c r="M70" s="7">
        <f>d_mix[[#This Row],[Dist]]/0.866</f>
        <v>1.927566349899295</v>
      </c>
    </row>
    <row r="71" spans="1:13">
      <c r="A71" t="s">
        <v>59</v>
      </c>
      <c r="B71">
        <v>38.93508740486395</v>
      </c>
      <c r="C71">
        <v>-77.126419797285848</v>
      </c>
      <c r="D71" t="s">
        <v>190</v>
      </c>
      <c r="E71">
        <v>38.905376415694072</v>
      </c>
      <c r="F71">
        <v>-77.021330730155185</v>
      </c>
      <c r="G71" s="160">
        <v>6.0094517171882549</v>
      </c>
      <c r="H71" s="161">
        <v>109.9374144171089</v>
      </c>
      <c r="I71" s="161">
        <v>290.00343535766916</v>
      </c>
      <c r="J71">
        <v>110.00343535766916</v>
      </c>
      <c r="K71">
        <v>289.93741441710893</v>
      </c>
      <c r="L71" t="s">
        <v>254</v>
      </c>
      <c r="M71" s="7">
        <f>d_mix[[#This Row],[Dist]]/0.866</f>
        <v>6.9393206895938278</v>
      </c>
    </row>
    <row r="72" spans="1:13">
      <c r="A72" t="s">
        <v>59</v>
      </c>
      <c r="B72">
        <v>38.93508740486395</v>
      </c>
      <c r="C72">
        <v>-77.126419797285848</v>
      </c>
      <c r="D72" t="s">
        <v>159</v>
      </c>
      <c r="E72">
        <v>38.785226169416099</v>
      </c>
      <c r="F72">
        <v>-77.040251901847796</v>
      </c>
      <c r="G72" s="160">
        <v>11.342699821063553</v>
      </c>
      <c r="H72" s="161">
        <v>155.85352263340306</v>
      </c>
      <c r="I72" s="161">
        <v>335.90758629491648</v>
      </c>
      <c r="J72">
        <v>155.90758629491643</v>
      </c>
      <c r="K72">
        <v>335.85352263340303</v>
      </c>
      <c r="L72" t="s">
        <v>257</v>
      </c>
      <c r="M72" s="7">
        <f>d_mix[[#This Row],[Dist]]/0.866</f>
        <v>13.097805797994864</v>
      </c>
    </row>
    <row r="73" spans="1:13">
      <c r="A73" t="s">
        <v>59</v>
      </c>
      <c r="B73">
        <v>38.93508740486395</v>
      </c>
      <c r="C73">
        <v>-77.126419797285848</v>
      </c>
      <c r="D73" t="s">
        <v>18</v>
      </c>
      <c r="E73">
        <v>38.914489864708663</v>
      </c>
      <c r="F73">
        <v>-77.049531913503088</v>
      </c>
      <c r="G73" s="160">
        <v>4.3702566075268585</v>
      </c>
      <c r="H73" s="161">
        <v>108.97673523952511</v>
      </c>
      <c r="I73" s="161">
        <v>289.02504387905071</v>
      </c>
      <c r="J73">
        <v>109.02504387905071</v>
      </c>
      <c r="K73">
        <v>288.97673523952511</v>
      </c>
      <c r="L73" t="s">
        <v>252</v>
      </c>
      <c r="M73" s="7">
        <f>d_mix[[#This Row],[Dist]]/0.866</f>
        <v>5.0464856899848254</v>
      </c>
    </row>
    <row r="74" spans="1:13">
      <c r="A74" t="s">
        <v>56</v>
      </c>
      <c r="B74">
        <v>38.947325108309627</v>
      </c>
      <c r="C74">
        <v>-77.021883345949419</v>
      </c>
      <c r="D74" t="s">
        <v>68</v>
      </c>
      <c r="E74">
        <v>38.934493099999983</v>
      </c>
      <c r="F74">
        <v>-77.119915899999995</v>
      </c>
      <c r="G74" s="160">
        <v>5.3413724321563478</v>
      </c>
      <c r="H74" s="161">
        <v>260.47799176799117</v>
      </c>
      <c r="I74" s="161">
        <v>80.416376478606026</v>
      </c>
      <c r="J74">
        <v>260.41637647860603</v>
      </c>
      <c r="K74">
        <v>80.47799176799117</v>
      </c>
      <c r="L74" t="s">
        <v>254</v>
      </c>
      <c r="M74" s="7">
        <f>d_mix[[#This Row],[Dist]]/0.866</f>
        <v>6.1678665498341196</v>
      </c>
    </row>
    <row r="75" spans="1:13">
      <c r="A75" t="s">
        <v>56</v>
      </c>
      <c r="B75">
        <v>38.947325108309627</v>
      </c>
      <c r="C75">
        <v>-77.021883345949419</v>
      </c>
      <c r="D75" t="s">
        <v>23</v>
      </c>
      <c r="E75">
        <v>38.896347393829558</v>
      </c>
      <c r="F75">
        <v>-77.112485891886223</v>
      </c>
      <c r="G75" s="160">
        <v>6.0093530126125625</v>
      </c>
      <c r="H75" s="161">
        <v>234.15402349177521</v>
      </c>
      <c r="I75" s="161">
        <v>54.097101558628246</v>
      </c>
      <c r="J75">
        <v>234.09710155862825</v>
      </c>
      <c r="K75">
        <v>54.154023491775206</v>
      </c>
      <c r="L75" t="s">
        <v>254</v>
      </c>
      <c r="M75" s="7">
        <f>d_mix[[#This Row],[Dist]]/0.866</f>
        <v>6.9392067120237444</v>
      </c>
    </row>
    <row r="76" spans="1:13">
      <c r="A76" t="s">
        <v>56</v>
      </c>
      <c r="B76">
        <v>38.947325108309627</v>
      </c>
      <c r="C76">
        <v>-77.021883345949419</v>
      </c>
      <c r="D76" t="s">
        <v>9</v>
      </c>
      <c r="E76">
        <v>38.920336486884452</v>
      </c>
      <c r="F76">
        <v>-77.305560255203972</v>
      </c>
      <c r="G76" s="160">
        <v>15.357107805279741</v>
      </c>
      <c r="H76" s="161">
        <v>263.11615168194294</v>
      </c>
      <c r="I76" s="161">
        <v>82.937882513027503</v>
      </c>
      <c r="J76">
        <v>262.93788251302749</v>
      </c>
      <c r="K76">
        <v>83.116151681942938</v>
      </c>
      <c r="L76" t="s">
        <v>254</v>
      </c>
      <c r="M76" s="7">
        <f>d_mix[[#This Row],[Dist]]/0.866</f>
        <v>17.733380837505475</v>
      </c>
    </row>
    <row r="77" spans="1:13">
      <c r="A77" t="s">
        <v>56</v>
      </c>
      <c r="B77">
        <v>38.947325108309627</v>
      </c>
      <c r="C77">
        <v>-77.021883345949419</v>
      </c>
      <c r="D77" t="s">
        <v>52</v>
      </c>
      <c r="E77">
        <v>38.876508891956881</v>
      </c>
      <c r="F77">
        <v>-77.074738028614249</v>
      </c>
      <c r="G77" s="160">
        <v>5.657134304796867</v>
      </c>
      <c r="H77" s="161">
        <v>210.16270613897126</v>
      </c>
      <c r="I77" s="161">
        <v>30.129506788332495</v>
      </c>
      <c r="J77">
        <v>210.12950678833249</v>
      </c>
      <c r="K77">
        <v>30.162706138971259</v>
      </c>
      <c r="L77" t="s">
        <v>139</v>
      </c>
      <c r="M77" s="7">
        <f>d_mix[[#This Row],[Dist]]/0.866</f>
        <v>6.5324876498809088</v>
      </c>
    </row>
    <row r="78" spans="1:13">
      <c r="A78" t="s">
        <v>52</v>
      </c>
      <c r="B78">
        <v>38.876508891956881</v>
      </c>
      <c r="C78">
        <v>-77.074738028614249</v>
      </c>
      <c r="D78" t="s">
        <v>190</v>
      </c>
      <c r="E78">
        <v>38.905376415694072</v>
      </c>
      <c r="F78">
        <v>-77.021330730155185</v>
      </c>
      <c r="G78" s="160">
        <v>3.4961162399669092</v>
      </c>
      <c r="H78" s="161">
        <v>55.205360735106019</v>
      </c>
      <c r="I78" s="161">
        <v>235.23889197722309</v>
      </c>
      <c r="J78">
        <v>55.238891977223091</v>
      </c>
      <c r="K78">
        <v>235.20536073510601</v>
      </c>
      <c r="L78" t="s">
        <v>252</v>
      </c>
      <c r="M78" s="7">
        <f>d_mix[[#This Row],[Dist]]/0.866</f>
        <v>4.0370857274444676</v>
      </c>
    </row>
    <row r="79" spans="1:13">
      <c r="A79" t="s">
        <v>94</v>
      </c>
      <c r="B79">
        <v>38.909631706139457</v>
      </c>
      <c r="C79">
        <v>-77.029568629434891</v>
      </c>
      <c r="D79" t="s">
        <v>150</v>
      </c>
      <c r="E79">
        <v>38.926245969493429</v>
      </c>
      <c r="F79">
        <v>-76.951888012920421</v>
      </c>
      <c r="G79" s="160">
        <v>4.3300196461943816</v>
      </c>
      <c r="H79" s="161">
        <v>74.605078316031097</v>
      </c>
      <c r="I79" s="161">
        <v>254.65387780392251</v>
      </c>
      <c r="J79">
        <v>74.653877803922512</v>
      </c>
      <c r="K79">
        <v>254.6050783160311</v>
      </c>
      <c r="L79" t="s">
        <v>145</v>
      </c>
      <c r="M79" s="7">
        <f>d_mix[[#This Row],[Dist]]/0.874</f>
        <v>4.9542558880942584</v>
      </c>
    </row>
    <row r="80" spans="1:13">
      <c r="A80" t="s">
        <v>94</v>
      </c>
      <c r="B80">
        <v>38.909631706139457</v>
      </c>
      <c r="C80">
        <v>-77.029568629434891</v>
      </c>
      <c r="D80" t="s">
        <v>11</v>
      </c>
      <c r="E80">
        <v>38.923121509621552</v>
      </c>
      <c r="F80">
        <v>-77.074683546770501</v>
      </c>
      <c r="G80" s="160">
        <v>2.597766192316632</v>
      </c>
      <c r="H80" s="161">
        <v>291.03593517789585</v>
      </c>
      <c r="I80" s="161">
        <v>111.007594641091</v>
      </c>
      <c r="J80">
        <v>291.00759464109103</v>
      </c>
      <c r="K80">
        <v>111.03593517789585</v>
      </c>
      <c r="L80" t="s">
        <v>145</v>
      </c>
      <c r="M80" s="7">
        <f>d_mix[[#This Row],[Dist]]/0.874</f>
        <v>2.9722725312547276</v>
      </c>
    </row>
    <row r="81" spans="1:13">
      <c r="A81" t="s">
        <v>115</v>
      </c>
      <c r="B81">
        <v>38.884715252208309</v>
      </c>
      <c r="C81">
        <v>-77.07961687570274</v>
      </c>
      <c r="D81" t="s">
        <v>173</v>
      </c>
      <c r="E81">
        <v>38.988765681572232</v>
      </c>
      <c r="F81">
        <v>-77.16354886186852</v>
      </c>
      <c r="G81" s="160">
        <v>8.4855342403988896</v>
      </c>
      <c r="H81" s="161">
        <v>327.92045035171969</v>
      </c>
      <c r="I81" s="161">
        <v>147.86770226282866</v>
      </c>
      <c r="J81">
        <v>327.86770226282863</v>
      </c>
      <c r="K81">
        <v>147.92045035171969</v>
      </c>
      <c r="L81" t="s">
        <v>139</v>
      </c>
      <c r="M81" s="7">
        <f>d_mix[[#This Row],[Dist]]/0.874</f>
        <v>9.708849245307654</v>
      </c>
    </row>
    <row r="82" spans="1:13">
      <c r="A82" t="s">
        <v>115</v>
      </c>
      <c r="B82">
        <v>38.884715252208309</v>
      </c>
      <c r="C82">
        <v>-77.07961687570274</v>
      </c>
      <c r="D82" t="s">
        <v>169</v>
      </c>
      <c r="E82">
        <v>38.86898287196977</v>
      </c>
      <c r="F82">
        <v>-76.996961003019521</v>
      </c>
      <c r="G82" s="160">
        <v>4.5760500249140046</v>
      </c>
      <c r="H82" s="161">
        <v>103.71287397031473</v>
      </c>
      <c r="I82" s="161">
        <v>283.76475281484642</v>
      </c>
      <c r="J82">
        <v>103.76475281484642</v>
      </c>
      <c r="K82">
        <v>283.71287397031472</v>
      </c>
      <c r="L82" t="s">
        <v>268</v>
      </c>
      <c r="M82" s="7">
        <f>d_mix[[#This Row],[Dist]]/0.874</f>
        <v>5.2357551772471451</v>
      </c>
    </row>
    <row r="83" spans="1:13">
      <c r="A83" t="s">
        <v>166</v>
      </c>
      <c r="B83">
        <v>38.689228316924762</v>
      </c>
      <c r="C83">
        <v>-77.043517969766754</v>
      </c>
      <c r="D83" t="s">
        <v>19</v>
      </c>
      <c r="E83">
        <v>38.88120136333437</v>
      </c>
      <c r="F83">
        <v>-77.072631056499674</v>
      </c>
      <c r="G83" s="160">
        <v>13.353861399094864</v>
      </c>
      <c r="H83" s="161">
        <v>353.26731732732469</v>
      </c>
      <c r="I83" s="161">
        <v>173.24908078586816</v>
      </c>
      <c r="J83">
        <v>353.24908078586816</v>
      </c>
      <c r="K83">
        <v>173.26731732732469</v>
      </c>
      <c r="L83" t="s">
        <v>254</v>
      </c>
      <c r="M83" s="7">
        <f>d_mix[[#This Row],[Dist]]/0.874</f>
        <v>15.279017619101674</v>
      </c>
    </row>
    <row r="84" spans="1:13">
      <c r="A84" t="s">
        <v>201</v>
      </c>
      <c r="B84">
        <v>38.833009876161171</v>
      </c>
      <c r="C84">
        <v>-77.065415633235574</v>
      </c>
      <c r="D84" t="s">
        <v>178</v>
      </c>
      <c r="E84">
        <v>38.77367519361357</v>
      </c>
      <c r="F84">
        <v>-76.972158414322777</v>
      </c>
      <c r="G84" s="160">
        <v>6.4811480340451464</v>
      </c>
      <c r="H84" s="161">
        <v>129.20011721290368</v>
      </c>
      <c r="I84" s="161">
        <v>309.2585567972414</v>
      </c>
      <c r="J84">
        <v>129.2585567972414</v>
      </c>
      <c r="K84">
        <v>309.20011721290371</v>
      </c>
      <c r="L84" t="s">
        <v>257</v>
      </c>
      <c r="M84" s="7">
        <f>d_mix[[#This Row],[Dist]]/0.874</f>
        <v>7.4155011831180166</v>
      </c>
    </row>
    <row r="85" spans="1:13">
      <c r="A85" t="s">
        <v>129</v>
      </c>
      <c r="B85">
        <v>39.010042682733477</v>
      </c>
      <c r="C85">
        <v>-77.042440353879812</v>
      </c>
      <c r="D85" t="s">
        <v>122</v>
      </c>
      <c r="E85">
        <v>38.899509095632219</v>
      </c>
      <c r="F85">
        <v>-77.057553372632484</v>
      </c>
      <c r="G85" s="160">
        <v>7.6787144010750561</v>
      </c>
      <c r="H85" s="161">
        <v>186.07394456921494</v>
      </c>
      <c r="I85" s="161">
        <v>6.0644429073104753</v>
      </c>
      <c r="J85">
        <v>186.06444290731048</v>
      </c>
      <c r="K85">
        <v>6.0739445692149729</v>
      </c>
      <c r="L85" t="s">
        <v>254</v>
      </c>
      <c r="M85" s="7">
        <f>d_mix[[#This Row],[Dist]]/0.874</f>
        <v>8.7857144177060142</v>
      </c>
    </row>
    <row r="86" spans="1:13">
      <c r="A86" t="s">
        <v>261</v>
      </c>
      <c r="B86">
        <v>38.902741392095898</v>
      </c>
      <c r="C86">
        <v>-77.022944738479183</v>
      </c>
      <c r="D86" t="s">
        <v>256</v>
      </c>
      <c r="E86">
        <v>38.871476946892543</v>
      </c>
      <c r="F86">
        <v>-77.067752201956665</v>
      </c>
      <c r="G86" s="160">
        <v>3.2356507099599416</v>
      </c>
      <c r="H86" s="161">
        <v>228.14072899802881</v>
      </c>
      <c r="I86" s="161">
        <v>48.112599410614521</v>
      </c>
      <c r="J86">
        <v>228.11259941061451</v>
      </c>
      <c r="K86">
        <v>48.140728998028806</v>
      </c>
      <c r="L86" t="s">
        <v>120</v>
      </c>
      <c r="M86" s="7">
        <f>d_mix[[#This Row],[Dist]]/0.874</f>
        <v>3.7021175171166378</v>
      </c>
    </row>
    <row r="87" spans="1:13">
      <c r="A87" t="s">
        <v>151</v>
      </c>
      <c r="B87">
        <v>38.899994319306728</v>
      </c>
      <c r="C87">
        <v>-77.036569</v>
      </c>
      <c r="D87" t="s">
        <v>11</v>
      </c>
      <c r="E87">
        <v>38.923121509621552</v>
      </c>
      <c r="F87">
        <v>-77.074683546770501</v>
      </c>
      <c r="G87" s="160">
        <v>2.5980352627263996</v>
      </c>
      <c r="H87" s="161">
        <v>307.9593486335479</v>
      </c>
      <c r="I87" s="161">
        <v>127.93540812207434</v>
      </c>
      <c r="J87">
        <v>307.93540812207436</v>
      </c>
      <c r="K87">
        <v>127.9593486335479</v>
      </c>
      <c r="L87" t="s">
        <v>145</v>
      </c>
      <c r="M87" s="7">
        <f>d_mix[[#This Row],[Dist]]/0.874</f>
        <v>2.9725803921354688</v>
      </c>
    </row>
    <row r="88" spans="1:13">
      <c r="A88" t="s">
        <v>186</v>
      </c>
      <c r="B88">
        <v>38.885561745965539</v>
      </c>
      <c r="C88">
        <v>-77.009887373032456</v>
      </c>
      <c r="D88" t="s">
        <v>114</v>
      </c>
      <c r="E88">
        <v>38.94812410619182</v>
      </c>
      <c r="F88">
        <v>-77.004844803322314</v>
      </c>
      <c r="G88" s="160">
        <v>4.3303061717544775</v>
      </c>
      <c r="H88" s="161">
        <v>3.5868532441082248</v>
      </c>
      <c r="I88" s="161">
        <v>183.59002094555666</v>
      </c>
      <c r="J88">
        <v>3.5900209455566596</v>
      </c>
      <c r="K88">
        <v>183.58685324410823</v>
      </c>
      <c r="L88" t="s">
        <v>145</v>
      </c>
      <c r="M88" s="7">
        <f>d_mix[[#This Row],[Dist]]/0.3338</f>
        <v>12.97275665594511</v>
      </c>
    </row>
    <row r="89" spans="1:13">
      <c r="A89" t="s">
        <v>82</v>
      </c>
      <c r="B89">
        <v>38.892860499999969</v>
      </c>
      <c r="C89">
        <v>-76.909165529999996</v>
      </c>
      <c r="D89" t="s">
        <v>115</v>
      </c>
      <c r="E89">
        <v>38.884715252208309</v>
      </c>
      <c r="F89">
        <v>-77.07961687570274</v>
      </c>
      <c r="G89" s="160">
        <v>9.1823599024558913</v>
      </c>
      <c r="H89" s="161">
        <v>266.54034856919463</v>
      </c>
      <c r="I89" s="161">
        <v>86.433337333515865</v>
      </c>
      <c r="J89">
        <v>266.43333733351585</v>
      </c>
      <c r="K89">
        <v>86.540348569194634</v>
      </c>
      <c r="L89" t="s">
        <v>257</v>
      </c>
      <c r="M89" s="7">
        <f>d_mix[[#This Row],[Dist]]/0.3338</f>
        <v>27.508567712570077</v>
      </c>
    </row>
    <row r="90" spans="1:13">
      <c r="A90" t="s">
        <v>82</v>
      </c>
      <c r="B90">
        <v>38.892860499999969</v>
      </c>
      <c r="C90">
        <v>-76.909165529999996</v>
      </c>
      <c r="D90" t="s">
        <v>146</v>
      </c>
      <c r="E90">
        <v>38.896422370023927</v>
      </c>
      <c r="F90">
        <v>-77.006599849724481</v>
      </c>
      <c r="G90" s="160">
        <v>5.244350428135399</v>
      </c>
      <c r="H90" s="161">
        <v>272.71977906584158</v>
      </c>
      <c r="I90" s="161">
        <v>92.65860099556302</v>
      </c>
      <c r="J90">
        <v>272.65860099556301</v>
      </c>
      <c r="K90">
        <v>92.719779065841578</v>
      </c>
      <c r="L90" t="s">
        <v>252</v>
      </c>
      <c r="M90" s="7">
        <f>d_mix[[#This Row],[Dist]]/0.3338</f>
        <v>15.711055806277409</v>
      </c>
    </row>
    <row r="91" spans="1:13">
      <c r="A91" t="s">
        <v>134</v>
      </c>
      <c r="B91">
        <v>38.892786699999967</v>
      </c>
      <c r="C91">
        <v>-77.040679699999998</v>
      </c>
      <c r="D91" t="s">
        <v>168</v>
      </c>
      <c r="E91">
        <v>38.904077195910197</v>
      </c>
      <c r="F91">
        <v>-77.081655757436437</v>
      </c>
      <c r="G91" s="160">
        <v>2.3369614928362843</v>
      </c>
      <c r="H91" s="161">
        <v>289.50909739632692</v>
      </c>
      <c r="I91" s="161">
        <v>109.4833668179612</v>
      </c>
      <c r="J91">
        <v>289.48336681796121</v>
      </c>
      <c r="K91">
        <v>109.50909739632692</v>
      </c>
      <c r="L91" t="s">
        <v>254</v>
      </c>
      <c r="M91" s="7">
        <f>d_mix[[#This Row],[Dist]]/0.3338</f>
        <v>7.0010829623615471</v>
      </c>
    </row>
    <row r="92" spans="1:13">
      <c r="A92" t="s">
        <v>134</v>
      </c>
      <c r="B92">
        <v>38.892786699999967</v>
      </c>
      <c r="C92">
        <v>-77.040679699999998</v>
      </c>
      <c r="D92" t="s">
        <v>82</v>
      </c>
      <c r="E92">
        <v>38.892860499999969</v>
      </c>
      <c r="F92">
        <v>-76.909165529999996</v>
      </c>
      <c r="G92" s="160">
        <v>7.0710673476884942</v>
      </c>
      <c r="H92" s="161">
        <v>89.917404159640853</v>
      </c>
      <c r="I92" s="161">
        <v>269.9999774017511</v>
      </c>
      <c r="J92">
        <v>89.999977401751096</v>
      </c>
      <c r="K92">
        <v>269.91740415964085</v>
      </c>
      <c r="L92" t="s">
        <v>139</v>
      </c>
      <c r="M92" s="7">
        <f>d_mix[[#This Row],[Dist]]/0.3338</f>
        <v>21.18354507995355</v>
      </c>
    </row>
    <row r="93" spans="1:13">
      <c r="A93" t="s">
        <v>134</v>
      </c>
      <c r="B93">
        <v>38.892786699999967</v>
      </c>
      <c r="C93">
        <v>-77.040679699999998</v>
      </c>
      <c r="D93" t="s">
        <v>157</v>
      </c>
      <c r="E93">
        <v>38.910082172410689</v>
      </c>
      <c r="F93">
        <v>-76.978787828466437</v>
      </c>
      <c r="G93" s="160">
        <v>3.5353185084605103</v>
      </c>
      <c r="H93" s="161">
        <v>70.228325393941219</v>
      </c>
      <c r="I93" s="161">
        <v>250.26719241144147</v>
      </c>
      <c r="J93">
        <v>70.267192411441442</v>
      </c>
      <c r="K93">
        <v>250.22832539394122</v>
      </c>
      <c r="L93" t="s">
        <v>139</v>
      </c>
      <c r="M93" s="7">
        <f>d_mix[[#This Row],[Dist]]/0.3338</f>
        <v>10.591127946256773</v>
      </c>
    </row>
    <row r="94" spans="1:13">
      <c r="A94" t="s">
        <v>134</v>
      </c>
      <c r="B94">
        <v>38.892786699999967</v>
      </c>
      <c r="C94">
        <v>-77.040679699999998</v>
      </c>
      <c r="D94" t="s">
        <v>91</v>
      </c>
      <c r="E94">
        <v>38.901282372758438</v>
      </c>
      <c r="F94">
        <v>-77.158549156334814</v>
      </c>
      <c r="G94" s="160">
        <v>6.3641783161655701</v>
      </c>
      <c r="H94" s="161">
        <v>275.32813731714623</v>
      </c>
      <c r="I94" s="161">
        <v>95.254124384762861</v>
      </c>
      <c r="J94">
        <v>275.25412438476286</v>
      </c>
      <c r="K94">
        <v>95.328137317146229</v>
      </c>
      <c r="L94" t="s">
        <v>139</v>
      </c>
      <c r="M94" s="7">
        <f>d_mix[[#This Row],[Dist]]/0.3338</f>
        <v>19.065842768620641</v>
      </c>
    </row>
    <row r="95" spans="1:13">
      <c r="A95" t="s">
        <v>144</v>
      </c>
      <c r="B95">
        <v>38.93539090046842</v>
      </c>
      <c r="C95">
        <v>-77.118770832388549</v>
      </c>
      <c r="D95" t="s">
        <v>57</v>
      </c>
      <c r="E95">
        <v>38.971265146524964</v>
      </c>
      <c r="F95">
        <v>-77.068329157306508</v>
      </c>
      <c r="G95" s="160">
        <v>3.6720953543200152</v>
      </c>
      <c r="H95" s="161">
        <v>47.539867003712743</v>
      </c>
      <c r="I95" s="161">
        <v>227.57157903870052</v>
      </c>
      <c r="J95">
        <v>47.57157903870052</v>
      </c>
      <c r="K95">
        <v>227.53986700371274</v>
      </c>
      <c r="L95" t="s">
        <v>254</v>
      </c>
      <c r="M95" s="7">
        <f>d_mix[[#This Row],[Dist]]/0.5401</f>
        <v>6.798917523273496</v>
      </c>
    </row>
    <row r="96" spans="1:13">
      <c r="A96" t="s">
        <v>144</v>
      </c>
      <c r="B96">
        <v>38.93539090046842</v>
      </c>
      <c r="C96">
        <v>-77.118770832388549</v>
      </c>
      <c r="D96" t="s">
        <v>89</v>
      </c>
      <c r="E96">
        <v>38.911588839433009</v>
      </c>
      <c r="F96">
        <v>-76.993547550999835</v>
      </c>
      <c r="G96" s="160">
        <v>6.9278678169774288</v>
      </c>
      <c r="H96" s="161">
        <v>103.6901630231452</v>
      </c>
      <c r="I96" s="161">
        <v>283.76883858568169</v>
      </c>
      <c r="J96">
        <v>103.76883858568169</v>
      </c>
      <c r="K96">
        <v>283.6901630231452</v>
      </c>
      <c r="L96" t="s">
        <v>266</v>
      </c>
      <c r="M96" s="7">
        <f>d_mix[[#This Row],[Dist]]/0.5401</f>
        <v>12.827009474129659</v>
      </c>
    </row>
    <row r="97" spans="1:13">
      <c r="A97" t="s">
        <v>144</v>
      </c>
      <c r="B97">
        <v>38.93539090046842</v>
      </c>
      <c r="C97">
        <v>-77.118770832388549</v>
      </c>
      <c r="D97" t="s">
        <v>166</v>
      </c>
      <c r="E97">
        <v>38.689228316924762</v>
      </c>
      <c r="F97">
        <v>-77.043517969766754</v>
      </c>
      <c r="G97" s="160">
        <v>17.480731443388368</v>
      </c>
      <c r="H97" s="161">
        <v>166.57792887489364</v>
      </c>
      <c r="I97" s="161">
        <v>346.62509531728301</v>
      </c>
      <c r="J97">
        <v>166.62509531728301</v>
      </c>
      <c r="K97">
        <v>346.57792887489364</v>
      </c>
      <c r="L97" t="s">
        <v>252</v>
      </c>
      <c r="M97" s="7">
        <f>d_mix[[#This Row],[Dist]]/0.5401</f>
        <v>32.36573124123008</v>
      </c>
    </row>
    <row r="98" spans="1:13">
      <c r="A98" t="s">
        <v>53</v>
      </c>
      <c r="B98">
        <v>38.865733641110857</v>
      </c>
      <c r="C98">
        <v>-76.967852704156869</v>
      </c>
      <c r="D98" t="s">
        <v>61</v>
      </c>
      <c r="E98">
        <v>38.84552270708302</v>
      </c>
      <c r="F98">
        <v>-77.10483209910393</v>
      </c>
      <c r="G98" s="160">
        <v>7.4998687006080438</v>
      </c>
      <c r="H98" s="161">
        <v>259.31421568913896</v>
      </c>
      <c r="I98" s="161">
        <v>79.228280246332247</v>
      </c>
      <c r="J98">
        <v>259.22828024633225</v>
      </c>
      <c r="K98">
        <v>79.314215689138962</v>
      </c>
      <c r="L98" t="s">
        <v>262</v>
      </c>
      <c r="M98" s="159">
        <f>d_mix[[#This Row],[Dist]]/0.5401</f>
        <v>13.886074246635889</v>
      </c>
    </row>
    <row r="99" spans="1:13">
      <c r="A99" t="s">
        <v>53</v>
      </c>
      <c r="B99">
        <v>38.865733641110857</v>
      </c>
      <c r="C99">
        <v>-76.967852704156869</v>
      </c>
      <c r="D99" t="s">
        <v>200</v>
      </c>
      <c r="E99">
        <v>38.907211196813563</v>
      </c>
      <c r="F99">
        <v>-77.036526673104206</v>
      </c>
      <c r="G99" s="160">
        <v>4.6739477914756407</v>
      </c>
      <c r="H99" s="161">
        <v>307.83053978235051</v>
      </c>
      <c r="I99" s="161">
        <v>127.78742768050152</v>
      </c>
      <c r="J99">
        <v>307.78742768050154</v>
      </c>
      <c r="K99">
        <v>127.83053978235051</v>
      </c>
      <c r="L99" t="s">
        <v>254</v>
      </c>
      <c r="M99" s="7">
        <f>d_mix[[#This Row],[Dist]]/0.5401</f>
        <v>8.6538563071202379</v>
      </c>
    </row>
    <row r="100" spans="1:13">
      <c r="A100" t="s">
        <v>53</v>
      </c>
      <c r="B100">
        <v>38.865733641110857</v>
      </c>
      <c r="C100">
        <v>-76.967852704156869</v>
      </c>
      <c r="D100" t="s">
        <v>161</v>
      </c>
      <c r="E100">
        <v>38.898285637635617</v>
      </c>
      <c r="F100">
        <v>-77.036570972830333</v>
      </c>
      <c r="G100" s="160">
        <v>4.325729516616418</v>
      </c>
      <c r="H100" s="161">
        <v>301.34322170647027</v>
      </c>
      <c r="I100" s="161">
        <v>121.30008596169962</v>
      </c>
      <c r="J100">
        <v>301.30008596169961</v>
      </c>
      <c r="K100">
        <v>121.34322170647027</v>
      </c>
      <c r="L100" t="s">
        <v>131</v>
      </c>
      <c r="M100" s="7">
        <f>d_mix[[#This Row],[Dist]]/0.5401</f>
        <v>8.0091270442814615</v>
      </c>
    </row>
    <row r="101" spans="1:13">
      <c r="A101" t="s">
        <v>53</v>
      </c>
      <c r="B101">
        <v>38.865733641110857</v>
      </c>
      <c r="C101">
        <v>-76.967852704156869</v>
      </c>
      <c r="D101" t="s">
        <v>60</v>
      </c>
      <c r="E101">
        <v>38.953994890572183</v>
      </c>
      <c r="F101">
        <v>-77.077629631633798</v>
      </c>
      <c r="G101" s="160">
        <v>8.4850079372533607</v>
      </c>
      <c r="H101" s="161">
        <v>315.97125465790339</v>
      </c>
      <c r="I101" s="161">
        <v>135.90230406215875</v>
      </c>
      <c r="J101">
        <v>315.90230406215875</v>
      </c>
      <c r="K101">
        <v>135.97125465790339</v>
      </c>
      <c r="L101" t="s">
        <v>139</v>
      </c>
      <c r="M101" s="7">
        <f>d_mix[[#This Row],[Dist]]/0.5401</f>
        <v>15.710068389656286</v>
      </c>
    </row>
    <row r="102" spans="1:13">
      <c r="A102" t="s">
        <v>53</v>
      </c>
      <c r="B102">
        <v>38.865733641110857</v>
      </c>
      <c r="C102">
        <v>-76.967852704156869</v>
      </c>
      <c r="D102" t="s">
        <v>178</v>
      </c>
      <c r="E102">
        <v>38.77367519361357</v>
      </c>
      <c r="F102">
        <v>-76.972158414322777</v>
      </c>
      <c r="G102" s="160">
        <v>6.3636306931893829</v>
      </c>
      <c r="H102" s="161">
        <v>182.08832531873756</v>
      </c>
      <c r="I102" s="161">
        <v>2.0856261896094423</v>
      </c>
      <c r="J102">
        <v>182.08562618960946</v>
      </c>
      <c r="K102">
        <v>2.0883253187375885</v>
      </c>
      <c r="L102" t="s">
        <v>139</v>
      </c>
      <c r="M102" s="7">
        <f>d_mix[[#This Row],[Dist]]/0.5401</f>
        <v>11.7823193726891</v>
      </c>
    </row>
    <row r="103" spans="1:13">
      <c r="A103" t="s">
        <v>47</v>
      </c>
      <c r="B103">
        <v>38.924871835602019</v>
      </c>
      <c r="C103">
        <v>-77.018002710089107</v>
      </c>
      <c r="D103" t="s">
        <v>95</v>
      </c>
      <c r="E103">
        <v>39.448886999999999</v>
      </c>
      <c r="F103">
        <v>-77.627617999999998</v>
      </c>
      <c r="G103" s="160">
        <v>48.741823348618972</v>
      </c>
      <c r="H103" s="161">
        <v>318.1511416876715</v>
      </c>
      <c r="I103" s="161">
        <v>137.76594894321738</v>
      </c>
      <c r="J103">
        <v>317.76594894321738</v>
      </c>
      <c r="K103">
        <v>138.1511416876715</v>
      </c>
      <c r="L103" t="s">
        <v>254</v>
      </c>
      <c r="M103" s="7">
        <f>d_mix[[#This Row],[Dist]]/0.618</f>
        <v>78.870264318153673</v>
      </c>
    </row>
    <row r="104" spans="1:13">
      <c r="A104" t="s">
        <v>48</v>
      </c>
      <c r="B104">
        <v>38.913291244749402</v>
      </c>
      <c r="C104">
        <v>-77.093538846706636</v>
      </c>
      <c r="D104" t="s">
        <v>34</v>
      </c>
      <c r="E104">
        <v>38.903018005263867</v>
      </c>
      <c r="F104">
        <v>-77.112368203032503</v>
      </c>
      <c r="G104" s="160">
        <v>1.2361763503865255</v>
      </c>
      <c r="H104" s="161">
        <v>234.96996983431882</v>
      </c>
      <c r="I104" s="161">
        <v>54.958143608558984</v>
      </c>
      <c r="J104">
        <v>234.958143608559</v>
      </c>
      <c r="K104">
        <v>54.969969834318817</v>
      </c>
      <c r="L104" t="s">
        <v>131</v>
      </c>
      <c r="M104" s="7">
        <f>d_mix[[#This Row],[Dist]]/0.618</f>
        <v>2.0002853566125007</v>
      </c>
    </row>
    <row r="105" spans="1:13">
      <c r="A105" t="s">
        <v>126</v>
      </c>
      <c r="B105">
        <v>38.942531162412862</v>
      </c>
      <c r="C105">
        <v>-77.110668589240717</v>
      </c>
      <c r="D105" t="s">
        <v>4</v>
      </c>
      <c r="E105">
        <v>38.905331247930313</v>
      </c>
      <c r="F105">
        <v>-77.10094955658019</v>
      </c>
      <c r="G105" s="160">
        <v>2.6223219203719386</v>
      </c>
      <c r="H105" s="161">
        <v>168.50757710493599</v>
      </c>
      <c r="I105" s="161">
        <v>348.51368345742446</v>
      </c>
      <c r="J105">
        <v>168.51368345742446</v>
      </c>
      <c r="K105">
        <v>348.50757710493599</v>
      </c>
      <c r="L105" t="s">
        <v>252</v>
      </c>
      <c r="M105" s="7">
        <f>d_mix[[#This Row],[Dist]]/0.618</f>
        <v>4.2432393533526511</v>
      </c>
    </row>
    <row r="106" spans="1:13">
      <c r="A106" t="s">
        <v>130</v>
      </c>
      <c r="B106">
        <v>38.916014822915052</v>
      </c>
      <c r="C106">
        <v>-77.116777991306989</v>
      </c>
      <c r="D106" t="s">
        <v>192</v>
      </c>
      <c r="E106">
        <v>38.891079369466112</v>
      </c>
      <c r="F106">
        <v>-77.042886445346255</v>
      </c>
      <c r="G106" s="160">
        <v>4.3296982754332589</v>
      </c>
      <c r="H106" s="161">
        <v>113.42025802246208</v>
      </c>
      <c r="I106" s="161">
        <v>293.46666274858887</v>
      </c>
      <c r="J106">
        <v>113.46666274858887</v>
      </c>
      <c r="K106">
        <v>293.42025802246206</v>
      </c>
      <c r="L106" t="s">
        <v>145</v>
      </c>
      <c r="M106" s="7">
        <f>d_mix[[#This Row],[Dist]]/0.618</f>
        <v>7.0059842644551118</v>
      </c>
    </row>
    <row r="107" spans="1:13">
      <c r="A107" t="s">
        <v>192</v>
      </c>
      <c r="B107">
        <v>38.891079369466112</v>
      </c>
      <c r="C107">
        <v>-77.042886445346255</v>
      </c>
      <c r="D107" t="s">
        <v>14</v>
      </c>
      <c r="E107">
        <v>38.914649550911903</v>
      </c>
      <c r="F107">
        <v>-77.004648326263094</v>
      </c>
      <c r="G107" s="160">
        <v>2.6223654237625786</v>
      </c>
      <c r="H107" s="161">
        <v>51.605981344823341</v>
      </c>
      <c r="I107" s="161">
        <v>231.62999495977772</v>
      </c>
      <c r="J107">
        <v>51.629994959777719</v>
      </c>
      <c r="K107">
        <v>231.60598134482333</v>
      </c>
      <c r="L107" t="s">
        <v>252</v>
      </c>
      <c r="M107" s="7">
        <f>d_mix[[#This Row],[Dist]]/0.618</f>
        <v>4.243309747188639</v>
      </c>
    </row>
    <row r="108" spans="1:13">
      <c r="A108" t="s">
        <v>123</v>
      </c>
      <c r="B108">
        <v>38.792909774730433</v>
      </c>
      <c r="C108">
        <v>-77.031973080762256</v>
      </c>
      <c r="D108" t="s">
        <v>10</v>
      </c>
      <c r="E108">
        <v>38.886870293837752</v>
      </c>
      <c r="F108">
        <v>-76.9299762903957</v>
      </c>
      <c r="G108" s="160">
        <v>8.4999880431975328</v>
      </c>
      <c r="H108" s="161">
        <v>40.183199906833579</v>
      </c>
      <c r="I108" s="161">
        <v>220.24716684258857</v>
      </c>
      <c r="J108">
        <v>40.24716684258857</v>
      </c>
      <c r="K108">
        <v>220.18319990683358</v>
      </c>
      <c r="L108" t="s">
        <v>262</v>
      </c>
      <c r="M108" s="159">
        <f>d_mix[[#This Row],[Dist]]/0.618</f>
        <v>13.754025959866558</v>
      </c>
    </row>
    <row r="109" spans="1:13">
      <c r="A109" t="s">
        <v>123</v>
      </c>
      <c r="B109">
        <v>38.792909774730433</v>
      </c>
      <c r="C109">
        <v>-77.031973080762256</v>
      </c>
      <c r="D109" t="s">
        <v>202</v>
      </c>
      <c r="E109">
        <v>38.710790497835873</v>
      </c>
      <c r="F109">
        <v>-77.0352088314432</v>
      </c>
      <c r="G109" s="160">
        <v>5.6754881803241659</v>
      </c>
      <c r="H109" s="161">
        <v>181.76110315724574</v>
      </c>
      <c r="I109" s="161">
        <v>1.7590777429384712</v>
      </c>
      <c r="J109">
        <v>181.75907774293847</v>
      </c>
      <c r="K109">
        <v>1.7611031572457705</v>
      </c>
      <c r="L109" t="s">
        <v>254</v>
      </c>
      <c r="M109" s="7">
        <f>d_mix[[#This Row],[Dist]]/0.618</f>
        <v>9.1836378322397501</v>
      </c>
    </row>
    <row r="110" spans="1:13">
      <c r="A110" t="s">
        <v>123</v>
      </c>
      <c r="B110">
        <v>38.792909774730433</v>
      </c>
      <c r="C110">
        <v>-77.031973080762256</v>
      </c>
      <c r="D110" t="s">
        <v>132</v>
      </c>
      <c r="E110">
        <v>38.909694801858848</v>
      </c>
      <c r="F110">
        <v>-76.973871148151133</v>
      </c>
      <c r="G110" s="160">
        <v>8.6518998406931544</v>
      </c>
      <c r="H110" s="161">
        <v>21.160668318624467</v>
      </c>
      <c r="I110" s="161">
        <v>201.1971157616357</v>
      </c>
      <c r="J110">
        <v>21.1971157616357</v>
      </c>
      <c r="K110">
        <v>201.16066831862446</v>
      </c>
      <c r="L110" t="s">
        <v>131</v>
      </c>
      <c r="M110" s="7">
        <f>d_mix[[#This Row],[Dist]]/0.618</f>
        <v>13.999837929924198</v>
      </c>
    </row>
    <row r="111" spans="1:13">
      <c r="A111" t="s">
        <v>14</v>
      </c>
      <c r="B111">
        <v>38.914649550911903</v>
      </c>
      <c r="C111">
        <v>-77.004648326263094</v>
      </c>
      <c r="D111" t="s">
        <v>7</v>
      </c>
      <c r="E111">
        <v>38.876337452964407</v>
      </c>
      <c r="F111">
        <v>-77.072341784270549</v>
      </c>
      <c r="G111" s="160">
        <v>4.5000595574411042</v>
      </c>
      <c r="H111" s="161">
        <v>233.99707900993693</v>
      </c>
      <c r="I111" s="161">
        <v>53.954574157427999</v>
      </c>
      <c r="J111">
        <v>233.954574157428</v>
      </c>
      <c r="K111">
        <v>53.997079009936897</v>
      </c>
      <c r="L111" t="s">
        <v>262</v>
      </c>
      <c r="M111" s="159">
        <f>d_mix[[#This Row],[Dist]]/1.618</f>
        <v>2.7812481813603855</v>
      </c>
    </row>
    <row r="112" spans="1:13">
      <c r="A112" t="s">
        <v>3</v>
      </c>
      <c r="B112">
        <v>38.920055892874778</v>
      </c>
      <c r="C112">
        <v>-76.94844865915428</v>
      </c>
      <c r="D112" t="s">
        <v>199</v>
      </c>
      <c r="E112">
        <v>38.901242008335643</v>
      </c>
      <c r="F112">
        <v>-77.085863354657533</v>
      </c>
      <c r="G112" s="160">
        <v>7.4999298588011447</v>
      </c>
      <c r="H112" s="161">
        <v>260.06397784839822</v>
      </c>
      <c r="I112" s="161">
        <v>79.977666595151902</v>
      </c>
      <c r="J112">
        <v>259.9776665951519</v>
      </c>
      <c r="K112">
        <v>80.063977848398224</v>
      </c>
      <c r="L112" t="s">
        <v>262</v>
      </c>
      <c r="M112" s="159">
        <f>d_mix[[#This Row],[Dist]]/3.7025</f>
        <v>2.0256393946795797</v>
      </c>
    </row>
    <row r="113" spans="1:13">
      <c r="A113" t="s">
        <v>19</v>
      </c>
      <c r="B113">
        <v>38.88120136333437</v>
      </c>
      <c r="C113">
        <v>-77.072631056499674</v>
      </c>
      <c r="D113" t="s">
        <v>137</v>
      </c>
      <c r="E113">
        <v>38.90117456916591</v>
      </c>
      <c r="F113">
        <v>-77.090113994513501</v>
      </c>
      <c r="G113" s="160">
        <v>1.6695361555634931</v>
      </c>
      <c r="H113" s="161">
        <v>325.73904038277544</v>
      </c>
      <c r="I113" s="161">
        <v>145.72806383605669</v>
      </c>
      <c r="J113">
        <v>325.72806383605666</v>
      </c>
      <c r="K113">
        <v>145.73904038277544</v>
      </c>
      <c r="L113" t="s">
        <v>254</v>
      </c>
      <c r="M113" s="7">
        <f>d_mix[[#This Row],[Dist]]/3.7025</f>
        <v>0.45092131142835734</v>
      </c>
    </row>
    <row r="114" spans="1:13">
      <c r="A114" t="s">
        <v>20</v>
      </c>
      <c r="B114">
        <v>38.915605867544031</v>
      </c>
      <c r="C114">
        <v>-77.078883572114037</v>
      </c>
      <c r="D114" t="s">
        <v>28</v>
      </c>
      <c r="E114">
        <v>38.9243596243616</v>
      </c>
      <c r="F114">
        <v>-77.090630055083651</v>
      </c>
      <c r="G114" s="160">
        <v>0.87421290863153911</v>
      </c>
      <c r="H114" s="161">
        <v>313.77011692424981</v>
      </c>
      <c r="I114" s="161">
        <v>133.76273737902002</v>
      </c>
      <c r="J114">
        <v>313.76273737902</v>
      </c>
      <c r="K114">
        <v>133.77011692424981</v>
      </c>
      <c r="L114" t="s">
        <v>252</v>
      </c>
      <c r="M114" s="7">
        <f>d_mix[[#This Row],[Dist]]/3.7025</f>
        <v>0.23611422245281272</v>
      </c>
    </row>
    <row r="115" spans="1:13">
      <c r="A115" t="s">
        <v>20</v>
      </c>
      <c r="B115">
        <v>38.915605867544031</v>
      </c>
      <c r="C115">
        <v>-77.078883572114037</v>
      </c>
      <c r="D115" t="s">
        <v>178</v>
      </c>
      <c r="E115">
        <v>38.77367519361357</v>
      </c>
      <c r="F115">
        <v>-76.972158414322777</v>
      </c>
      <c r="G115" s="160">
        <v>11.362308666829694</v>
      </c>
      <c r="H115" s="161">
        <v>149.610801363554</v>
      </c>
      <c r="I115" s="161">
        <v>329.67774060060941</v>
      </c>
      <c r="J115">
        <v>149.67774060060941</v>
      </c>
      <c r="K115">
        <v>329.610801363554</v>
      </c>
      <c r="L115" t="s">
        <v>252</v>
      </c>
      <c r="M115" s="7">
        <f>d_mix[[#This Row],[Dist]]/5.605</f>
        <v>2.0271737139749675</v>
      </c>
    </row>
    <row r="116" spans="1:13">
      <c r="A116" t="s">
        <v>22</v>
      </c>
      <c r="B116">
        <v>38.923087370584398</v>
      </c>
      <c r="C116">
        <v>-77.077632878496715</v>
      </c>
      <c r="D116" t="s">
        <v>173</v>
      </c>
      <c r="E116">
        <v>38.988765681572232</v>
      </c>
      <c r="F116">
        <v>-77.16354886186852</v>
      </c>
      <c r="G116" s="160">
        <v>6.4719368171016738</v>
      </c>
      <c r="H116" s="161">
        <v>314.53724817287781</v>
      </c>
      <c r="I116" s="161">
        <v>134.4832308543557</v>
      </c>
      <c r="J116">
        <v>314.48323085435572</v>
      </c>
      <c r="K116">
        <v>134.53724817287781</v>
      </c>
      <c r="L116" t="s">
        <v>120</v>
      </c>
      <c r="M116" s="7">
        <f>d_mix[[#This Row],[Dist]]</f>
        <v>6.4719368171016738</v>
      </c>
    </row>
    <row r="117" spans="1:13">
      <c r="A117" t="s">
        <v>13</v>
      </c>
      <c r="B117">
        <v>38.928234461306907</v>
      </c>
      <c r="C117">
        <v>-77.06004232078331</v>
      </c>
      <c r="D117" t="s">
        <v>29</v>
      </c>
      <c r="E117">
        <v>38.931322965354973</v>
      </c>
      <c r="F117">
        <v>-76.917209455745677</v>
      </c>
      <c r="G117" s="160">
        <v>7.6786000645570258</v>
      </c>
      <c r="H117" s="161">
        <v>88.362924497540064</v>
      </c>
      <c r="I117" s="161">
        <v>268.45267604949117</v>
      </c>
      <c r="J117">
        <v>88.452676049491174</v>
      </c>
      <c r="K117">
        <v>268.36292449754006</v>
      </c>
      <c r="L117" t="s">
        <v>254</v>
      </c>
      <c r="M117" s="7">
        <f>d_mix[[#This Row],[Dist]]/1.618</f>
        <v>4.7457355157954417</v>
      </c>
    </row>
    <row r="118" spans="1:13">
      <c r="A118" t="s">
        <v>26</v>
      </c>
      <c r="B118">
        <v>38.920660773128958</v>
      </c>
      <c r="C118">
        <v>-77.079750995205373</v>
      </c>
      <c r="D118" t="s">
        <v>33</v>
      </c>
      <c r="E118">
        <v>38.918966507717499</v>
      </c>
      <c r="F118">
        <v>-77.24236058241425</v>
      </c>
      <c r="G118" s="160">
        <v>8.7404192854037071</v>
      </c>
      <c r="H118" s="161">
        <v>269.28382706626803</v>
      </c>
      <c r="I118" s="161">
        <v>89.181670454673565</v>
      </c>
      <c r="J118">
        <v>269.18167045467357</v>
      </c>
      <c r="K118">
        <v>89.283827066268032</v>
      </c>
      <c r="L118" t="s">
        <v>252</v>
      </c>
      <c r="M118" s="7">
        <f>d_mix[[#This Row],[Dist]]</f>
        <v>8.7404192854037071</v>
      </c>
    </row>
    <row r="119" spans="1:13">
      <c r="A119" t="s">
        <v>23</v>
      </c>
      <c r="B119">
        <v>38.896347393829558</v>
      </c>
      <c r="C119">
        <v>-77.112485891886223</v>
      </c>
      <c r="D119" t="s">
        <v>91</v>
      </c>
      <c r="E119">
        <v>38.901282372758438</v>
      </c>
      <c r="F119">
        <v>-77.158549156334814</v>
      </c>
      <c r="G119" s="160">
        <v>2.499809533609171</v>
      </c>
      <c r="H119" s="161">
        <v>277.85254058497924</v>
      </c>
      <c r="I119" s="161">
        <v>97.823615297126736</v>
      </c>
      <c r="J119">
        <v>277.82361529712671</v>
      </c>
      <c r="K119">
        <v>97.852540584979238</v>
      </c>
      <c r="L119" t="s">
        <v>262</v>
      </c>
      <c r="M119" s="159">
        <f>d_mix[[#This Row],[Dist]]</f>
        <v>2.499809533609171</v>
      </c>
    </row>
    <row r="120" spans="1:13">
      <c r="A120" t="s">
        <v>9</v>
      </c>
      <c r="B120">
        <v>38.920336486884452</v>
      </c>
      <c r="C120">
        <v>-77.305560255203972</v>
      </c>
      <c r="D120" t="s">
        <v>199</v>
      </c>
      <c r="E120">
        <v>38.901242008335643</v>
      </c>
      <c r="F120">
        <v>-77.085863354657533</v>
      </c>
      <c r="G120" s="160">
        <v>11.882795208972047</v>
      </c>
      <c r="H120" s="161">
        <v>96.304243489890453</v>
      </c>
      <c r="I120" s="161">
        <v>276.44223732558896</v>
      </c>
      <c r="J120">
        <v>96.442237325588962</v>
      </c>
      <c r="K120">
        <v>276.30424348989044</v>
      </c>
      <c r="L120" t="s">
        <v>257</v>
      </c>
      <c r="M120" s="7">
        <f>d_mix[[#This Row],[Dist]]</f>
        <v>11.882795208972047</v>
      </c>
    </row>
    <row r="121" spans="1:13">
      <c r="A121" t="s">
        <v>91</v>
      </c>
      <c r="B121">
        <v>38.901282372758438</v>
      </c>
      <c r="C121">
        <v>-77.158549156334814</v>
      </c>
      <c r="D121" t="s">
        <v>21</v>
      </c>
      <c r="E121">
        <v>38.916815383206369</v>
      </c>
      <c r="F121">
        <v>-77.061201400915238</v>
      </c>
      <c r="G121" s="160">
        <v>5.3417403299765009</v>
      </c>
      <c r="H121" s="161">
        <v>78.381297188222561</v>
      </c>
      <c r="I121" s="161">
        <v>258.44243995609543</v>
      </c>
      <c r="J121">
        <v>78.442439956095427</v>
      </c>
      <c r="K121">
        <v>258.38129718822256</v>
      </c>
      <c r="L121" t="s">
        <v>254</v>
      </c>
      <c r="M121" s="7">
        <f>d_mix[[#This Row],[Dist]]</f>
        <v>5.3417403299765009</v>
      </c>
    </row>
    <row r="122" spans="1:13">
      <c r="A122" t="s">
        <v>91</v>
      </c>
      <c r="B122">
        <v>38.901282372758438</v>
      </c>
      <c r="C122">
        <v>-77.158549156334814</v>
      </c>
      <c r="D122" t="s">
        <v>96</v>
      </c>
      <c r="E122">
        <v>38.899664999999999</v>
      </c>
      <c r="F122">
        <v>-77.698808999999997</v>
      </c>
      <c r="G122" s="160">
        <v>29.044963398205603</v>
      </c>
      <c r="H122" s="161">
        <v>269.94923375119703</v>
      </c>
      <c r="I122" s="161">
        <v>89.609965529307516</v>
      </c>
      <c r="J122">
        <v>269.60996552930749</v>
      </c>
      <c r="K122">
        <v>89.949233751197028</v>
      </c>
      <c r="L122" t="s">
        <v>254</v>
      </c>
      <c r="M122" s="7">
        <f>d_mix[[#This Row],[Dist]]</f>
        <v>29.044963398205603</v>
      </c>
    </row>
    <row r="123" spans="1:13">
      <c r="A123" t="s">
        <v>50</v>
      </c>
      <c r="B123">
        <v>38.825547076803183</v>
      </c>
      <c r="C123">
        <v>-77.014661035126181</v>
      </c>
      <c r="D123" t="s">
        <v>199</v>
      </c>
      <c r="E123">
        <v>38.901242008335643</v>
      </c>
      <c r="F123">
        <v>-77.085863354657533</v>
      </c>
      <c r="G123" s="160">
        <v>6.4815630882033295</v>
      </c>
      <c r="H123" s="161">
        <v>323.80215042625673</v>
      </c>
      <c r="I123" s="161">
        <v>143.75747339825864</v>
      </c>
      <c r="J123">
        <v>323.75747339825864</v>
      </c>
      <c r="K123">
        <v>143.80215042625673</v>
      </c>
      <c r="L123" t="s">
        <v>257</v>
      </c>
      <c r="M123" s="7">
        <f>d_mix[[#This Row],[Dist]]</f>
        <v>6.4815630882033295</v>
      </c>
    </row>
    <row r="124" spans="1:13">
      <c r="A124" t="s">
        <v>34</v>
      </c>
      <c r="B124">
        <v>38.903018005263867</v>
      </c>
      <c r="C124">
        <v>-77.112368203032503</v>
      </c>
      <c r="D124" t="s">
        <v>256</v>
      </c>
      <c r="E124">
        <v>38.871476946892543</v>
      </c>
      <c r="F124">
        <v>-77.067752201956665</v>
      </c>
      <c r="G124" s="160">
        <v>3.2408046211895951</v>
      </c>
      <c r="H124" s="161">
        <v>132.23243377337678</v>
      </c>
      <c r="I124" s="161">
        <v>312.26044324683522</v>
      </c>
      <c r="J124">
        <v>132.26044324683522</v>
      </c>
      <c r="K124">
        <v>312.23243377337678</v>
      </c>
      <c r="L124" t="s">
        <v>257</v>
      </c>
      <c r="M124" s="7">
        <f>d_mix[[#This Row],[Dist]]/2.236</f>
        <v>1.449375948653665</v>
      </c>
    </row>
    <row r="125" spans="1:13">
      <c r="A125" t="s">
        <v>4</v>
      </c>
      <c r="B125">
        <v>38.905331247930313</v>
      </c>
      <c r="C125">
        <v>-77.10094955658019</v>
      </c>
      <c r="D125" t="s">
        <v>27</v>
      </c>
      <c r="E125">
        <v>38.874515971394558</v>
      </c>
      <c r="F125">
        <v>-77.146392815978004</v>
      </c>
      <c r="G125" s="160">
        <v>3.2406485827068408</v>
      </c>
      <c r="H125" s="161">
        <v>228.95176908514918</v>
      </c>
      <c r="I125" s="161">
        <v>48.923238615197221</v>
      </c>
      <c r="J125">
        <v>228.92323861519722</v>
      </c>
      <c r="K125">
        <v>48.951769085149181</v>
      </c>
      <c r="L125" t="s">
        <v>257</v>
      </c>
      <c r="M125" s="7">
        <f>d_mix[[#This Row],[Dist]]/2.236</f>
        <v>1.4493061640012703</v>
      </c>
    </row>
    <row r="126" spans="1:13">
      <c r="A126" t="s">
        <v>8</v>
      </c>
      <c r="B126">
        <v>38.889816848715718</v>
      </c>
      <c r="C126">
        <v>-77.008442240897836</v>
      </c>
      <c r="D126" t="s">
        <v>192</v>
      </c>
      <c r="E126">
        <v>38.891079369466112</v>
      </c>
      <c r="F126">
        <v>-77.042886445346255</v>
      </c>
      <c r="G126" s="160">
        <v>1.8540611704595458</v>
      </c>
      <c r="H126" s="161">
        <v>272.70700287192221</v>
      </c>
      <c r="I126" s="161">
        <v>92.685377652753985</v>
      </c>
      <c r="J126">
        <v>272.68537765275397</v>
      </c>
      <c r="K126">
        <v>92.707002871922214</v>
      </c>
      <c r="L126" t="s">
        <v>131</v>
      </c>
      <c r="M126" s="7">
        <f>d_mix[[#This Row],[Dist]]/0.3338</f>
        <v>5.5544073411010961</v>
      </c>
    </row>
    <row r="127" spans="1:13">
      <c r="A127" t="s">
        <v>8</v>
      </c>
      <c r="B127">
        <v>38.889816848715718</v>
      </c>
      <c r="C127">
        <v>-77.008442240897836</v>
      </c>
      <c r="D127" t="s">
        <v>59</v>
      </c>
      <c r="E127">
        <v>38.93508740486395</v>
      </c>
      <c r="F127">
        <v>-77.126419797285848</v>
      </c>
      <c r="G127" s="160">
        <v>7.0706812002405881</v>
      </c>
      <c r="H127" s="161">
        <v>296.28716420968368</v>
      </c>
      <c r="I127" s="161">
        <v>116.21305868849711</v>
      </c>
      <c r="J127">
        <v>296.21305868849709</v>
      </c>
      <c r="K127">
        <v>116.28716420968368</v>
      </c>
      <c r="L127" t="s">
        <v>139</v>
      </c>
      <c r="M127" s="7">
        <f>d_mix[[#This Row],[Dist]]/0.3338</f>
        <v>21.18238825716174</v>
      </c>
    </row>
    <row r="128" spans="1:13">
      <c r="A128" t="s">
        <v>8</v>
      </c>
      <c r="B128">
        <v>38.889816848715718</v>
      </c>
      <c r="C128">
        <v>-77.008442240897836</v>
      </c>
      <c r="D128" t="s">
        <v>166</v>
      </c>
      <c r="E128">
        <v>38.689228316924762</v>
      </c>
      <c r="F128">
        <v>-77.043517969766754</v>
      </c>
      <c r="G128" s="160">
        <v>13.984798820062325</v>
      </c>
      <c r="H128" s="161">
        <v>187.77247897169619</v>
      </c>
      <c r="I128" s="161">
        <v>7.7505053513673134</v>
      </c>
      <c r="J128">
        <v>187.75050535136731</v>
      </c>
      <c r="K128">
        <v>7.7724789716961595</v>
      </c>
      <c r="L128" t="s">
        <v>252</v>
      </c>
      <c r="M128" s="7">
        <f>d_mix[[#This Row],[Dist]]/0.3338</f>
        <v>41.895742420797859</v>
      </c>
    </row>
    <row r="129" spans="1:13">
      <c r="A129" t="s">
        <v>8</v>
      </c>
      <c r="B129">
        <v>38.889816848715718</v>
      </c>
      <c r="C129">
        <v>-77.008442240897836</v>
      </c>
      <c r="D129" t="s">
        <v>48</v>
      </c>
      <c r="E129">
        <v>38.913291244749402</v>
      </c>
      <c r="F129">
        <v>-77.093538846706636</v>
      </c>
      <c r="G129" s="160">
        <v>4.8536931854892291</v>
      </c>
      <c r="H129" s="161">
        <v>289.54447727712522</v>
      </c>
      <c r="I129" s="161">
        <v>109.49103794903517</v>
      </c>
      <c r="J129">
        <v>289.49103794903516</v>
      </c>
      <c r="K129">
        <v>109.54447727712522</v>
      </c>
      <c r="L129" t="s">
        <v>120</v>
      </c>
      <c r="M129" s="7">
        <f>d_mix[[#This Row],[Dist]]/0.3338</f>
        <v>14.540722544904821</v>
      </c>
    </row>
    <row r="130" spans="1:13">
      <c r="A130" t="s">
        <v>78</v>
      </c>
      <c r="B130">
        <v>38.810462075372001</v>
      </c>
      <c r="C130">
        <v>-76.996648178397948</v>
      </c>
      <c r="D130" t="s">
        <v>117</v>
      </c>
      <c r="E130">
        <v>38.932037569820068</v>
      </c>
      <c r="F130">
        <v>-77.093677384943518</v>
      </c>
      <c r="G130" s="160">
        <v>9.8877104533406879</v>
      </c>
      <c r="H130" s="161">
        <v>328.17502259207583</v>
      </c>
      <c r="I130" s="161">
        <v>148.1141296903966</v>
      </c>
      <c r="J130">
        <v>328.11412969039657</v>
      </c>
      <c r="K130">
        <v>148.17502259207583</v>
      </c>
      <c r="L130" t="s">
        <v>131</v>
      </c>
      <c r="M130" s="7">
        <f>d_mix[[#This Row],[Dist]]/2.236</f>
        <v>4.4220529755548688</v>
      </c>
    </row>
    <row r="131" spans="1:13">
      <c r="A131" t="s">
        <v>78</v>
      </c>
      <c r="B131">
        <v>38.810462075372001</v>
      </c>
      <c r="C131">
        <v>-76.996648178397948</v>
      </c>
      <c r="D131" t="s">
        <v>137</v>
      </c>
      <c r="E131">
        <v>38.90117456916591</v>
      </c>
      <c r="F131">
        <v>-77.090113994513501</v>
      </c>
      <c r="G131" s="160">
        <v>8.034205571506881</v>
      </c>
      <c r="H131" s="161">
        <v>321.28703375563168</v>
      </c>
      <c r="I131" s="161">
        <v>141.22839675743373</v>
      </c>
      <c r="J131">
        <v>321.22839675743376</v>
      </c>
      <c r="K131">
        <v>141.28703375563168</v>
      </c>
      <c r="L131" t="s">
        <v>131</v>
      </c>
      <c r="M131" s="7">
        <f>d_mix[[#This Row],[Dist]]/2.236</f>
        <v>3.5931151929816103</v>
      </c>
    </row>
    <row r="132" spans="1:13">
      <c r="A132" t="s">
        <v>78</v>
      </c>
      <c r="B132">
        <v>38.810462075372001</v>
      </c>
      <c r="C132">
        <v>-76.996648178397948</v>
      </c>
      <c r="D132" t="s">
        <v>27</v>
      </c>
      <c r="E132">
        <v>38.874515971394558</v>
      </c>
      <c r="F132">
        <v>-77.146392815978004</v>
      </c>
      <c r="G132" s="160">
        <v>9.1920540710282062</v>
      </c>
      <c r="H132" s="161">
        <v>298.82236993508616</v>
      </c>
      <c r="I132" s="161">
        <v>118.72845281029539</v>
      </c>
      <c r="J132">
        <v>298.72845281029538</v>
      </c>
      <c r="K132">
        <v>118.82236993508616</v>
      </c>
      <c r="L132" t="s">
        <v>139</v>
      </c>
      <c r="M132" s="7">
        <f>d_mix[[#This Row],[Dist]]/2.236</f>
        <v>4.110936525504564</v>
      </c>
    </row>
    <row r="133" spans="1:13">
      <c r="A133" t="s">
        <v>153</v>
      </c>
      <c r="B133">
        <v>38.945071482174598</v>
      </c>
      <c r="C133">
        <v>-77.038834596689199</v>
      </c>
      <c r="D133" t="s">
        <v>15</v>
      </c>
      <c r="E133">
        <v>38.83334538875507</v>
      </c>
      <c r="F133">
        <v>-77.176201826008182</v>
      </c>
      <c r="G133" s="160">
        <v>10.682853704636544</v>
      </c>
      <c r="H133" s="161">
        <v>223.78427588062129</v>
      </c>
      <c r="I133" s="161">
        <v>43.69803440618719</v>
      </c>
      <c r="J133">
        <v>223.69803440618719</v>
      </c>
      <c r="K133">
        <v>43.784275880621294</v>
      </c>
      <c r="L133" t="s">
        <v>254</v>
      </c>
      <c r="M133" s="7">
        <f>d_mix[[#This Row],[Dist]]/2.2882</f>
        <v>4.6686713157226398</v>
      </c>
    </row>
    <row r="134" spans="1:13">
      <c r="A134" t="s">
        <v>153</v>
      </c>
      <c r="B134">
        <v>38.945071482174598</v>
      </c>
      <c r="C134">
        <v>-77.038834596689199</v>
      </c>
      <c r="D134" t="s">
        <v>27</v>
      </c>
      <c r="E134">
        <v>38.874515971394558</v>
      </c>
      <c r="F134">
        <v>-77.146392815978004</v>
      </c>
      <c r="G134" s="160">
        <v>7.5619597629749657</v>
      </c>
      <c r="H134" s="161">
        <v>229.90261591679615</v>
      </c>
      <c r="I134" s="161">
        <v>49.835058996529007</v>
      </c>
      <c r="J134">
        <v>229.835058996529</v>
      </c>
      <c r="K134">
        <v>49.902615916796151</v>
      </c>
      <c r="L134" t="s">
        <v>257</v>
      </c>
      <c r="M134" s="7">
        <f>d_mix[[#This Row],[Dist]]/2.2882</f>
        <v>3.3047634660322376</v>
      </c>
    </row>
    <row r="135" spans="1:13">
      <c r="A135" t="s">
        <v>153</v>
      </c>
      <c r="B135">
        <v>38.945071482174598</v>
      </c>
      <c r="C135">
        <v>-77.038834596689199</v>
      </c>
      <c r="D135" t="s">
        <v>23</v>
      </c>
      <c r="E135">
        <v>38.896347393829558</v>
      </c>
      <c r="F135">
        <v>-77.112485891886223</v>
      </c>
      <c r="G135" s="160">
        <v>5.1959755259063805</v>
      </c>
      <c r="H135" s="161">
        <v>229.6484596716391</v>
      </c>
      <c r="I135" s="161">
        <v>49.602188656397765</v>
      </c>
      <c r="J135">
        <v>229.60218865639777</v>
      </c>
      <c r="K135">
        <v>49.648459671639102</v>
      </c>
      <c r="L135" t="s">
        <v>145</v>
      </c>
      <c r="M135" s="7">
        <f>d_mix[[#This Row],[Dist]]/2.2882</f>
        <v>2.2707698303934887</v>
      </c>
    </row>
    <row r="136" spans="1:13">
      <c r="A136" t="s">
        <v>153</v>
      </c>
      <c r="B136">
        <v>38.945071482174598</v>
      </c>
      <c r="C136">
        <v>-77.038834596689199</v>
      </c>
      <c r="D136" t="s">
        <v>95</v>
      </c>
      <c r="E136">
        <v>39.448886999999999</v>
      </c>
      <c r="F136">
        <v>-77.627617999999998</v>
      </c>
      <c r="G136" s="160">
        <v>46.95567200267412</v>
      </c>
      <c r="H136" s="161">
        <v>318.01930340832155</v>
      </c>
      <c r="I136" s="161">
        <v>137.6471935376895</v>
      </c>
      <c r="J136">
        <v>317.64719353768953</v>
      </c>
      <c r="K136">
        <v>138.01930340832155</v>
      </c>
      <c r="L136" t="s">
        <v>148</v>
      </c>
      <c r="M136" s="7">
        <f>d_mix[[#This Row],[Dist]]/2.2882</f>
        <v>20.520790141890622</v>
      </c>
    </row>
    <row r="137" spans="1:13">
      <c r="A137" t="s">
        <v>170</v>
      </c>
      <c r="B137">
        <v>38.808593670098077</v>
      </c>
      <c r="C137">
        <v>-77.067282222571677</v>
      </c>
      <c r="D137" t="s">
        <v>69</v>
      </c>
      <c r="E137">
        <v>38.995956509999992</v>
      </c>
      <c r="F137">
        <v>-77.040985579999997</v>
      </c>
      <c r="G137" s="160">
        <v>13.02002515825748</v>
      </c>
      <c r="H137" s="161">
        <v>6.2251128317606126</v>
      </c>
      <c r="I137" s="161">
        <v>186.24162698670034</v>
      </c>
      <c r="J137">
        <v>6.2416269867003393</v>
      </c>
      <c r="K137">
        <v>186.22511283176061</v>
      </c>
      <c r="L137" t="s">
        <v>254</v>
      </c>
      <c r="M137" s="7">
        <f>5.605/d_mix[[#This Row],[Dist]]</f>
        <v>0.43049071963161545</v>
      </c>
    </row>
    <row r="138" spans="1:13">
      <c r="A138" t="s">
        <v>170</v>
      </c>
      <c r="B138">
        <v>38.808593670098077</v>
      </c>
      <c r="C138">
        <v>-77.067282222571677</v>
      </c>
      <c r="D138" t="s">
        <v>200</v>
      </c>
      <c r="E138">
        <v>38.907211196813563</v>
      </c>
      <c r="F138">
        <v>-77.036526673104206</v>
      </c>
      <c r="G138" s="160">
        <v>7.0105251900502683</v>
      </c>
      <c r="H138" s="161">
        <v>13.640503662326761</v>
      </c>
      <c r="I138" s="161">
        <v>193.6597994271788</v>
      </c>
      <c r="J138">
        <v>13.659799427178768</v>
      </c>
      <c r="K138">
        <v>193.64050366232675</v>
      </c>
      <c r="L138" t="s">
        <v>254</v>
      </c>
      <c r="M138" s="7">
        <f>5.605/d_mix[[#This Row],[Dist]]</f>
        <v>0.7995121403964045</v>
      </c>
    </row>
    <row r="139" spans="1:13">
      <c r="A139" t="s">
        <v>171</v>
      </c>
      <c r="B139">
        <v>38.806817394919563</v>
      </c>
      <c r="C139">
        <v>-77.067484029795025</v>
      </c>
      <c r="D139" t="s">
        <v>141</v>
      </c>
      <c r="E139">
        <v>38.902528221297217</v>
      </c>
      <c r="F139">
        <v>-77.050139297471702</v>
      </c>
      <c r="G139" s="160">
        <v>6.6772306738070135</v>
      </c>
      <c r="H139" s="161">
        <v>8.0272864215566901</v>
      </c>
      <c r="I139" s="161">
        <v>188.03816759442191</v>
      </c>
      <c r="J139">
        <v>8.0381675944219069</v>
      </c>
      <c r="K139">
        <v>188.02728642155668</v>
      </c>
      <c r="L139" t="s">
        <v>254</v>
      </c>
      <c r="M139" s="7">
        <f>5.605/d_mix[[#This Row],[Dist]]</f>
        <v>0.83941985439965605</v>
      </c>
    </row>
    <row r="140" spans="1:13">
      <c r="A140" t="s">
        <v>171</v>
      </c>
      <c r="B140">
        <v>38.806817394919563</v>
      </c>
      <c r="C140">
        <v>-77.067484029795025</v>
      </c>
      <c r="D140" t="s">
        <v>164</v>
      </c>
      <c r="E140">
        <v>38.888944385745397</v>
      </c>
      <c r="F140">
        <v>-77.000964800836925</v>
      </c>
      <c r="G140" s="160">
        <v>6.7077890107717764</v>
      </c>
      <c r="H140" s="161">
        <v>32.223073716220398</v>
      </c>
      <c r="I140" s="161">
        <v>212.26479824002647</v>
      </c>
      <c r="J140">
        <v>32.264798240026494</v>
      </c>
      <c r="K140">
        <v>212.2230737162204</v>
      </c>
      <c r="L140" t="s">
        <v>148</v>
      </c>
      <c r="M140" s="7">
        <f>5.605/d_mix[[#This Row],[Dist]]</f>
        <v>0.83559575159551824</v>
      </c>
    </row>
    <row r="141" spans="1:13">
      <c r="A141" t="s">
        <v>63</v>
      </c>
      <c r="B141">
        <v>38.895136600000001</v>
      </c>
      <c r="C141">
        <v>-77.051444000000004</v>
      </c>
      <c r="D141" t="s">
        <v>40</v>
      </c>
      <c r="E141">
        <v>38.861737201739359</v>
      </c>
      <c r="F141">
        <v>-76.955024258010965</v>
      </c>
      <c r="G141" s="160">
        <v>5.675360748664354</v>
      </c>
      <c r="H141" s="161">
        <v>113.95710953075337</v>
      </c>
      <c r="I141" s="161">
        <v>294.01762933335914</v>
      </c>
      <c r="J141">
        <v>114.01762933335914</v>
      </c>
      <c r="K141">
        <v>293.95710953075337</v>
      </c>
      <c r="L141" t="s">
        <v>254</v>
      </c>
      <c r="M141" s="7">
        <f>d_mix[[#This Row],[Dist]]</f>
        <v>5.675360748664354</v>
      </c>
    </row>
    <row r="142" spans="1:13">
      <c r="A142" t="s">
        <v>63</v>
      </c>
      <c r="B142">
        <v>38.895136600000001</v>
      </c>
      <c r="C142">
        <v>-77.051444000000004</v>
      </c>
      <c r="D142" t="s">
        <v>49</v>
      </c>
      <c r="E142">
        <v>38.915519421202269</v>
      </c>
      <c r="F142">
        <v>-77.089236402778027</v>
      </c>
      <c r="G142" s="160">
        <v>2.4718492641448857</v>
      </c>
      <c r="H142" s="161">
        <v>304.73653342894818</v>
      </c>
      <c r="I142" s="161">
        <v>124.71279846032509</v>
      </c>
      <c r="J142">
        <v>304.71279846032508</v>
      </c>
      <c r="K142">
        <v>124.73653342894818</v>
      </c>
      <c r="L142" t="s">
        <v>131</v>
      </c>
      <c r="M142" s="7">
        <f>d_mix[[#This Row],[Dist]]</f>
        <v>2.4718492641448857</v>
      </c>
    </row>
    <row r="143" spans="1:13">
      <c r="A143" t="s">
        <v>161</v>
      </c>
      <c r="B143">
        <v>38.898285637635617</v>
      </c>
      <c r="C143">
        <v>-77.036570972830333</v>
      </c>
      <c r="D143" t="s">
        <v>65</v>
      </c>
      <c r="E143">
        <v>38.790339000000003</v>
      </c>
      <c r="F143">
        <v>-77.051444000000004</v>
      </c>
      <c r="G143" s="160">
        <v>7.4997812439637057</v>
      </c>
      <c r="H143" s="161">
        <v>186.12971512201082</v>
      </c>
      <c r="I143" s="161">
        <v>6.1203866605968233</v>
      </c>
      <c r="J143">
        <v>186.12038666059684</v>
      </c>
      <c r="K143">
        <v>6.1297151220107935</v>
      </c>
      <c r="L143" t="s">
        <v>262</v>
      </c>
      <c r="M143" s="159">
        <f>d_mix[[#This Row],[Dist]]/0.618</f>
        <v>12.135568355928326</v>
      </c>
    </row>
    <row r="144" spans="1:13">
      <c r="A144" t="s">
        <v>142</v>
      </c>
      <c r="B144">
        <v>38.90564871624386</v>
      </c>
      <c r="C144">
        <v>-77.031975306010182</v>
      </c>
      <c r="D144" t="s">
        <v>2</v>
      </c>
      <c r="E144">
        <v>38.897038827303611</v>
      </c>
      <c r="F144">
        <v>-77.037627866552469</v>
      </c>
      <c r="G144" s="160">
        <v>0.66790607077997444</v>
      </c>
      <c r="H144" s="161">
        <v>207.0652718375872</v>
      </c>
      <c r="I144" s="161">
        <v>27.061722135205446</v>
      </c>
      <c r="J144">
        <v>207.06172213520546</v>
      </c>
      <c r="K144">
        <v>27.065271837587204</v>
      </c>
      <c r="L144" t="s">
        <v>254</v>
      </c>
      <c r="M144" s="7">
        <f>d_mix[[#This Row],[Dist]]/0.618</f>
        <v>1.0807541598381463</v>
      </c>
    </row>
    <row r="145" spans="1:13">
      <c r="A145" t="s">
        <v>142</v>
      </c>
      <c r="B145">
        <v>38.90564871624386</v>
      </c>
      <c r="C145">
        <v>-77.031975306010182</v>
      </c>
      <c r="D145" t="s">
        <v>16</v>
      </c>
      <c r="E145">
        <v>38.912268638824223</v>
      </c>
      <c r="F145">
        <v>-77.124748759002642</v>
      </c>
      <c r="G145" s="160">
        <v>5.0079004948500039</v>
      </c>
      <c r="H145" s="161">
        <v>275.26849585716894</v>
      </c>
      <c r="I145" s="161">
        <v>95.210226259741006</v>
      </c>
      <c r="J145">
        <v>275.21022625974103</v>
      </c>
      <c r="K145">
        <v>95.268495857168944</v>
      </c>
      <c r="L145" t="s">
        <v>254</v>
      </c>
      <c r="M145" s="7">
        <f>d_mix[[#This Row],[Dist]]/0.618</f>
        <v>8.1033988589805883</v>
      </c>
    </row>
    <row r="146" spans="1:13">
      <c r="A146" t="s">
        <v>142</v>
      </c>
      <c r="B146">
        <v>38.90564871624386</v>
      </c>
      <c r="C146">
        <v>-77.031975306010182</v>
      </c>
      <c r="D146" t="s">
        <v>65</v>
      </c>
      <c r="E146">
        <v>38.790339000000003</v>
      </c>
      <c r="F146">
        <v>-77.051444000000004</v>
      </c>
      <c r="G146" s="160">
        <v>8.0341799620166565</v>
      </c>
      <c r="H146" s="161">
        <v>187.49714761197367</v>
      </c>
      <c r="I146" s="161">
        <v>7.4849357427261198</v>
      </c>
      <c r="J146">
        <v>187.48493574272612</v>
      </c>
      <c r="K146">
        <v>7.4971476119736735</v>
      </c>
      <c r="L146" t="s">
        <v>131</v>
      </c>
      <c r="M146" s="7">
        <f>d_mix[[#This Row],[Dist]]/0.618</f>
        <v>13.000291200674202</v>
      </c>
    </row>
    <row r="147" spans="1:13">
      <c r="A147" t="s">
        <v>142</v>
      </c>
      <c r="B147">
        <v>38.90564871624386</v>
      </c>
      <c r="C147">
        <v>-77.031975306010182</v>
      </c>
      <c r="D147" t="s">
        <v>4</v>
      </c>
      <c r="E147">
        <v>38.905331247930313</v>
      </c>
      <c r="F147">
        <v>-77.10094955658019</v>
      </c>
      <c r="G147" s="160">
        <v>3.707912344344972</v>
      </c>
      <c r="H147" s="161">
        <v>269.68277668030612</v>
      </c>
      <c r="I147" s="161">
        <v>89.639458252648822</v>
      </c>
      <c r="J147">
        <v>269.63945825264881</v>
      </c>
      <c r="K147">
        <v>89.682776680306119</v>
      </c>
      <c r="L147" t="s">
        <v>131</v>
      </c>
      <c r="M147" s="7">
        <f>d_mix[[#This Row],[Dist]]/0.618</f>
        <v>5.9998581623705052</v>
      </c>
    </row>
    <row r="148" spans="1:13">
      <c r="A148" t="s">
        <v>146</v>
      </c>
      <c r="B148">
        <v>38.896422370023927</v>
      </c>
      <c r="C148">
        <v>-77.006599849724481</v>
      </c>
      <c r="D148" t="s">
        <v>153</v>
      </c>
      <c r="E148">
        <v>38.945071482174598</v>
      </c>
      <c r="F148">
        <v>-77.038834596689199</v>
      </c>
      <c r="G148" s="160">
        <v>3.7809615578892424</v>
      </c>
      <c r="H148" s="161">
        <v>332.73853305462978</v>
      </c>
      <c r="I148" s="161">
        <v>152.71828173967762</v>
      </c>
      <c r="J148">
        <v>332.71828173967765</v>
      </c>
      <c r="K148">
        <v>152.73853305462978</v>
      </c>
      <c r="L148" t="s">
        <v>257</v>
      </c>
      <c r="M148" s="7">
        <f>d_mix[[#This Row],[Dist]]/0.618</f>
        <v>6.1180607732835641</v>
      </c>
    </row>
    <row r="149" spans="1:13">
      <c r="A149" t="s">
        <v>146</v>
      </c>
      <c r="B149">
        <v>38.896422370023927</v>
      </c>
      <c r="C149">
        <v>-77.006599849724481</v>
      </c>
      <c r="D149" t="s">
        <v>147</v>
      </c>
      <c r="E149">
        <v>38.95177142459147</v>
      </c>
      <c r="F149">
        <v>-76.984729407049613</v>
      </c>
      <c r="G149" s="160">
        <v>4.0001030949656533</v>
      </c>
      <c r="H149" s="161">
        <v>17.080979631485178</v>
      </c>
      <c r="I149" s="161">
        <v>197.09472062035201</v>
      </c>
      <c r="J149">
        <v>17.094720620352007</v>
      </c>
      <c r="K149">
        <v>197.08097963148518</v>
      </c>
      <c r="L149" t="s">
        <v>24</v>
      </c>
      <c r="M149" s="7">
        <f>d_mix[[#This Row],[Dist]]/0.618</f>
        <v>6.4726587297178853</v>
      </c>
    </row>
    <row r="150" spans="1:13">
      <c r="A150" t="s">
        <v>141</v>
      </c>
      <c r="B150">
        <v>38.902528221297217</v>
      </c>
      <c r="C150">
        <v>-77.050139297471702</v>
      </c>
      <c r="D150" t="s">
        <v>13</v>
      </c>
      <c r="E150">
        <v>38.928234461306907</v>
      </c>
      <c r="F150">
        <v>-77.06004232078331</v>
      </c>
      <c r="G150" s="160">
        <v>1.8538490575925395</v>
      </c>
      <c r="H150" s="161">
        <v>343.31732538993492</v>
      </c>
      <c r="I150" s="161">
        <v>163.3111045882217</v>
      </c>
      <c r="J150">
        <v>343.31110458822172</v>
      </c>
      <c r="K150">
        <v>163.31732538993492</v>
      </c>
      <c r="L150" t="s">
        <v>131</v>
      </c>
      <c r="M150" s="7">
        <f>d_mix[[#This Row],[Dist]]/0.618</f>
        <v>2.9997557566222324</v>
      </c>
    </row>
    <row r="151" spans="1:13">
      <c r="A151" t="s">
        <v>66</v>
      </c>
      <c r="B151">
        <v>38.889801299593749</v>
      </c>
      <c r="C151">
        <v>-77.036569080803147</v>
      </c>
      <c r="D151" t="s">
        <v>21</v>
      </c>
      <c r="E151">
        <v>38.916815383206369</v>
      </c>
      <c r="F151">
        <v>-77.061201400915238</v>
      </c>
      <c r="G151" s="160">
        <v>2.2882243149820618</v>
      </c>
      <c r="H151" s="161">
        <v>324.64843744858683</v>
      </c>
      <c r="I151" s="161">
        <v>144.63296815408501</v>
      </c>
      <c r="J151">
        <v>324.63296815408501</v>
      </c>
      <c r="K151">
        <v>144.64843744858683</v>
      </c>
      <c r="L151" t="s">
        <v>270</v>
      </c>
      <c r="M151" s="7">
        <f>2.236/d_mix[[#This Row],[Dist]]</f>
        <v>0.9771769250767397</v>
      </c>
    </row>
    <row r="152" spans="1:13">
      <c r="A152" t="s">
        <v>62</v>
      </c>
      <c r="B152">
        <v>38.892755432872512</v>
      </c>
      <c r="C152">
        <v>-77.051434507806491</v>
      </c>
      <c r="D152" t="s">
        <v>20</v>
      </c>
      <c r="E152">
        <v>38.915605867544031</v>
      </c>
      <c r="F152">
        <v>-77.078883572114037</v>
      </c>
      <c r="G152" s="160">
        <v>2.1608124181275459</v>
      </c>
      <c r="H152" s="161">
        <v>316.93840374747055</v>
      </c>
      <c r="I152" s="161">
        <v>136.92116518991978</v>
      </c>
      <c r="J152">
        <v>316.92116518991975</v>
      </c>
      <c r="K152">
        <v>136.93840374747055</v>
      </c>
      <c r="L152" t="s">
        <v>257</v>
      </c>
      <c r="M152" s="7">
        <f>1.4142/d_mix[[#This Row],[Dist]]</f>
        <v>0.65447606101110634</v>
      </c>
    </row>
    <row r="153" spans="1:13">
      <c r="A153" t="s">
        <v>62</v>
      </c>
      <c r="B153">
        <v>38.892755432872512</v>
      </c>
      <c r="C153">
        <v>-77.051434507806491</v>
      </c>
      <c r="D153" t="s">
        <v>15</v>
      </c>
      <c r="E153">
        <v>38.83334538875507</v>
      </c>
      <c r="F153">
        <v>-77.176201826008182</v>
      </c>
      <c r="G153" s="160">
        <v>7.8665366277212465</v>
      </c>
      <c r="H153" s="161">
        <v>238.59211057356617</v>
      </c>
      <c r="I153" s="161">
        <v>58.513823912510922</v>
      </c>
      <c r="J153">
        <v>238.51382391251093</v>
      </c>
      <c r="K153">
        <v>58.592110573566174</v>
      </c>
      <c r="L153" t="s">
        <v>252</v>
      </c>
      <c r="M153" s="7">
        <f>2.236/d_mix[[#This Row],[Dist]]</f>
        <v>0.2842419867620597</v>
      </c>
    </row>
    <row r="154" spans="1:13">
      <c r="A154" t="s">
        <v>62</v>
      </c>
      <c r="B154">
        <v>38.892755432872512</v>
      </c>
      <c r="C154">
        <v>-77.051434507806491</v>
      </c>
      <c r="D154" t="s">
        <v>64</v>
      </c>
      <c r="E154">
        <v>38.855138000000018</v>
      </c>
      <c r="F154">
        <v>-77.023560400000008</v>
      </c>
      <c r="G154" s="160">
        <v>3.0000154039028413</v>
      </c>
      <c r="H154" s="161">
        <v>150.01141214304431</v>
      </c>
      <c r="I154" s="161">
        <v>330.02890618828741</v>
      </c>
      <c r="J154">
        <v>150.02890618828741</v>
      </c>
      <c r="K154">
        <v>330.01141214304431</v>
      </c>
      <c r="L154" t="s">
        <v>24</v>
      </c>
      <c r="M154" s="7">
        <f>1.4142/d_mix[[#This Row],[Dist]]</f>
        <v>0.47139757954582834</v>
      </c>
    </row>
    <row r="155" spans="1:13">
      <c r="A155" t="s">
        <v>65</v>
      </c>
      <c r="B155">
        <v>38.790339000000003</v>
      </c>
      <c r="C155">
        <v>-77.051444000000004</v>
      </c>
      <c r="D155" t="s">
        <v>29</v>
      </c>
      <c r="E155">
        <v>38.931322965354973</v>
      </c>
      <c r="F155">
        <v>-76.917209455745677</v>
      </c>
      <c r="G155" s="160">
        <v>12.123883238984034</v>
      </c>
      <c r="H155" s="161">
        <v>36.510936931509299</v>
      </c>
      <c r="I155" s="161">
        <v>216.59515991709432</v>
      </c>
      <c r="J155">
        <v>36.595159917094293</v>
      </c>
      <c r="K155">
        <v>216.51093693150929</v>
      </c>
      <c r="L155" t="s">
        <v>145</v>
      </c>
      <c r="M155" s="7">
        <f>d_mix[[#This Row],[Dist]]/0.618</f>
        <v>19.617934043663485</v>
      </c>
    </row>
    <row r="156" spans="1:13">
      <c r="A156" t="s">
        <v>172</v>
      </c>
      <c r="B156">
        <v>38.889273193198022</v>
      </c>
      <c r="C156">
        <v>-77.050184427930915</v>
      </c>
      <c r="D156" t="s">
        <v>182</v>
      </c>
      <c r="E156">
        <v>38.888814177374293</v>
      </c>
      <c r="F156">
        <v>-77.008603272094433</v>
      </c>
      <c r="G156" s="160">
        <v>2.2360200163936557</v>
      </c>
      <c r="H156" s="161">
        <v>90.799482784979105</v>
      </c>
      <c r="I156" s="161">
        <v>270.82558802690392</v>
      </c>
      <c r="J156">
        <v>90.825588026903915</v>
      </c>
      <c r="K156">
        <v>270.79948278497909</v>
      </c>
      <c r="L156" t="s">
        <v>260</v>
      </c>
      <c r="M156" s="7">
        <f>d_mix[[#This Row],[Dist]]</f>
        <v>2.2360200163936557</v>
      </c>
    </row>
    <row r="157" spans="1:13">
      <c r="A157" t="s">
        <v>196</v>
      </c>
      <c r="B157">
        <v>38.888169036259093</v>
      </c>
      <c r="C157">
        <v>-77.051451527226078</v>
      </c>
      <c r="D157" t="s">
        <v>51</v>
      </c>
      <c r="E157">
        <v>38.803587013018927</v>
      </c>
      <c r="F157">
        <v>-77.0045692366363</v>
      </c>
      <c r="G157" s="160">
        <v>6.3641369946986615</v>
      </c>
      <c r="H157" s="161">
        <v>156.63569045418126</v>
      </c>
      <c r="I157" s="161">
        <v>336.66509633185592</v>
      </c>
      <c r="J157">
        <v>156.66509633185592</v>
      </c>
      <c r="K157">
        <v>336.63569045418126</v>
      </c>
      <c r="L157" t="s">
        <v>139</v>
      </c>
      <c r="M157" s="7">
        <f>d_mix[[#This Row],[Dist]]</f>
        <v>6.3641369946986615</v>
      </c>
    </row>
    <row r="158" spans="1:13">
      <c r="A158" t="s">
        <v>71</v>
      </c>
      <c r="B158">
        <v>38.889484000000003</v>
      </c>
      <c r="C158">
        <v>-77.035278000000005</v>
      </c>
      <c r="D158" t="s">
        <v>253</v>
      </c>
      <c r="E158">
        <v>38.888987189853758</v>
      </c>
      <c r="F158">
        <v>-77.012333798205077</v>
      </c>
      <c r="G158" s="160">
        <v>1.2341706680303821</v>
      </c>
      <c r="H158" s="161">
        <v>91.586279051331744</v>
      </c>
      <c r="I158" s="161">
        <v>271.60068380760436</v>
      </c>
      <c r="J158">
        <v>91.600683807604355</v>
      </c>
      <c r="K158">
        <v>271.58627905133176</v>
      </c>
      <c r="L158" t="s">
        <v>271</v>
      </c>
      <c r="M158" s="7">
        <f>5.9907/d_mix[[#This Row],[Dist]]</f>
        <v>4.8540288269535541</v>
      </c>
    </row>
    <row r="159" spans="1:13">
      <c r="A159" t="s">
        <v>71</v>
      </c>
      <c r="B159">
        <v>38.889484000000003</v>
      </c>
      <c r="C159">
        <v>-77.035278000000005</v>
      </c>
      <c r="D159" t="s">
        <v>169</v>
      </c>
      <c r="E159">
        <v>38.86898287196977</v>
      </c>
      <c r="F159">
        <v>-76.996961003019521</v>
      </c>
      <c r="G159" s="160">
        <v>2.5003239821634256</v>
      </c>
      <c r="H159" s="161">
        <v>124.4885714286621</v>
      </c>
      <c r="I159" s="161">
        <v>304.51262227850907</v>
      </c>
      <c r="J159">
        <v>124.51262227850907</v>
      </c>
      <c r="K159">
        <v>304.48857142866211</v>
      </c>
      <c r="L159" t="s">
        <v>262</v>
      </c>
      <c r="M159" s="159">
        <f>6.18/d_mix[[#This Row],[Dist]]</f>
        <v>2.4716796879469616</v>
      </c>
    </row>
    <row r="160" spans="1:13">
      <c r="A160" t="s">
        <v>71</v>
      </c>
      <c r="B160">
        <v>38.889484000000003</v>
      </c>
      <c r="C160">
        <v>-77.035278000000005</v>
      </c>
      <c r="D160" t="s">
        <v>39</v>
      </c>
      <c r="E160">
        <v>38.894330838678513</v>
      </c>
      <c r="F160">
        <v>-77.135544679034453</v>
      </c>
      <c r="G160" s="160">
        <v>5.4014521581361157</v>
      </c>
      <c r="H160" s="161">
        <v>273.58535182575383</v>
      </c>
      <c r="I160" s="161">
        <v>93.522399067634367</v>
      </c>
      <c r="J160">
        <v>273.52239906763435</v>
      </c>
      <c r="K160">
        <v>93.585351825753833</v>
      </c>
      <c r="L160" t="s">
        <v>257</v>
      </c>
      <c r="M160" s="7">
        <f>0.618/d_mix[[#This Row],[Dist]]</f>
        <v>0.11441367652754586</v>
      </c>
    </row>
    <row r="161" spans="1:15">
      <c r="A161" t="s">
        <v>71</v>
      </c>
      <c r="B161">
        <v>38.889484000000003</v>
      </c>
      <c r="C161">
        <v>-77.035278000000005</v>
      </c>
      <c r="D161" t="s">
        <v>196</v>
      </c>
      <c r="E161">
        <v>38.888169036259093</v>
      </c>
      <c r="F161">
        <v>-77.051451527226078</v>
      </c>
      <c r="G161" s="160">
        <v>0.87437537823372757</v>
      </c>
      <c r="H161" s="161">
        <v>264.04192370638879</v>
      </c>
      <c r="I161" s="161">
        <v>84.031769783545542</v>
      </c>
      <c r="J161">
        <v>264.03176978354554</v>
      </c>
      <c r="K161">
        <v>84.041923706388786</v>
      </c>
      <c r="L161" t="s">
        <v>252</v>
      </c>
      <c r="M161" s="7">
        <f>5.605/d_mix[[#This Row],[Dist]]</f>
        <v>6.4102902935376784</v>
      </c>
    </row>
    <row r="162" spans="1:15">
      <c r="A162" t="s">
        <v>121</v>
      </c>
      <c r="B162">
        <v>38.735159000000003</v>
      </c>
      <c r="C162">
        <v>-77.011513956660835</v>
      </c>
      <c r="D162" t="s">
        <v>84</v>
      </c>
      <c r="E162">
        <v>38.889800999999999</v>
      </c>
      <c r="F162">
        <v>-77.009226999999996</v>
      </c>
      <c r="G162" s="160">
        <v>10.683398985298975</v>
      </c>
      <c r="H162" s="161">
        <v>0.65949585014013423</v>
      </c>
      <c r="I162" s="161">
        <v>180.66092925538962</v>
      </c>
      <c r="J162">
        <v>0.66092925538964664</v>
      </c>
      <c r="K162">
        <v>180.65949585014013</v>
      </c>
      <c r="L162" t="s">
        <v>254</v>
      </c>
      <c r="M162" s="7">
        <f>2.882/d_mix[[#This Row],[Dist]]</f>
        <v>0.26976433286501911</v>
      </c>
    </row>
    <row r="163" spans="1:15">
      <c r="A163" t="s">
        <v>121</v>
      </c>
      <c r="B163">
        <v>38.735159000000003</v>
      </c>
      <c r="C163">
        <v>-77.011513956660835</v>
      </c>
      <c r="D163" t="s">
        <v>63</v>
      </c>
      <c r="E163">
        <v>38.895136600000001</v>
      </c>
      <c r="F163">
        <v>-77.051444000000004</v>
      </c>
      <c r="G163" s="160">
        <v>11.258326081074282</v>
      </c>
      <c r="H163" s="161">
        <v>349.00702756188804</v>
      </c>
      <c r="I163" s="161">
        <v>168.98199899320326</v>
      </c>
      <c r="J163">
        <v>348.98199899320326</v>
      </c>
      <c r="K163">
        <v>169.00702756188798</v>
      </c>
      <c r="L163" t="s">
        <v>145</v>
      </c>
      <c r="M163" s="7">
        <f>2.882/d_mix[[#This Row],[Dist]]</f>
        <v>0.25598832182030712</v>
      </c>
    </row>
    <row r="164" spans="1:15">
      <c r="A164" t="s">
        <v>121</v>
      </c>
      <c r="B164">
        <v>38.735159000000003</v>
      </c>
      <c r="C164">
        <v>-77.011513956660835</v>
      </c>
      <c r="D164" t="s">
        <v>10</v>
      </c>
      <c r="E164">
        <v>38.886870293837752</v>
      </c>
      <c r="F164">
        <v>-76.9299762903957</v>
      </c>
      <c r="G164" s="160">
        <v>11.362175855561556</v>
      </c>
      <c r="H164" s="161">
        <v>22.698034890662957</v>
      </c>
      <c r="I164" s="161">
        <v>202.74913896828005</v>
      </c>
      <c r="J164">
        <v>22.749138968280022</v>
      </c>
      <c r="K164">
        <v>202.69803489066297</v>
      </c>
      <c r="L164" t="s">
        <v>252</v>
      </c>
      <c r="M164" s="7">
        <f>5.605/d_mix[[#This Row],[Dist]]</f>
        <v>0.49330340167693021</v>
      </c>
    </row>
    <row r="165" spans="1:15">
      <c r="A165" t="s">
        <v>69</v>
      </c>
      <c r="B165">
        <v>38.995956509999992</v>
      </c>
      <c r="C165">
        <v>-77.040985579999997</v>
      </c>
      <c r="D165" t="s">
        <v>68</v>
      </c>
      <c r="E165">
        <v>38.934493099999983</v>
      </c>
      <c r="F165">
        <v>-77.119915899999995</v>
      </c>
      <c r="G165" s="160">
        <v>6.0000736406494477</v>
      </c>
      <c r="H165" s="161">
        <v>224.98149339306988</v>
      </c>
      <c r="I165" s="161">
        <v>44.931858160512782</v>
      </c>
      <c r="J165">
        <v>224.93185816051277</v>
      </c>
      <c r="K165">
        <v>44.981493393069854</v>
      </c>
      <c r="L165" t="s">
        <v>24</v>
      </c>
      <c r="M165" s="7">
        <f>d_mix[[#This Row],[Dist]]/0.3338</f>
        <v>17.97505584376707</v>
      </c>
      <c r="O165">
        <f>d_mix[[#This Row],[Dist]]/3.4641</f>
        <v>1.7320728733724335</v>
      </c>
    </row>
    <row r="166" spans="1:15">
      <c r="A166" t="s">
        <v>135</v>
      </c>
      <c r="B166">
        <v>38.893596140000007</v>
      </c>
      <c r="C166">
        <v>-77.040985579999997</v>
      </c>
      <c r="D166" t="s">
        <v>140</v>
      </c>
      <c r="E166">
        <v>38.908639308729029</v>
      </c>
      <c r="F166">
        <v>-76.975468342699315</v>
      </c>
      <c r="G166" s="160">
        <v>3.6723259545778344</v>
      </c>
      <c r="H166" s="161">
        <v>73.54146365773849</v>
      </c>
      <c r="I166" s="161">
        <v>253.58260706014156</v>
      </c>
      <c r="J166">
        <v>73.582607060141527</v>
      </c>
      <c r="K166">
        <v>253.54146365773849</v>
      </c>
      <c r="L166" t="s">
        <v>254</v>
      </c>
      <c r="M166" s="7">
        <f>d_mix[[#This Row],[Dist]]/0.3338</f>
        <v>11.001575657812566</v>
      </c>
      <c r="O166">
        <f>d_mix[[#This Row],[Dist]]/3.4641</f>
        <v>1.0601096834900361</v>
      </c>
    </row>
    <row r="167" spans="1:15">
      <c r="A167" t="s">
        <v>135</v>
      </c>
      <c r="B167">
        <v>38.893596140000007</v>
      </c>
      <c r="C167">
        <v>-77.040985579999997</v>
      </c>
      <c r="D167" t="s">
        <v>91</v>
      </c>
      <c r="E167">
        <v>38.901282372758438</v>
      </c>
      <c r="F167">
        <v>-77.158549156334814</v>
      </c>
      <c r="G167" s="160">
        <v>6.3428422036579519</v>
      </c>
      <c r="H167" s="161">
        <v>274.83881795329802</v>
      </c>
      <c r="I167" s="161">
        <v>94.764996443791745</v>
      </c>
      <c r="J167">
        <v>274.76499644379174</v>
      </c>
      <c r="K167">
        <v>94.838817953298019</v>
      </c>
      <c r="L167" t="s">
        <v>254</v>
      </c>
      <c r="M167" s="7">
        <f>d_mix[[#This Row],[Dist]]/0.3338</f>
        <v>19.001923917489371</v>
      </c>
      <c r="O167">
        <f>d_mix[[#This Row],[Dist]]/3.4641</f>
        <v>1.8310216805686763</v>
      </c>
    </row>
    <row r="168" spans="1:15">
      <c r="A168" t="s">
        <v>135</v>
      </c>
      <c r="B168">
        <v>38.893596140000007</v>
      </c>
      <c r="C168">
        <v>-77.040985579999997</v>
      </c>
      <c r="D168" t="s">
        <v>69</v>
      </c>
      <c r="E168">
        <v>38.995956509999992</v>
      </c>
      <c r="F168">
        <v>-77.040985579999997</v>
      </c>
      <c r="G168" s="160">
        <v>7.0710678499533479</v>
      </c>
      <c r="H168" s="161">
        <v>0</v>
      </c>
      <c r="I168" s="161">
        <v>180</v>
      </c>
      <c r="J168">
        <v>0</v>
      </c>
      <c r="K168">
        <v>180</v>
      </c>
      <c r="L168" t="s">
        <v>139</v>
      </c>
      <c r="M168" s="7">
        <f>d_mix[[#This Row],[Dist]]/0.3338</f>
        <v>21.183546584641547</v>
      </c>
    </row>
    <row r="169" spans="1:15">
      <c r="A169" t="s">
        <v>174</v>
      </c>
      <c r="B169">
        <v>38.921544640505182</v>
      </c>
      <c r="C169">
        <v>-77.067051280524325</v>
      </c>
      <c r="D169" t="s">
        <v>253</v>
      </c>
      <c r="E169">
        <v>38.888987189853758</v>
      </c>
      <c r="F169">
        <v>-77.012333798205077</v>
      </c>
      <c r="G169" s="160">
        <v>3.7027681328574968</v>
      </c>
      <c r="H169" s="161">
        <v>127.38478261179236</v>
      </c>
      <c r="I169" s="161">
        <v>307.41914708586665</v>
      </c>
      <c r="J169">
        <v>127.41914708586665</v>
      </c>
      <c r="K169">
        <v>307.38478261179239</v>
      </c>
      <c r="L169" t="s">
        <v>259</v>
      </c>
      <c r="M169" s="7">
        <f>d_mix[[#This Row],[Dist]]</f>
        <v>3.7027681328574968</v>
      </c>
    </row>
    <row r="170" spans="1:15">
      <c r="A170" t="s">
        <v>150</v>
      </c>
      <c r="B170">
        <v>38.926245969493429</v>
      </c>
      <c r="C170">
        <v>-76.951888012920421</v>
      </c>
      <c r="D170" t="s">
        <v>20</v>
      </c>
      <c r="E170">
        <v>38.915605867544031</v>
      </c>
      <c r="F170">
        <v>-77.078883572114037</v>
      </c>
      <c r="G170" s="160">
        <v>6.8648754278215804</v>
      </c>
      <c r="H170" s="161">
        <v>263.89347562000154</v>
      </c>
      <c r="I170" s="161">
        <v>83.813690988993486</v>
      </c>
      <c r="J170">
        <v>263.81369098899347</v>
      </c>
      <c r="K170">
        <v>83.893475620001539</v>
      </c>
      <c r="L170" t="s">
        <v>268</v>
      </c>
      <c r="M170" s="7">
        <f>d_mix[[#This Row],[Dist]]/0.874</f>
        <v>7.8545485444182841</v>
      </c>
    </row>
    <row r="171" spans="1:15">
      <c r="A171" t="s">
        <v>149</v>
      </c>
      <c r="B171">
        <v>38.957046438880887</v>
      </c>
      <c r="C171">
        <v>-76.991344852497164</v>
      </c>
      <c r="D171" t="s">
        <v>22</v>
      </c>
      <c r="E171">
        <v>38.923087370584398</v>
      </c>
      <c r="F171">
        <v>-77.077632878496715</v>
      </c>
      <c r="G171" s="160">
        <v>5.1960300063006519</v>
      </c>
      <c r="H171" s="161">
        <v>243.18852692219909</v>
      </c>
      <c r="I171" s="161">
        <v>63.134294274125658</v>
      </c>
      <c r="J171">
        <v>243.13429427412566</v>
      </c>
      <c r="K171">
        <v>63.188526922199117</v>
      </c>
      <c r="L171" t="s">
        <v>145</v>
      </c>
      <c r="M171" s="7">
        <f>d_mix[[#This Row],[Dist]]/0.874</f>
        <v>5.9451144236849567</v>
      </c>
    </row>
    <row r="172" spans="1:15">
      <c r="A172" t="s">
        <v>147</v>
      </c>
      <c r="B172">
        <v>38.95177142459147</v>
      </c>
      <c r="C172">
        <v>-76.984729407049613</v>
      </c>
      <c r="D172" t="s">
        <v>4</v>
      </c>
      <c r="E172">
        <v>38.905331247930313</v>
      </c>
      <c r="F172">
        <v>-77.10094955658019</v>
      </c>
      <c r="G172" s="160">
        <v>7.0213640935448964</v>
      </c>
      <c r="H172" s="161">
        <v>242.84897920745971</v>
      </c>
      <c r="I172" s="161">
        <v>62.775952163566423</v>
      </c>
      <c r="J172">
        <v>242.77595216356642</v>
      </c>
      <c r="K172">
        <v>62.848979207459706</v>
      </c>
      <c r="L172" t="s">
        <v>257</v>
      </c>
      <c r="M172" s="7">
        <f>d_mix[[#This Row],[Dist]]/0.874</f>
        <v>8.0335973610353513</v>
      </c>
    </row>
    <row r="173" spans="1:15">
      <c r="A173" t="s">
        <v>163</v>
      </c>
      <c r="B173">
        <v>38.889725240473808</v>
      </c>
      <c r="C173">
        <v>-76.91344596466341</v>
      </c>
      <c r="D173" t="s">
        <v>50</v>
      </c>
      <c r="E173">
        <v>38.825547076803183</v>
      </c>
      <c r="F173">
        <v>-77.014661035126181</v>
      </c>
      <c r="G173" s="160">
        <v>7.0213894246444744</v>
      </c>
      <c r="H173" s="161">
        <v>230.87690176644773</v>
      </c>
      <c r="I173" s="161">
        <v>50.813400680301527</v>
      </c>
      <c r="J173">
        <v>230.81340068030153</v>
      </c>
      <c r="K173">
        <v>50.876901766447759</v>
      </c>
      <c r="L173" t="s">
        <v>257</v>
      </c>
      <c r="M173" s="7">
        <f>d_mix[[#This Row],[Dist]]/1.618</f>
        <v>4.3395484701140132</v>
      </c>
    </row>
    <row r="174" spans="1:15">
      <c r="A174" t="s">
        <v>163</v>
      </c>
      <c r="B174">
        <v>38.889725240473808</v>
      </c>
      <c r="C174">
        <v>-76.91344596466341</v>
      </c>
      <c r="D174" t="s">
        <v>12</v>
      </c>
      <c r="E174">
        <v>38.917382469465053</v>
      </c>
      <c r="F174">
        <v>-77.070410578532105</v>
      </c>
      <c r="G174" s="160">
        <v>8.6517639421150925</v>
      </c>
      <c r="H174" s="161">
        <v>282.80703842613099</v>
      </c>
      <c r="I174" s="161">
        <v>102.70846283029991</v>
      </c>
      <c r="J174">
        <v>282.70846283029994</v>
      </c>
      <c r="K174">
        <v>102.80703842613099</v>
      </c>
      <c r="L174" t="s">
        <v>131</v>
      </c>
      <c r="M174" s="7">
        <f>d_mix[[#This Row],[Dist]]/1.618</f>
        <v>5.3471965031613671</v>
      </c>
    </row>
    <row r="175" spans="1:15">
      <c r="A175" t="s">
        <v>163</v>
      </c>
      <c r="B175">
        <v>38.889725240473808</v>
      </c>
      <c r="C175">
        <v>-76.91344596466341</v>
      </c>
      <c r="D175" t="s">
        <v>26</v>
      </c>
      <c r="E175">
        <v>38.920660773128958</v>
      </c>
      <c r="F175">
        <v>-77.079750995205373</v>
      </c>
      <c r="G175" s="160">
        <v>9.1919613277165428</v>
      </c>
      <c r="H175" s="161">
        <v>283.49587005932079</v>
      </c>
      <c r="I175" s="161">
        <v>103.39142486554277</v>
      </c>
      <c r="J175">
        <v>283.39142486554277</v>
      </c>
      <c r="K175">
        <v>103.49587005932079</v>
      </c>
      <c r="L175" t="s">
        <v>139</v>
      </c>
      <c r="M175" s="7">
        <f>d_mix[[#This Row],[Dist]]/1.618</f>
        <v>5.6810638613822881</v>
      </c>
    </row>
    <row r="176" spans="1:15">
      <c r="A176" t="s">
        <v>86</v>
      </c>
      <c r="B176">
        <v>38.87100323118176</v>
      </c>
      <c r="C176">
        <v>-77.055968546982868</v>
      </c>
      <c r="D176" t="s">
        <v>202</v>
      </c>
      <c r="E176">
        <v>38.710790497835873</v>
      </c>
      <c r="F176">
        <v>-77.0352088314432</v>
      </c>
      <c r="G176" s="160">
        <v>11.123819202980712</v>
      </c>
      <c r="H176" s="161">
        <v>174.22638642144383</v>
      </c>
      <c r="I176" s="161">
        <v>354.23939198046918</v>
      </c>
      <c r="J176">
        <v>174.23939198046924</v>
      </c>
      <c r="K176">
        <v>354.22638642144386</v>
      </c>
      <c r="L176" t="s">
        <v>131</v>
      </c>
      <c r="M176" s="7">
        <f>d_mix[[#This Row],[Dist]]/0.5401</f>
        <v>20.595851144196839</v>
      </c>
    </row>
    <row r="177" spans="1:13">
      <c r="A177" t="s">
        <v>109</v>
      </c>
      <c r="B177">
        <v>38.872552231854002</v>
      </c>
      <c r="C177">
        <v>-77.057900286673885</v>
      </c>
      <c r="D177" t="s">
        <v>126</v>
      </c>
      <c r="E177">
        <v>38.942531162412862</v>
      </c>
      <c r="F177">
        <v>-77.110668589240717</v>
      </c>
      <c r="G177" s="160">
        <v>5.6049300496878844</v>
      </c>
      <c r="H177" s="161">
        <v>329.61302697881439</v>
      </c>
      <c r="I177" s="161">
        <v>149.57988502138801</v>
      </c>
      <c r="J177">
        <v>329.57988502138801</v>
      </c>
      <c r="K177">
        <v>149.61302697881439</v>
      </c>
      <c r="L177" t="s">
        <v>267</v>
      </c>
      <c r="M177" s="7">
        <f>d_mix[[#This Row],[Dist]]/0.5401</f>
        <v>10.377578318251961</v>
      </c>
    </row>
    <row r="178" spans="1:13">
      <c r="A178" t="s">
        <v>109</v>
      </c>
      <c r="B178">
        <v>38.872552231854002</v>
      </c>
      <c r="C178">
        <v>-77.057900286673885</v>
      </c>
      <c r="D178" t="s">
        <v>132</v>
      </c>
      <c r="E178">
        <v>38.909694801858848</v>
      </c>
      <c r="F178">
        <v>-76.973871148151133</v>
      </c>
      <c r="G178" s="160">
        <v>5.1957987291425143</v>
      </c>
      <c r="H178" s="161">
        <v>60.381350390675898</v>
      </c>
      <c r="I178" s="161">
        <v>240.43410746203875</v>
      </c>
      <c r="J178">
        <v>60.434107462038753</v>
      </c>
      <c r="K178">
        <v>240.38135039067589</v>
      </c>
      <c r="L178" t="s">
        <v>145</v>
      </c>
      <c r="M178" s="7">
        <f>d_mix[[#This Row],[Dist]]/0.5401</f>
        <v>9.6200680043371865</v>
      </c>
    </row>
    <row r="179" spans="1:13">
      <c r="A179" t="s">
        <v>110</v>
      </c>
      <c r="B179">
        <v>38.876216123616089</v>
      </c>
      <c r="C179">
        <v>-77.056932698487742</v>
      </c>
      <c r="D179" t="s">
        <v>256</v>
      </c>
      <c r="E179">
        <v>38.871476946892543</v>
      </c>
      <c r="F179">
        <v>-77.067752201956665</v>
      </c>
      <c r="G179" s="160">
        <v>0.66765817555544993</v>
      </c>
      <c r="H179" s="161">
        <v>240.6401249884197</v>
      </c>
      <c r="I179" s="161">
        <v>60.633334584147988</v>
      </c>
      <c r="J179">
        <v>240.63333458414797</v>
      </c>
      <c r="K179">
        <v>60.6401249884197</v>
      </c>
      <c r="L179" t="s">
        <v>254</v>
      </c>
      <c r="M179" s="7">
        <f>d_mix[[#This Row],[Dist]]/0.5401</f>
        <v>1.2361751074901868</v>
      </c>
    </row>
    <row r="180" spans="1:13">
      <c r="A180" t="s">
        <v>110</v>
      </c>
      <c r="B180">
        <v>38.876216123616089</v>
      </c>
      <c r="C180">
        <v>-77.056932698487742</v>
      </c>
      <c r="D180" t="s">
        <v>141</v>
      </c>
      <c r="E180">
        <v>38.902528221297217</v>
      </c>
      <c r="F180">
        <v>-77.050139297471702</v>
      </c>
      <c r="G180" s="160">
        <v>1.8539830083661359</v>
      </c>
      <c r="H180" s="161">
        <v>11.360741201546487</v>
      </c>
      <c r="I180" s="161">
        <v>191.36500622579052</v>
      </c>
      <c r="J180">
        <v>11.365006225790523</v>
      </c>
      <c r="K180">
        <v>191.36074120154649</v>
      </c>
      <c r="L180" t="s">
        <v>131</v>
      </c>
      <c r="M180" s="7">
        <f>d_mix[[#This Row],[Dist]]/0.5401</f>
        <v>3.4326661884209142</v>
      </c>
    </row>
    <row r="181" spans="1:13">
      <c r="A181" t="s">
        <v>110</v>
      </c>
      <c r="B181">
        <v>38.876216123616089</v>
      </c>
      <c r="C181">
        <v>-77.056932698487742</v>
      </c>
      <c r="D181" t="s">
        <v>193</v>
      </c>
      <c r="E181">
        <v>38.967911031638792</v>
      </c>
      <c r="F181">
        <v>-77.068345449756862</v>
      </c>
      <c r="G181" s="160">
        <v>6.3639244773653791</v>
      </c>
      <c r="H181" s="161">
        <v>354.47268027141968</v>
      </c>
      <c r="I181" s="161">
        <v>174.46551006319933</v>
      </c>
      <c r="J181">
        <v>354.4655100631993</v>
      </c>
      <c r="K181">
        <v>174.47268027141968</v>
      </c>
      <c r="L181" t="s">
        <v>139</v>
      </c>
      <c r="M181" s="7">
        <f>d_mix[[#This Row],[Dist]]/0.5401</f>
        <v>11.782863316729085</v>
      </c>
    </row>
    <row r="182" spans="1:13">
      <c r="A182" t="s">
        <v>188</v>
      </c>
      <c r="B182">
        <v>38.870043712048712</v>
      </c>
      <c r="C182">
        <v>-77.058459317904109</v>
      </c>
      <c r="D182" t="s">
        <v>141</v>
      </c>
      <c r="E182">
        <v>38.902528221297217</v>
      </c>
      <c r="F182">
        <v>-77.050139297471702</v>
      </c>
      <c r="G182" s="160">
        <v>2.2881954421395849</v>
      </c>
      <c r="H182" s="161">
        <v>11.272291052278803</v>
      </c>
      <c r="I182" s="161">
        <v>191.27751416799165</v>
      </c>
      <c r="J182">
        <v>11.277514167991626</v>
      </c>
      <c r="K182">
        <v>191.2722910522788</v>
      </c>
      <c r="L182" t="s">
        <v>270</v>
      </c>
      <c r="M182" s="7">
        <f>d_mix[[#This Row],[Dist]]/0.5401</f>
        <v>4.2366144087013238</v>
      </c>
    </row>
    <row r="183" spans="1:13">
      <c r="A183" t="s">
        <v>188</v>
      </c>
      <c r="B183">
        <v>38.870043712048712</v>
      </c>
      <c r="C183">
        <v>-77.058459317904109</v>
      </c>
      <c r="D183" t="s">
        <v>39</v>
      </c>
      <c r="E183">
        <v>38.894330838678513</v>
      </c>
      <c r="F183">
        <v>-77.135544679034453</v>
      </c>
      <c r="G183" s="160">
        <v>4.4718959368480249</v>
      </c>
      <c r="H183" s="161">
        <v>292.05951753371403</v>
      </c>
      <c r="I183" s="161">
        <v>112.01112942216017</v>
      </c>
      <c r="J183">
        <v>292.01112942216014</v>
      </c>
      <c r="K183">
        <v>112.05951753371403</v>
      </c>
      <c r="L183" t="s">
        <v>148</v>
      </c>
      <c r="M183" s="7">
        <f>d_mix[[#This Row],[Dist]]/0.5401</f>
        <v>8.2797554838882146</v>
      </c>
    </row>
    <row r="184" spans="1:13">
      <c r="A184" t="s">
        <v>188</v>
      </c>
      <c r="B184">
        <v>38.870043712048712</v>
      </c>
      <c r="C184">
        <v>-77.058459317904109</v>
      </c>
      <c r="D184" t="s">
        <v>124</v>
      </c>
      <c r="E184">
        <v>38.775506878609448</v>
      </c>
      <c r="F184">
        <v>-78.204061852272687</v>
      </c>
      <c r="G184" s="160">
        <v>62.000299559109784</v>
      </c>
      <c r="H184" s="161">
        <v>264.31305008159848</v>
      </c>
      <c r="I184" s="161">
        <v>83.594841560248625</v>
      </c>
      <c r="J184">
        <v>263.5948415602486</v>
      </c>
      <c r="K184">
        <v>84.313050081598476</v>
      </c>
      <c r="L184" t="s">
        <v>24</v>
      </c>
      <c r="M184" s="7">
        <f>d_mix[[#This Row],[Dist]]/0.5401</f>
        <v>114.79411138513198</v>
      </c>
    </row>
    <row r="185" spans="1:13">
      <c r="A185" t="s">
        <v>194</v>
      </c>
      <c r="B185">
        <v>38.86885600238287</v>
      </c>
      <c r="C185">
        <v>-77.055557387053852</v>
      </c>
      <c r="D185" t="s">
        <v>80</v>
      </c>
      <c r="E185">
        <v>38.930170515981033</v>
      </c>
      <c r="F185">
        <v>-77.07230698965536</v>
      </c>
      <c r="G185" s="160">
        <v>4.3302774419309769</v>
      </c>
      <c r="H185" s="161">
        <v>348.00297796949093</v>
      </c>
      <c r="I185" s="161">
        <v>167.99245994701374</v>
      </c>
      <c r="J185">
        <v>347.99245994701374</v>
      </c>
      <c r="K185">
        <v>168.00297796949098</v>
      </c>
      <c r="L185" t="s">
        <v>145</v>
      </c>
      <c r="M185" s="7">
        <f>d_mix[[#This Row],[Dist]]/0.5401</f>
        <v>8.0175475688409126</v>
      </c>
    </row>
    <row r="186" spans="1:13">
      <c r="A186" t="s">
        <v>194</v>
      </c>
      <c r="B186">
        <v>38.86885600238287</v>
      </c>
      <c r="C186">
        <v>-77.055557387053852</v>
      </c>
      <c r="D186" t="s">
        <v>5</v>
      </c>
      <c r="E186">
        <v>38.873731147841703</v>
      </c>
      <c r="F186">
        <v>-77.070387413691392</v>
      </c>
      <c r="G186" s="160">
        <v>0.86578621601436478</v>
      </c>
      <c r="H186" s="161">
        <v>292.89585599505625</v>
      </c>
      <c r="I186" s="161">
        <v>112.88654906977681</v>
      </c>
      <c r="J186">
        <v>292.88654906977683</v>
      </c>
      <c r="K186">
        <v>112.89585599505625</v>
      </c>
      <c r="L186" t="s">
        <v>145</v>
      </c>
      <c r="M186" s="7">
        <f>d_mix[[#This Row],[Dist]]/0.5401</f>
        <v>1.6030109535537211</v>
      </c>
    </row>
    <row r="187" spans="1:13">
      <c r="A187" t="s">
        <v>194</v>
      </c>
      <c r="B187">
        <v>38.86885600238287</v>
      </c>
      <c r="C187">
        <v>-77.055557387053852</v>
      </c>
      <c r="D187" t="s">
        <v>127</v>
      </c>
      <c r="E187">
        <v>38.893587651719322</v>
      </c>
      <c r="F187">
        <v>-76.999525090510573</v>
      </c>
      <c r="G187" s="160">
        <v>3.4638080893911725</v>
      </c>
      <c r="H187" s="161">
        <v>60.429095747265102</v>
      </c>
      <c r="I187" s="161">
        <v>240.4642676684382</v>
      </c>
      <c r="J187">
        <v>60.464267668438197</v>
      </c>
      <c r="K187">
        <v>240.42909574726511</v>
      </c>
      <c r="L187" t="s">
        <v>266</v>
      </c>
      <c r="M187" s="7">
        <f>d_mix[[#This Row],[Dist]]/0.5401</f>
        <v>6.4132717818758973</v>
      </c>
    </row>
    <row r="188" spans="1:13">
      <c r="A188" t="s">
        <v>203</v>
      </c>
      <c r="B188">
        <v>38.872918166579353</v>
      </c>
      <c r="C188">
        <v>-77.054669457877239</v>
      </c>
      <c r="D188" t="s">
        <v>75</v>
      </c>
      <c r="E188">
        <v>38.808878603508518</v>
      </c>
      <c r="F188">
        <v>-77.013395902314087</v>
      </c>
      <c r="G188" s="160">
        <v>4.9499817553947709</v>
      </c>
      <c r="H188" s="161">
        <v>153.33060482161764</v>
      </c>
      <c r="I188" s="161">
        <v>333.3564899474672</v>
      </c>
      <c r="J188">
        <v>153.35648994746725</v>
      </c>
      <c r="K188">
        <v>333.33060482161761</v>
      </c>
      <c r="L188" t="s">
        <v>139</v>
      </c>
      <c r="M188" s="7">
        <f>d_mix[[#This Row],[Dist]]/0.5401</f>
        <v>9.1649356700514168</v>
      </c>
    </row>
    <row r="189" spans="1:13">
      <c r="A189" t="s">
        <v>68</v>
      </c>
      <c r="B189">
        <v>38.934493099999983</v>
      </c>
      <c r="C189">
        <v>-77.119915899999995</v>
      </c>
      <c r="D189" t="s">
        <v>185</v>
      </c>
      <c r="E189">
        <v>38.900944613209226</v>
      </c>
      <c r="F189">
        <v>-77.059114197487261</v>
      </c>
      <c r="G189" s="160">
        <v>4.0063048596267699</v>
      </c>
      <c r="H189" s="161">
        <v>125.32401766218069</v>
      </c>
      <c r="I189" s="161">
        <v>305.36221352054292</v>
      </c>
      <c r="J189">
        <v>125.36221352054292</v>
      </c>
      <c r="K189">
        <v>305.32401766218072</v>
      </c>
      <c r="L189" t="s">
        <v>254</v>
      </c>
      <c r="M189" s="7">
        <f>d_mix[[#This Row],[Dist]]/0.874</f>
        <v>4.5838728371015671</v>
      </c>
    </row>
    <row r="190" spans="1:13">
      <c r="A190" t="s">
        <v>152</v>
      </c>
      <c r="B190">
        <v>38.791643602585658</v>
      </c>
      <c r="C190">
        <v>-77.039028157210851</v>
      </c>
      <c r="D190" t="s">
        <v>25</v>
      </c>
      <c r="E190">
        <v>38.904990813622462</v>
      </c>
      <c r="F190">
        <v>-77.128535953950191</v>
      </c>
      <c r="G190" s="160">
        <v>9.1923309141400367</v>
      </c>
      <c r="H190" s="161">
        <v>328.43619242080848</v>
      </c>
      <c r="I190" s="161">
        <v>148.3800476542452</v>
      </c>
      <c r="J190">
        <v>328.38004765424523</v>
      </c>
      <c r="K190">
        <v>148.43619242080848</v>
      </c>
      <c r="L190" t="s">
        <v>139</v>
      </c>
      <c r="M190" s="7">
        <f>d_mix[[#This Row],[Dist]]/0.874</f>
        <v>10.517541091693406</v>
      </c>
    </row>
    <row r="191" spans="1:13">
      <c r="A191" t="s">
        <v>81</v>
      </c>
      <c r="B191">
        <v>38.986822265435038</v>
      </c>
      <c r="C191">
        <v>-77.05231894611552</v>
      </c>
      <c r="D191" t="s">
        <v>14</v>
      </c>
      <c r="E191">
        <v>38.914649550911903</v>
      </c>
      <c r="F191">
        <v>-77.004648326263094</v>
      </c>
      <c r="G191" s="160">
        <v>5.604988997492903</v>
      </c>
      <c r="H191" s="161">
        <v>152.79689998661917</v>
      </c>
      <c r="I191" s="161">
        <v>332.82686822185099</v>
      </c>
      <c r="J191">
        <v>152.82686822185099</v>
      </c>
      <c r="K191">
        <v>332.79689998661917</v>
      </c>
      <c r="L191" t="s">
        <v>267</v>
      </c>
      <c r="M191" s="7">
        <f>d_mix[[#This Row],[Dist]]/0.874</f>
        <v>6.4130308895799804</v>
      </c>
    </row>
    <row r="192" spans="1:13">
      <c r="A192" t="s">
        <v>185</v>
      </c>
      <c r="B192">
        <v>38.900944613209226</v>
      </c>
      <c r="C192">
        <v>-77.059114197487261</v>
      </c>
      <c r="D192" t="s">
        <v>10</v>
      </c>
      <c r="E192">
        <v>38.886870293837752</v>
      </c>
      <c r="F192">
        <v>-76.9299762903957</v>
      </c>
      <c r="G192" s="160">
        <v>7.010938056594564</v>
      </c>
      <c r="H192" s="161">
        <v>97.930751360440397</v>
      </c>
      <c r="I192" s="161">
        <v>278.01183452964023</v>
      </c>
      <c r="J192">
        <v>98.011834529640225</v>
      </c>
      <c r="K192">
        <v>277.93075136044041</v>
      </c>
      <c r="L192" t="s">
        <v>254</v>
      </c>
      <c r="M192" s="7">
        <f>d_mix[[#This Row],[Dist]]/0.874</f>
        <v>8.0216682569731859</v>
      </c>
    </row>
    <row r="193" spans="1:13">
      <c r="A193" t="s">
        <v>64</v>
      </c>
      <c r="B193">
        <v>38.855138000000018</v>
      </c>
      <c r="C193">
        <v>-77.023560400000008</v>
      </c>
      <c r="D193" t="s">
        <v>7</v>
      </c>
      <c r="E193">
        <v>38.876337452964407</v>
      </c>
      <c r="F193">
        <v>-77.072341784270549</v>
      </c>
      <c r="G193" s="160">
        <v>3.0048315622677584</v>
      </c>
      <c r="H193" s="161">
        <v>299.18308620329384</v>
      </c>
      <c r="I193" s="161">
        <v>119.15247600184257</v>
      </c>
      <c r="J193">
        <v>299.15247600184256</v>
      </c>
      <c r="K193">
        <v>119.18308620329384</v>
      </c>
      <c r="L193" t="s">
        <v>254</v>
      </c>
      <c r="M193" s="7">
        <f>d_mix[[#This Row],[Dist]]/1.618</f>
        <v>1.8571270471370569</v>
      </c>
    </row>
    <row r="194" spans="1:13">
      <c r="A194" t="s">
        <v>112</v>
      </c>
      <c r="B194">
        <v>38.790339150000008</v>
      </c>
      <c r="C194">
        <v>-77.04058603</v>
      </c>
      <c r="D194" t="s">
        <v>118</v>
      </c>
      <c r="E194">
        <v>38.942139058947483</v>
      </c>
      <c r="F194">
        <v>-77.010995768444687</v>
      </c>
      <c r="G194" s="160">
        <v>10.606449178271463</v>
      </c>
      <c r="H194" s="161">
        <v>8.6208953475360861</v>
      </c>
      <c r="I194" s="161">
        <v>188.63946338273914</v>
      </c>
      <c r="J194">
        <v>8.639463382739109</v>
      </c>
      <c r="K194">
        <v>188.62089534753608</v>
      </c>
      <c r="L194" t="s">
        <v>139</v>
      </c>
      <c r="M194" s="7">
        <f>d_mix[[#This Row],[Dist]]/0.3338</f>
        <v>31.774862726996595</v>
      </c>
    </row>
    <row r="195" spans="1:13">
      <c r="A195" t="s">
        <v>133</v>
      </c>
      <c r="B195">
        <v>38.892699520000001</v>
      </c>
      <c r="C195">
        <v>-77.04058603</v>
      </c>
      <c r="D195" t="s">
        <v>112</v>
      </c>
      <c r="E195">
        <v>38.790339150000008</v>
      </c>
      <c r="F195">
        <v>-77.04058603</v>
      </c>
      <c r="G195" s="160">
        <v>7.0710678499533479</v>
      </c>
      <c r="H195" s="161">
        <v>180</v>
      </c>
      <c r="I195" s="161">
        <v>0</v>
      </c>
      <c r="J195">
        <v>180</v>
      </c>
      <c r="K195">
        <v>0</v>
      </c>
      <c r="L195" t="s">
        <v>139</v>
      </c>
      <c r="M195" s="7">
        <f>d_mix[[#This Row],[Dist]]/0.3338</f>
        <v>21.183546584641547</v>
      </c>
    </row>
    <row r="196" spans="1:13">
      <c r="A196" t="s">
        <v>265</v>
      </c>
      <c r="B196">
        <v>38.890621000000003</v>
      </c>
      <c r="C196">
        <v>-77.00510154468833</v>
      </c>
      <c r="D196" t="s">
        <v>27</v>
      </c>
      <c r="E196">
        <v>38.874515971394558</v>
      </c>
      <c r="F196">
        <v>-77.146392815978004</v>
      </c>
      <c r="G196" s="160">
        <v>7.6788646178454387</v>
      </c>
      <c r="H196" s="161">
        <v>261.71384299092927</v>
      </c>
      <c r="I196" s="161">
        <v>81.625150721806733</v>
      </c>
      <c r="J196">
        <v>261.62515072180673</v>
      </c>
      <c r="K196">
        <v>81.713842990929265</v>
      </c>
      <c r="L196" t="s">
        <v>254</v>
      </c>
      <c r="M196" s="7">
        <f>d_mix[[#This Row],[Dist]]/0.3338</f>
        <v>23.00438771074128</v>
      </c>
    </row>
    <row r="197" spans="1:13">
      <c r="A197" t="s">
        <v>265</v>
      </c>
      <c r="B197">
        <v>38.890621000000003</v>
      </c>
      <c r="C197">
        <v>-77.00510154468833</v>
      </c>
      <c r="D197" t="s">
        <v>20</v>
      </c>
      <c r="E197">
        <v>38.915605867544031</v>
      </c>
      <c r="F197">
        <v>-77.078883572114037</v>
      </c>
      <c r="G197" s="160">
        <v>4.3256804588755617</v>
      </c>
      <c r="H197" s="161">
        <v>293.53900740171383</v>
      </c>
      <c r="I197" s="161">
        <v>113.49267188906052</v>
      </c>
      <c r="J197">
        <v>293.49267188906049</v>
      </c>
      <c r="K197">
        <v>113.53900740171383</v>
      </c>
      <c r="L197" t="s">
        <v>131</v>
      </c>
      <c r="M197" s="7">
        <f>d_mix[[#This Row],[Dist]]/0.3338</f>
        <v>12.958898918141289</v>
      </c>
    </row>
    <row r="198" spans="1:13">
      <c r="A198" t="s">
        <v>258</v>
      </c>
      <c r="B198">
        <v>38.890621000000003</v>
      </c>
      <c r="C198">
        <v>-77.004421885776182</v>
      </c>
      <c r="D198" t="s">
        <v>127</v>
      </c>
      <c r="E198">
        <v>38.893587651719322</v>
      </c>
      <c r="F198">
        <v>-76.999525090510573</v>
      </c>
      <c r="G198" s="160">
        <v>0.33364481105738264</v>
      </c>
      <c r="H198" s="161">
        <v>52.102027305893145</v>
      </c>
      <c r="I198" s="161">
        <v>232.10510178724101</v>
      </c>
      <c r="J198">
        <v>52.105101787240983</v>
      </c>
      <c r="K198">
        <v>232.10202730589316</v>
      </c>
      <c r="L198" t="s">
        <v>254</v>
      </c>
      <c r="M198" s="7">
        <f>d_mix[[#This Row],[Dist]]/0.3338</f>
        <v>0.99953508405447167</v>
      </c>
    </row>
    <row r="199" spans="1:13">
      <c r="A199" t="s">
        <v>258</v>
      </c>
      <c r="B199">
        <v>38.890621000000003</v>
      </c>
      <c r="C199">
        <v>-77.004421885776182</v>
      </c>
      <c r="D199" t="s">
        <v>12</v>
      </c>
      <c r="E199">
        <v>38.917382469465053</v>
      </c>
      <c r="F199">
        <v>-77.070410578532105</v>
      </c>
      <c r="G199" s="160">
        <v>4.0002348653755018</v>
      </c>
      <c r="H199" s="161">
        <v>297.54628067176952</v>
      </c>
      <c r="I199" s="161">
        <v>117.50483861986633</v>
      </c>
      <c r="J199">
        <v>297.50483861986635</v>
      </c>
      <c r="K199">
        <v>117.54628067176952</v>
      </c>
      <c r="L199" t="s">
        <v>24</v>
      </c>
      <c r="M199" s="7">
        <f>d_mix[[#This Row],[Dist]]/0.3338</f>
        <v>11.98392709818904</v>
      </c>
    </row>
    <row r="200" spans="1:13">
      <c r="A200" t="s">
        <v>137</v>
      </c>
      <c r="B200">
        <v>38.90117456916591</v>
      </c>
      <c r="C200">
        <v>-77.090113994513501</v>
      </c>
      <c r="D200" t="s">
        <v>124</v>
      </c>
      <c r="E200">
        <v>38.775506878609448</v>
      </c>
      <c r="F200">
        <v>-78.204061852272687</v>
      </c>
      <c r="G200" s="160">
        <v>60.564065796403128</v>
      </c>
      <c r="H200" s="161">
        <v>262.10855559837097</v>
      </c>
      <c r="I200" s="161">
        <v>81.409957074197621</v>
      </c>
      <c r="J200">
        <v>261.40995707419762</v>
      </c>
      <c r="K200">
        <v>82.10855559837097</v>
      </c>
      <c r="L200" t="s">
        <v>131</v>
      </c>
      <c r="M200" s="7">
        <f>d_mix[[#This Row],[Dist]]</f>
        <v>60.564065796403128</v>
      </c>
    </row>
    <row r="201" spans="1:13">
      <c r="A201" t="s">
        <v>83</v>
      </c>
      <c r="B201">
        <v>38.893245129999983</v>
      </c>
      <c r="C201">
        <v>-77.172301140000016</v>
      </c>
      <c r="D201" t="s">
        <v>194</v>
      </c>
      <c r="E201">
        <v>38.86885600238287</v>
      </c>
      <c r="F201">
        <v>-77.055557387053852</v>
      </c>
      <c r="G201" s="160">
        <v>6.5000950710476193</v>
      </c>
      <c r="H201" s="161">
        <v>104.98576452374672</v>
      </c>
      <c r="I201" s="161">
        <v>285.05904525233944</v>
      </c>
      <c r="J201">
        <v>105.05904525233944</v>
      </c>
      <c r="K201">
        <v>284.98576452374675</v>
      </c>
      <c r="L201" t="s">
        <v>262</v>
      </c>
      <c r="M201" s="159">
        <f>d_mix[[#This Row],[Dist]]/0.3338</f>
        <v>19.4730229809695</v>
      </c>
    </row>
    <row r="202" spans="1:13">
      <c r="A202" t="s">
        <v>83</v>
      </c>
      <c r="B202">
        <v>38.893245129999983</v>
      </c>
      <c r="C202">
        <v>-77.172301140000016</v>
      </c>
      <c r="D202" t="s">
        <v>13</v>
      </c>
      <c r="E202">
        <v>38.928234461306907</v>
      </c>
      <c r="F202">
        <v>-77.06004232078331</v>
      </c>
      <c r="G202" s="160">
        <v>6.500336152262566</v>
      </c>
      <c r="H202" s="161">
        <v>68.135778708426386</v>
      </c>
      <c r="I202" s="161">
        <v>248.20628949154701</v>
      </c>
      <c r="J202">
        <v>68.206289491547011</v>
      </c>
      <c r="K202">
        <v>248.13577870842639</v>
      </c>
      <c r="L202" t="s">
        <v>262</v>
      </c>
      <c r="M202" s="159">
        <f>d_mix[[#This Row],[Dist]]/0.3338</f>
        <v>19.473745213488815</v>
      </c>
    </row>
    <row r="203" spans="1:13">
      <c r="A203" t="s">
        <v>83</v>
      </c>
      <c r="B203">
        <v>38.893245129999983</v>
      </c>
      <c r="C203">
        <v>-77.172301140000016</v>
      </c>
      <c r="D203" t="s">
        <v>68</v>
      </c>
      <c r="E203">
        <v>38.934493099999983</v>
      </c>
      <c r="F203">
        <v>-77.119915899999995</v>
      </c>
      <c r="G203" s="160">
        <v>4.0059402969979674</v>
      </c>
      <c r="H203" s="161">
        <v>44.642972449241284</v>
      </c>
      <c r="I203" s="161">
        <v>224.67587831576361</v>
      </c>
      <c r="J203">
        <v>44.675878315763612</v>
      </c>
      <c r="K203">
        <v>224.64297244924128</v>
      </c>
      <c r="L203" t="s">
        <v>254</v>
      </c>
      <c r="M203" s="7">
        <f>d_mix[[#This Row],[Dist]]/0.3338</f>
        <v>12.00101946374466</v>
      </c>
    </row>
    <row r="204" spans="1:13">
      <c r="A204" t="s">
        <v>136</v>
      </c>
      <c r="B204">
        <v>38.89317136999999</v>
      </c>
      <c r="C204">
        <v>-77.040786249999996</v>
      </c>
      <c r="D204" t="s">
        <v>187</v>
      </c>
      <c r="E204">
        <v>38.893077925522043</v>
      </c>
      <c r="F204">
        <v>-77.04077541312266</v>
      </c>
      <c r="G204" s="160">
        <v>6.4814986626457261E-3</v>
      </c>
      <c r="H204" s="161">
        <v>174.84230707964599</v>
      </c>
      <c r="I204" s="161">
        <v>354.84231388363071</v>
      </c>
      <c r="J204">
        <v>174.84231388363071</v>
      </c>
      <c r="K204">
        <v>354.84230707964599</v>
      </c>
      <c r="L204" t="s">
        <v>336</v>
      </c>
      <c r="M204" s="7">
        <f>d_mix[[#This Row],[Dist]]/0.3338</f>
        <v>1.9417311751485099E-2</v>
      </c>
    </row>
    <row r="205" spans="1:13">
      <c r="A205" t="s">
        <v>136</v>
      </c>
      <c r="B205">
        <v>38.89317136999999</v>
      </c>
      <c r="C205">
        <v>-77.040786249999996</v>
      </c>
      <c r="D205" t="s">
        <v>83</v>
      </c>
      <c r="E205">
        <v>38.893245129999983</v>
      </c>
      <c r="F205">
        <v>-77.172301140000016</v>
      </c>
      <c r="G205" s="160">
        <v>7.0710677628809906</v>
      </c>
      <c r="H205" s="161">
        <v>270.08257401772812</v>
      </c>
      <c r="I205" s="161">
        <v>89.999999636367804</v>
      </c>
      <c r="J205">
        <v>269.99999963636782</v>
      </c>
      <c r="K205">
        <v>90.08257401772812</v>
      </c>
      <c r="L205" t="s">
        <v>139</v>
      </c>
      <c r="M205" s="7">
        <f>d_mix[[#This Row],[Dist]]/0.3338</f>
        <v>21.183546323789667</v>
      </c>
    </row>
    <row r="206" spans="1:13">
      <c r="A206" t="s">
        <v>136</v>
      </c>
      <c r="B206">
        <v>38.89317136999999</v>
      </c>
      <c r="C206">
        <v>-77.040786249999996</v>
      </c>
      <c r="D206" t="s">
        <v>30</v>
      </c>
      <c r="E206">
        <v>38.92053966660955</v>
      </c>
      <c r="F206">
        <v>-77.11324805943606</v>
      </c>
      <c r="G206" s="160">
        <v>4.3298251524348101</v>
      </c>
      <c r="H206" s="161">
        <v>295.91289753496744</v>
      </c>
      <c r="I206" s="161">
        <v>115.86738744341362</v>
      </c>
      <c r="J206">
        <v>295.86738744341363</v>
      </c>
      <c r="K206">
        <v>115.91289753496744</v>
      </c>
      <c r="L206" t="s">
        <v>145</v>
      </c>
      <c r="M206" s="7">
        <f>d_mix[[#This Row],[Dist]]/0.3338</f>
        <v>12.97131561544281</v>
      </c>
    </row>
    <row r="207" spans="1:13">
      <c r="A207" t="s">
        <v>67</v>
      </c>
      <c r="B207">
        <v>38.897788758778049</v>
      </c>
      <c r="C207">
        <v>-77.036569</v>
      </c>
      <c r="D207" t="s">
        <v>4</v>
      </c>
      <c r="E207">
        <v>38.905331247930313</v>
      </c>
      <c r="F207">
        <v>-77.10094955658019</v>
      </c>
      <c r="G207" s="160">
        <v>3.5000948304751147</v>
      </c>
      <c r="H207" s="161">
        <v>278.58128069801631</v>
      </c>
      <c r="I207" s="161">
        <v>98.54085072002006</v>
      </c>
      <c r="J207">
        <v>278.54085072002005</v>
      </c>
      <c r="K207">
        <v>98.581280698016315</v>
      </c>
      <c r="L207" t="s">
        <v>262</v>
      </c>
      <c r="M207" s="159">
        <f>d_mix[[#This Row],[Dist]]</f>
        <v>3.5000948304751147</v>
      </c>
    </row>
    <row r="208" spans="1:13">
      <c r="A208" t="s">
        <v>67</v>
      </c>
      <c r="B208">
        <v>38.897788758778049</v>
      </c>
      <c r="C208">
        <v>-77.036569</v>
      </c>
      <c r="D208" t="s">
        <v>159</v>
      </c>
      <c r="E208">
        <v>38.785226169416099</v>
      </c>
      <c r="F208">
        <v>-77.040251901847796</v>
      </c>
      <c r="G208" s="160">
        <v>7.77836305741201</v>
      </c>
      <c r="H208" s="161">
        <v>181.46096870532577</v>
      </c>
      <c r="I208" s="161">
        <v>1.4586589051705154</v>
      </c>
      <c r="J208">
        <v>181.45865890517052</v>
      </c>
      <c r="K208">
        <v>1.4609687053257403</v>
      </c>
      <c r="L208" t="s">
        <v>139</v>
      </c>
      <c r="M208" s="7">
        <f>d_mix[[#This Row],[Dist]]</f>
        <v>7.77836305741201</v>
      </c>
    </row>
    <row r="209" spans="1:13">
      <c r="A209" t="s">
        <v>67</v>
      </c>
      <c r="B209">
        <v>38.897788758778049</v>
      </c>
      <c r="C209">
        <v>-77.036569</v>
      </c>
      <c r="D209" t="s">
        <v>55</v>
      </c>
      <c r="E209">
        <v>38.91261730408393</v>
      </c>
      <c r="F209">
        <v>-76.957538798719796</v>
      </c>
      <c r="G209" s="160">
        <v>4.3701910387894269</v>
      </c>
      <c r="H209" s="161">
        <v>76.419129478895726</v>
      </c>
      <c r="I209" s="161">
        <v>256.46876311595486</v>
      </c>
      <c r="J209">
        <v>76.468763115954857</v>
      </c>
      <c r="K209">
        <v>256.41912947889574</v>
      </c>
      <c r="L209" t="s">
        <v>252</v>
      </c>
      <c r="M209" s="7">
        <f>d_mix[[#This Row],[Dist]]</f>
        <v>4.3701910387894269</v>
      </c>
    </row>
    <row r="210" spans="1:13">
      <c r="A210" t="s">
        <v>177</v>
      </c>
      <c r="B210">
        <v>38.895976636393023</v>
      </c>
      <c r="C210">
        <v>-77.034311337037963</v>
      </c>
      <c r="D210" t="s">
        <v>183</v>
      </c>
      <c r="E210">
        <v>38.890779794768029</v>
      </c>
      <c r="F210">
        <v>-77.007267880658404</v>
      </c>
      <c r="G210" s="160">
        <v>1.4976854206418511</v>
      </c>
      <c r="H210" s="161">
        <v>103.86047495261087</v>
      </c>
      <c r="I210" s="161">
        <v>283.87745481189472</v>
      </c>
      <c r="J210">
        <v>103.87745481189472</v>
      </c>
      <c r="K210">
        <v>283.86047495261084</v>
      </c>
      <c r="L210" t="s">
        <v>272</v>
      </c>
      <c r="M210" s="7">
        <f>d_mix[[#This Row],[Dist]]</f>
        <v>1.4976854206418511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D8C5-B6B2-4F72-850C-B3A9C257AE9F}">
  <dimension ref="A1:L196"/>
  <sheetViews>
    <sheetView workbookViewId="0">
      <selection activeCell="G2" sqref="G2"/>
    </sheetView>
  </sheetViews>
  <sheetFormatPr defaultRowHeight="13.8"/>
  <cols>
    <col min="1" max="1" width="9.140625" bestFit="1" customWidth="1"/>
    <col min="2" max="2" width="11.7109375" hidden="1" customWidth="1"/>
    <col min="3" max="3" width="12.28515625" hidden="1" customWidth="1"/>
    <col min="4" max="4" width="9.140625" bestFit="1" customWidth="1"/>
    <col min="5" max="5" width="11.7109375" hidden="1" customWidth="1"/>
    <col min="6" max="6" width="12.28515625" hidden="1" customWidth="1"/>
    <col min="7" max="7" width="11.7109375" bestFit="1" customWidth="1"/>
    <col min="8" max="9" width="11.7109375" customWidth="1"/>
    <col min="10" max="11" width="11.7109375" hidden="1" customWidth="1"/>
    <col min="12" max="12" width="31.42578125" bestFit="1" customWidth="1"/>
  </cols>
  <sheetData>
    <row r="1" spans="1:1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  <c r="L1" t="s">
        <v>1</v>
      </c>
    </row>
    <row r="2" spans="1:12">
      <c r="A2" t="s">
        <v>62</v>
      </c>
      <c r="B2">
        <v>38.892755000000001</v>
      </c>
      <c r="C2">
        <v>-77.051434999999998</v>
      </c>
      <c r="D2" t="s">
        <v>63</v>
      </c>
      <c r="E2">
        <v>38.895136600000001</v>
      </c>
      <c r="F2">
        <v>-77.051444000000004</v>
      </c>
      <c r="G2">
        <v>0.1642848297322346</v>
      </c>
      <c r="H2">
        <v>359.83079641575961</v>
      </c>
      <c r="I2">
        <v>179.83079076483222</v>
      </c>
      <c r="J2">
        <v>359.83079076483222</v>
      </c>
      <c r="K2">
        <v>179.83079641575955</v>
      </c>
      <c r="L2" t="s">
        <v>526</v>
      </c>
    </row>
    <row r="3" spans="1:12">
      <c r="A3" t="s">
        <v>62</v>
      </c>
      <c r="B3">
        <v>38.892755000000001</v>
      </c>
      <c r="C3">
        <v>-77.051434999999998</v>
      </c>
      <c r="D3" t="s">
        <v>527</v>
      </c>
      <c r="E3">
        <v>38.892786818029961</v>
      </c>
      <c r="F3">
        <v>-77.040334042608009</v>
      </c>
      <c r="G3">
        <v>0.59843778992198227</v>
      </c>
      <c r="H3">
        <v>89.786377076183456</v>
      </c>
      <c r="I3">
        <v>269.7933469772621</v>
      </c>
      <c r="J3">
        <v>89.793346977262104</v>
      </c>
      <c r="K3">
        <v>269.78637707618344</v>
      </c>
      <c r="L3" t="s">
        <v>528</v>
      </c>
    </row>
    <row r="4" spans="1:12">
      <c r="A4" t="s">
        <v>62</v>
      </c>
      <c r="B4">
        <v>38.892755000000001</v>
      </c>
      <c r="C4">
        <v>-77.051434999999998</v>
      </c>
      <c r="D4" t="s">
        <v>85</v>
      </c>
      <c r="E4">
        <v>38.892747284999999</v>
      </c>
      <c r="F4">
        <v>-77.008989</v>
      </c>
      <c r="G4">
        <v>2.2881924692033366</v>
      </c>
      <c r="H4">
        <v>90.000000609684477</v>
      </c>
      <c r="I4">
        <v>270.02665095090123</v>
      </c>
      <c r="J4">
        <v>90.026650950901228</v>
      </c>
      <c r="K4">
        <v>270.00000060968449</v>
      </c>
      <c r="L4" t="s">
        <v>529</v>
      </c>
    </row>
    <row r="5" spans="1:12">
      <c r="A5" t="s">
        <v>66</v>
      </c>
      <c r="B5">
        <v>38.889800999999999</v>
      </c>
      <c r="C5">
        <v>-77.036569080803147</v>
      </c>
      <c r="D5" t="s">
        <v>517</v>
      </c>
      <c r="E5">
        <v>38.897561000000003</v>
      </c>
      <c r="F5">
        <v>-77.036569</v>
      </c>
      <c r="G5">
        <v>0.53528915919029318</v>
      </c>
      <c r="H5">
        <v>4.6621789982632966E-4</v>
      </c>
      <c r="I5">
        <v>180.00046626863428</v>
      </c>
      <c r="J5">
        <v>4.6626863428400611E-4</v>
      </c>
      <c r="K5">
        <v>180.00046621789983</v>
      </c>
      <c r="L5" t="s">
        <v>530</v>
      </c>
    </row>
    <row r="6" spans="1:12">
      <c r="A6" t="s">
        <v>66</v>
      </c>
      <c r="B6">
        <v>38.889800999999999</v>
      </c>
      <c r="C6">
        <v>-77.036569080803147</v>
      </c>
      <c r="D6" t="s">
        <v>531</v>
      </c>
      <c r="E6">
        <v>38.893449287058473</v>
      </c>
      <c r="F6">
        <v>-77.040985579999997</v>
      </c>
      <c r="G6">
        <v>0.34643889962076729</v>
      </c>
      <c r="H6">
        <v>316.58864799514612</v>
      </c>
      <c r="I6">
        <v>136.58587509923206</v>
      </c>
      <c r="J6">
        <v>316.58587509923206</v>
      </c>
      <c r="K6">
        <v>136.58864799514612</v>
      </c>
      <c r="L6" t="s">
        <v>532</v>
      </c>
    </row>
    <row r="7" spans="1:12">
      <c r="A7" t="s">
        <v>66</v>
      </c>
      <c r="B7">
        <v>38.889800999999999</v>
      </c>
      <c r="C7">
        <v>-77.036569080803147</v>
      </c>
      <c r="D7" t="s">
        <v>122</v>
      </c>
      <c r="E7">
        <v>38.899509095632219</v>
      </c>
      <c r="F7">
        <v>-77.057553372632484</v>
      </c>
      <c r="G7">
        <v>1.3145592559193797</v>
      </c>
      <c r="H7">
        <v>300.63215742270273</v>
      </c>
      <c r="I7">
        <v>120.61898158602246</v>
      </c>
      <c r="J7">
        <v>300.61898158602247</v>
      </c>
      <c r="K7">
        <v>120.63215742270273</v>
      </c>
      <c r="L7" t="s">
        <v>533</v>
      </c>
    </row>
    <row r="8" spans="1:12">
      <c r="A8" t="s">
        <v>66</v>
      </c>
      <c r="B8">
        <v>38.889800999999999</v>
      </c>
      <c r="C8">
        <v>-77.036569080803147</v>
      </c>
      <c r="D8" t="s">
        <v>168</v>
      </c>
      <c r="E8">
        <v>38.904077195910197</v>
      </c>
      <c r="F8">
        <v>-77.081655757436437</v>
      </c>
      <c r="G8">
        <v>2.6223380314952323</v>
      </c>
      <c r="H8">
        <v>292.07155705172977</v>
      </c>
      <c r="I8">
        <v>112.04324615786456</v>
      </c>
      <c r="J8">
        <v>292.04324615786459</v>
      </c>
      <c r="K8">
        <v>112.07155705172977</v>
      </c>
      <c r="L8" t="s">
        <v>252</v>
      </c>
    </row>
    <row r="9" spans="1:12">
      <c r="A9" t="s">
        <v>66</v>
      </c>
      <c r="B9">
        <v>38.889800999999999</v>
      </c>
      <c r="C9">
        <v>-77.036569080803147</v>
      </c>
      <c r="D9" t="s">
        <v>7</v>
      </c>
      <c r="E9">
        <v>38.876337452964407</v>
      </c>
      <c r="F9">
        <v>-77.072341784270549</v>
      </c>
      <c r="G9">
        <v>2.1406629524047815</v>
      </c>
      <c r="H9">
        <v>244.29924554202645</v>
      </c>
      <c r="I9">
        <v>64.276789832774284</v>
      </c>
      <c r="J9">
        <v>244.27678983277428</v>
      </c>
      <c r="K9">
        <v>64.299245542026483</v>
      </c>
      <c r="L9" t="s">
        <v>534</v>
      </c>
    </row>
    <row r="10" spans="1:12">
      <c r="A10" t="s">
        <v>66</v>
      </c>
      <c r="B10">
        <v>38.889800999999999</v>
      </c>
      <c r="C10">
        <v>-77.036569080803147</v>
      </c>
      <c r="D10" t="s">
        <v>21</v>
      </c>
      <c r="E10">
        <v>38.916815383206369</v>
      </c>
      <c r="F10">
        <v>-77.061201400915238</v>
      </c>
      <c r="G10">
        <v>2.2880741851503874</v>
      </c>
      <c r="H10">
        <v>324.53852128629535</v>
      </c>
      <c r="I10">
        <v>144.52305199184099</v>
      </c>
      <c r="J10">
        <v>324.52305199184099</v>
      </c>
      <c r="K10">
        <v>144.53852128629535</v>
      </c>
      <c r="L10" t="s">
        <v>529</v>
      </c>
    </row>
    <row r="11" spans="1:12">
      <c r="A11" t="s">
        <v>63</v>
      </c>
      <c r="B11">
        <v>38.895136600000001</v>
      </c>
      <c r="C11">
        <v>-77.051444000000004</v>
      </c>
      <c r="D11" t="s">
        <v>130</v>
      </c>
      <c r="E11">
        <v>38.916014822915052</v>
      </c>
      <c r="F11">
        <v>-77.116777991306989</v>
      </c>
      <c r="G11">
        <v>3.8045370542712957</v>
      </c>
      <c r="H11">
        <v>292.26419654433084</v>
      </c>
      <c r="I11">
        <v>112.22316426016118</v>
      </c>
      <c r="J11">
        <v>292.22316426016118</v>
      </c>
      <c r="K11">
        <v>112.26419654433084</v>
      </c>
      <c r="L11" t="s">
        <v>516</v>
      </c>
    </row>
    <row r="12" spans="1:12">
      <c r="A12" t="s">
        <v>63</v>
      </c>
      <c r="B12">
        <v>38.895136600000001</v>
      </c>
      <c r="C12">
        <v>-77.051444000000004</v>
      </c>
      <c r="D12" t="s">
        <v>61</v>
      </c>
      <c r="E12">
        <v>38.84552270708302</v>
      </c>
      <c r="F12">
        <v>-77.10483209910393</v>
      </c>
      <c r="G12">
        <v>4.4722632504661428</v>
      </c>
      <c r="H12">
        <v>220.08789735639618</v>
      </c>
      <c r="I12">
        <v>40.054393118222265</v>
      </c>
      <c r="J12">
        <v>220.05439311822227</v>
      </c>
      <c r="K12">
        <v>40.087897356396184</v>
      </c>
      <c r="L12" t="s">
        <v>523</v>
      </c>
    </row>
    <row r="13" spans="1:12">
      <c r="A13" t="s">
        <v>63</v>
      </c>
      <c r="B13">
        <v>38.895136600000001</v>
      </c>
      <c r="C13">
        <v>-77.051444000000004</v>
      </c>
      <c r="D13" t="s">
        <v>256</v>
      </c>
      <c r="E13">
        <v>38.871476946892543</v>
      </c>
      <c r="F13">
        <v>-77.067752201956665</v>
      </c>
      <c r="G13">
        <v>1.8538347316155053</v>
      </c>
      <c r="H13">
        <v>208.31856195381948</v>
      </c>
      <c r="I13">
        <v>28.308324703390497</v>
      </c>
      <c r="J13">
        <v>208.3083247033905</v>
      </c>
      <c r="K13">
        <v>28.318561953819483</v>
      </c>
      <c r="L13" t="s">
        <v>131</v>
      </c>
    </row>
    <row r="14" spans="1:12">
      <c r="A14" t="s">
        <v>86</v>
      </c>
      <c r="B14">
        <v>38.87100323118176</v>
      </c>
      <c r="C14">
        <v>-77.055968546982868</v>
      </c>
      <c r="D14" t="s">
        <v>90</v>
      </c>
      <c r="E14">
        <v>38.876142130269038</v>
      </c>
      <c r="F14">
        <v>-77.112656342468085</v>
      </c>
      <c r="G14">
        <v>3.0772507053490146</v>
      </c>
      <c r="H14">
        <v>276.63264232552228</v>
      </c>
      <c r="I14">
        <v>96.597064834760118</v>
      </c>
      <c r="J14">
        <v>276.59706483476009</v>
      </c>
      <c r="K14">
        <v>96.632642325522283</v>
      </c>
      <c r="L14" t="s">
        <v>514</v>
      </c>
    </row>
    <row r="15" spans="1:12">
      <c r="A15" t="s">
        <v>86</v>
      </c>
      <c r="B15">
        <v>38.87100323118176</v>
      </c>
      <c r="C15">
        <v>-77.055968546982868</v>
      </c>
      <c r="D15" t="s">
        <v>5</v>
      </c>
      <c r="E15">
        <v>38.873731147841703</v>
      </c>
      <c r="F15">
        <v>-77.070387413691392</v>
      </c>
      <c r="G15">
        <v>0.79996539731542926</v>
      </c>
      <c r="H15">
        <v>283.60946027076898</v>
      </c>
      <c r="I15">
        <v>103.6004111680528</v>
      </c>
      <c r="J15">
        <v>283.6004111680528</v>
      </c>
      <c r="K15">
        <v>103.60946027076898</v>
      </c>
      <c r="L15" t="s">
        <v>522</v>
      </c>
    </row>
    <row r="16" spans="1:12">
      <c r="A16" t="s">
        <v>72</v>
      </c>
      <c r="B16">
        <v>38.87062329503496</v>
      </c>
      <c r="C16">
        <v>-77.053228252003876</v>
      </c>
      <c r="D16" t="s">
        <v>53</v>
      </c>
      <c r="E16">
        <v>38.865733641110857</v>
      </c>
      <c r="F16">
        <v>-76.967852704156869</v>
      </c>
      <c r="G16">
        <v>4.6163756427927574</v>
      </c>
      <c r="H16">
        <v>94.163187765392593</v>
      </c>
      <c r="I16">
        <v>274.21676355150782</v>
      </c>
      <c r="J16">
        <v>94.216763551507825</v>
      </c>
      <c r="K16">
        <v>274.16318776539259</v>
      </c>
      <c r="L16" t="s">
        <v>514</v>
      </c>
    </row>
    <row r="17" spans="1:12">
      <c r="A17" t="s">
        <v>72</v>
      </c>
      <c r="B17">
        <v>38.87062329503496</v>
      </c>
      <c r="C17">
        <v>-77.053228252003876</v>
      </c>
      <c r="D17" t="s">
        <v>184</v>
      </c>
      <c r="E17">
        <v>38.904466128951633</v>
      </c>
      <c r="F17">
        <v>-76.975703367128119</v>
      </c>
      <c r="G17">
        <v>4.7873196898480872</v>
      </c>
      <c r="H17">
        <v>60.789996416448957</v>
      </c>
      <c r="I17">
        <v>240.83866607011242</v>
      </c>
      <c r="J17">
        <v>60.838666070112424</v>
      </c>
      <c r="K17">
        <v>240.78999641644896</v>
      </c>
      <c r="L17" t="s">
        <v>535</v>
      </c>
    </row>
    <row r="18" spans="1:12">
      <c r="A18" t="s">
        <v>72</v>
      </c>
      <c r="B18">
        <v>38.87062329503496</v>
      </c>
      <c r="C18">
        <v>-77.053228252003876</v>
      </c>
      <c r="D18" t="s">
        <v>89</v>
      </c>
      <c r="E18">
        <v>38.911588839433009</v>
      </c>
      <c r="F18">
        <v>-76.993547550999835</v>
      </c>
      <c r="G18">
        <v>4.2821365094118251</v>
      </c>
      <c r="H18">
        <v>48.688255632039592</v>
      </c>
      <c r="I18">
        <v>228.72572570178113</v>
      </c>
      <c r="J18">
        <v>48.72572570178113</v>
      </c>
      <c r="K18">
        <v>228.68825563203958</v>
      </c>
      <c r="L18" t="s">
        <v>534</v>
      </c>
    </row>
    <row r="19" spans="1:12">
      <c r="A19" t="s">
        <v>194</v>
      </c>
      <c r="B19">
        <v>38.868855109404457</v>
      </c>
      <c r="C19">
        <v>-77.0555808299749</v>
      </c>
      <c r="D19" t="s">
        <v>536</v>
      </c>
      <c r="E19">
        <v>38.897537577775587</v>
      </c>
      <c r="F19">
        <v>-77.036264313267338</v>
      </c>
      <c r="G19">
        <v>2.2358930157992858</v>
      </c>
      <c r="H19">
        <v>27.755408964114352</v>
      </c>
      <c r="I19">
        <v>207.76753461408873</v>
      </c>
      <c r="J19">
        <v>27.767534614088731</v>
      </c>
      <c r="K19">
        <v>207.75540896411434</v>
      </c>
      <c r="L19" t="s">
        <v>520</v>
      </c>
    </row>
    <row r="20" spans="1:12">
      <c r="A20" t="s">
        <v>194</v>
      </c>
      <c r="B20">
        <v>38.868855109404457</v>
      </c>
      <c r="C20">
        <v>-77.0555808299749</v>
      </c>
      <c r="D20" t="s">
        <v>515</v>
      </c>
      <c r="E20">
        <v>38.889060714900133</v>
      </c>
      <c r="F20">
        <v>-77.049942698487811</v>
      </c>
      <c r="G20">
        <v>1.426558277284103</v>
      </c>
      <c r="H20">
        <v>12.302369966202995</v>
      </c>
      <c r="I20">
        <v>192.30590889285972</v>
      </c>
      <c r="J20">
        <v>12.305908892859748</v>
      </c>
      <c r="K20">
        <v>192.302369966203</v>
      </c>
      <c r="L20" t="s">
        <v>516</v>
      </c>
    </row>
    <row r="21" spans="1:12">
      <c r="A21" t="s">
        <v>113</v>
      </c>
      <c r="B21">
        <v>38.872736808020008</v>
      </c>
      <c r="C21">
        <v>-77.056282563611376</v>
      </c>
      <c r="D21" t="s">
        <v>188</v>
      </c>
      <c r="E21">
        <v>38.87004437347602</v>
      </c>
      <c r="F21">
        <v>-77.058464146712907</v>
      </c>
      <c r="G21">
        <v>0.21984786577931309</v>
      </c>
      <c r="H21">
        <v>212.3514081198567</v>
      </c>
      <c r="I21">
        <v>32.350039014192816</v>
      </c>
      <c r="J21">
        <v>212.35003901419282</v>
      </c>
      <c r="K21">
        <v>32.351408119856728</v>
      </c>
      <c r="L21" t="s">
        <v>537</v>
      </c>
    </row>
    <row r="22" spans="1:12">
      <c r="A22" t="s">
        <v>113</v>
      </c>
      <c r="B22">
        <v>38.872736808020008</v>
      </c>
      <c r="C22">
        <v>-77.056282563611376</v>
      </c>
      <c r="D22" t="s">
        <v>71</v>
      </c>
      <c r="E22">
        <v>38.889484000000003</v>
      </c>
      <c r="F22">
        <v>-77.035278000000005</v>
      </c>
      <c r="G22">
        <v>1.6177517916611246</v>
      </c>
      <c r="H22">
        <v>44.424340892986613</v>
      </c>
      <c r="I22">
        <v>224.43752559323252</v>
      </c>
      <c r="J22">
        <v>44.437525593232522</v>
      </c>
      <c r="K22">
        <v>224.42434089298661</v>
      </c>
      <c r="L22" t="s">
        <v>351</v>
      </c>
    </row>
    <row r="23" spans="1:12">
      <c r="A23" t="s">
        <v>113</v>
      </c>
      <c r="B23">
        <v>38.872736808020008</v>
      </c>
      <c r="C23">
        <v>-77.056282563611376</v>
      </c>
      <c r="D23" t="s">
        <v>70</v>
      </c>
      <c r="E23">
        <v>38.91858289999999</v>
      </c>
      <c r="F23">
        <v>-76.941921800000017</v>
      </c>
      <c r="G23">
        <v>6.9285938507314198</v>
      </c>
      <c r="H23">
        <v>62.806456461245574</v>
      </c>
      <c r="I23">
        <v>242.87826407432209</v>
      </c>
      <c r="J23">
        <v>62.87826407432209</v>
      </c>
      <c r="K23">
        <v>242.80645646124557</v>
      </c>
      <c r="L23" t="s">
        <v>538</v>
      </c>
    </row>
    <row r="24" spans="1:12">
      <c r="A24" t="s">
        <v>113</v>
      </c>
      <c r="B24">
        <v>38.872736808020008</v>
      </c>
      <c r="C24">
        <v>-77.056282563611376</v>
      </c>
      <c r="D24" t="s">
        <v>111</v>
      </c>
      <c r="E24">
        <v>38.946262788060167</v>
      </c>
      <c r="F24">
        <v>-77.013912196621391</v>
      </c>
      <c r="G24">
        <v>5.562253811395613</v>
      </c>
      <c r="H24">
        <v>24.226032338900307</v>
      </c>
      <c r="I24">
        <v>204.25264483722788</v>
      </c>
      <c r="J24">
        <v>24.252644837227876</v>
      </c>
      <c r="K24">
        <v>204.2260323389003</v>
      </c>
      <c r="L24" t="s">
        <v>131</v>
      </c>
    </row>
    <row r="25" spans="1:12">
      <c r="A25" t="s">
        <v>109</v>
      </c>
      <c r="B25">
        <v>38.872552231854002</v>
      </c>
      <c r="C25">
        <v>-77.057900286673885</v>
      </c>
      <c r="D25" t="s">
        <v>251</v>
      </c>
      <c r="E25">
        <v>38.888685784961083</v>
      </c>
      <c r="F25">
        <v>-77.004678711651678</v>
      </c>
      <c r="G25">
        <v>3.0778233148546996</v>
      </c>
      <c r="H25">
        <v>68.785643894849557</v>
      </c>
      <c r="I25">
        <v>248.81905106712634</v>
      </c>
      <c r="J25">
        <v>68.819051067126338</v>
      </c>
      <c r="K25">
        <v>248.78564389484956</v>
      </c>
      <c r="L25" t="s">
        <v>514</v>
      </c>
    </row>
    <row r="26" spans="1:12">
      <c r="A26" t="s">
        <v>110</v>
      </c>
      <c r="B26">
        <v>38.876322047079562</v>
      </c>
      <c r="C26">
        <v>-77.057026842445453</v>
      </c>
      <c r="D26" t="s">
        <v>21</v>
      </c>
      <c r="E26">
        <v>38.916815383206369</v>
      </c>
      <c r="F26">
        <v>-77.061201400915238</v>
      </c>
      <c r="G26">
        <v>2.8023043347203105</v>
      </c>
      <c r="H26">
        <v>355.39537062100771</v>
      </c>
      <c r="I26">
        <v>175.39274934690945</v>
      </c>
      <c r="J26">
        <v>355.39274934690945</v>
      </c>
      <c r="K26">
        <v>175.39537062100771</v>
      </c>
      <c r="L26" t="s">
        <v>539</v>
      </c>
    </row>
    <row r="27" spans="1:12">
      <c r="A27" t="s">
        <v>174</v>
      </c>
      <c r="B27">
        <v>38.921544640505182</v>
      </c>
      <c r="C27">
        <v>-77.067051280524325</v>
      </c>
      <c r="D27" t="s">
        <v>531</v>
      </c>
      <c r="E27">
        <v>38.893449287058473</v>
      </c>
      <c r="F27">
        <v>-77.040985579999997</v>
      </c>
      <c r="G27">
        <v>2.3936673136537978</v>
      </c>
      <c r="H27">
        <v>144.05377132685533</v>
      </c>
      <c r="I27">
        <v>324.07014227866591</v>
      </c>
      <c r="J27">
        <v>144.07014227866591</v>
      </c>
      <c r="K27">
        <v>324.05377132685533</v>
      </c>
      <c r="L27" t="s">
        <v>540</v>
      </c>
    </row>
    <row r="28" spans="1:12">
      <c r="A28" t="s">
        <v>174</v>
      </c>
      <c r="B28">
        <v>38.921544640505182</v>
      </c>
      <c r="C28">
        <v>-77.067051280524325</v>
      </c>
      <c r="D28" t="s">
        <v>178</v>
      </c>
      <c r="E28">
        <v>38.77367519361357</v>
      </c>
      <c r="F28">
        <v>-76.972158414322777</v>
      </c>
      <c r="G28">
        <v>11.412375704298949</v>
      </c>
      <c r="H28">
        <v>153.32105784341661</v>
      </c>
      <c r="I28">
        <v>333.38057956423239</v>
      </c>
      <c r="J28">
        <v>153.38057956423245</v>
      </c>
      <c r="K28">
        <v>333.32105784341661</v>
      </c>
      <c r="L28" t="s">
        <v>516</v>
      </c>
    </row>
    <row r="29" spans="1:12">
      <c r="A29" t="s">
        <v>71</v>
      </c>
      <c r="B29">
        <v>38.889484000000003</v>
      </c>
      <c r="C29">
        <v>-77.035278000000005</v>
      </c>
      <c r="D29" t="s">
        <v>350</v>
      </c>
      <c r="E29">
        <v>38.889800999999999</v>
      </c>
      <c r="F29">
        <v>-77.009047449999997</v>
      </c>
      <c r="G29">
        <v>1.4142754953559138</v>
      </c>
      <c r="H29">
        <v>89.105851866081764</v>
      </c>
      <c r="I29">
        <v>269.12231999212611</v>
      </c>
      <c r="J29">
        <v>89.122319992126108</v>
      </c>
      <c r="K29">
        <v>269.10585186608176</v>
      </c>
      <c r="L29" t="s">
        <v>541</v>
      </c>
    </row>
    <row r="30" spans="1:12">
      <c r="A30" t="s">
        <v>71</v>
      </c>
      <c r="B30">
        <v>38.889484000000003</v>
      </c>
      <c r="C30">
        <v>-77.035278000000005</v>
      </c>
      <c r="D30" t="s">
        <v>54</v>
      </c>
      <c r="E30">
        <v>38.888694362898732</v>
      </c>
      <c r="F30">
        <v>-76.942542813218694</v>
      </c>
      <c r="G30">
        <v>4.9997510489609578</v>
      </c>
      <c r="H30">
        <v>90.595108267109765</v>
      </c>
      <c r="I30">
        <v>270.65332880181813</v>
      </c>
      <c r="J30">
        <v>90.653328801818134</v>
      </c>
      <c r="K30">
        <v>270.59510826710977</v>
      </c>
      <c r="L30" t="s">
        <v>542</v>
      </c>
    </row>
    <row r="31" spans="1:12">
      <c r="A31" t="s">
        <v>121</v>
      </c>
      <c r="B31">
        <v>38.735159000000003</v>
      </c>
      <c r="C31">
        <v>-77.011513956660835</v>
      </c>
      <c r="D31" t="s">
        <v>30</v>
      </c>
      <c r="E31">
        <v>38.92053966660955</v>
      </c>
      <c r="F31">
        <v>-77.11324805943606</v>
      </c>
      <c r="G31">
        <v>13.915925063877816</v>
      </c>
      <c r="H31">
        <v>336.79946721420009</v>
      </c>
      <c r="I31">
        <v>156.7356816136903</v>
      </c>
      <c r="J31">
        <v>336.7356816136903</v>
      </c>
      <c r="K31">
        <v>156.79946721420015</v>
      </c>
      <c r="L31" t="s">
        <v>534</v>
      </c>
    </row>
    <row r="32" spans="1:12">
      <c r="A32" t="s">
        <v>121</v>
      </c>
      <c r="B32">
        <v>38.735159000000003</v>
      </c>
      <c r="C32">
        <v>-77.011513956660835</v>
      </c>
      <c r="D32" t="s">
        <v>26</v>
      </c>
      <c r="E32">
        <v>38.920660773128958</v>
      </c>
      <c r="F32">
        <v>-77.079750995205373</v>
      </c>
      <c r="G32">
        <v>13.31505129852501</v>
      </c>
      <c r="H32">
        <v>343.96873196233287</v>
      </c>
      <c r="I32">
        <v>163.92594841481525</v>
      </c>
      <c r="J32">
        <v>343.92594841481525</v>
      </c>
      <c r="K32">
        <v>163.96873196233287</v>
      </c>
      <c r="L32" t="s">
        <v>516</v>
      </c>
    </row>
    <row r="33" spans="1:12">
      <c r="A33" t="s">
        <v>543</v>
      </c>
      <c r="B33">
        <v>38.743972515157139</v>
      </c>
      <c r="C33">
        <v>-77.015402328311055</v>
      </c>
      <c r="D33" t="s">
        <v>73</v>
      </c>
      <c r="E33">
        <v>38.891720559711821</v>
      </c>
      <c r="F33">
        <v>-76.899121357377226</v>
      </c>
      <c r="G33">
        <v>11.968525740085196</v>
      </c>
      <c r="H33">
        <v>31.584648436881203</v>
      </c>
      <c r="I33">
        <v>211.65753883599498</v>
      </c>
      <c r="J33">
        <v>31.657538835994956</v>
      </c>
      <c r="K33">
        <v>211.5846484368812</v>
      </c>
      <c r="L33" t="s">
        <v>535</v>
      </c>
    </row>
    <row r="34" spans="1:12">
      <c r="A34" t="s">
        <v>170</v>
      </c>
      <c r="B34">
        <v>38.808593670098077</v>
      </c>
      <c r="C34">
        <v>-77.067282222571677</v>
      </c>
      <c r="D34" t="s">
        <v>116</v>
      </c>
      <c r="E34">
        <v>38.8580454440363</v>
      </c>
      <c r="F34">
        <v>-77.078464399477767</v>
      </c>
      <c r="G34">
        <v>3.4641172674224099</v>
      </c>
      <c r="H34">
        <v>349.97366433350589</v>
      </c>
      <c r="I34">
        <v>169.96665247144537</v>
      </c>
      <c r="J34">
        <v>349.9666524714454</v>
      </c>
      <c r="K34">
        <v>169.97366433350589</v>
      </c>
      <c r="L34" t="s">
        <v>538</v>
      </c>
    </row>
    <row r="35" spans="1:12">
      <c r="A35" t="s">
        <v>170</v>
      </c>
      <c r="B35">
        <v>38.808593670098077</v>
      </c>
      <c r="C35">
        <v>-77.067282222571677</v>
      </c>
      <c r="D35" t="s">
        <v>41</v>
      </c>
      <c r="E35">
        <v>38.94312493001874</v>
      </c>
      <c r="F35">
        <v>-77.019266706492502</v>
      </c>
      <c r="G35">
        <v>9.6344078189804687</v>
      </c>
      <c r="H35">
        <v>15.573608108076924</v>
      </c>
      <c r="I35">
        <v>195.6037443532625</v>
      </c>
      <c r="J35">
        <v>15.603744353262528</v>
      </c>
      <c r="K35">
        <v>195.57360810807691</v>
      </c>
      <c r="L35" t="s">
        <v>534</v>
      </c>
    </row>
    <row r="36" spans="1:12">
      <c r="A36" t="s">
        <v>170</v>
      </c>
      <c r="B36">
        <v>38.808593670098077</v>
      </c>
      <c r="C36">
        <v>-77.067282222571677</v>
      </c>
      <c r="D36" t="s">
        <v>28</v>
      </c>
      <c r="E36">
        <v>38.9243596243616</v>
      </c>
      <c r="F36">
        <v>-77.090630055083651</v>
      </c>
      <c r="G36">
        <v>8.0842171349213228</v>
      </c>
      <c r="H36">
        <v>351.04710568106253</v>
      </c>
      <c r="I36">
        <v>171.03245473096547</v>
      </c>
      <c r="J36">
        <v>351.03245473096547</v>
      </c>
      <c r="K36">
        <v>171.04710568106248</v>
      </c>
      <c r="L36" t="s">
        <v>516</v>
      </c>
    </row>
    <row r="37" spans="1:12">
      <c r="A37" t="s">
        <v>517</v>
      </c>
      <c r="B37">
        <v>38.897561000000003</v>
      </c>
      <c r="C37">
        <v>-77.036569</v>
      </c>
      <c r="D37" t="s">
        <v>518</v>
      </c>
      <c r="E37">
        <v>38.896096647287912</v>
      </c>
      <c r="F37">
        <v>-77.036568810607747</v>
      </c>
      <c r="G37">
        <v>0.10101192780429734</v>
      </c>
      <c r="H37">
        <v>179.99420907975292</v>
      </c>
      <c r="I37">
        <v>359.99420919867612</v>
      </c>
      <c r="J37">
        <v>179.99420919867612</v>
      </c>
      <c r="K37">
        <v>359.99420907975292</v>
      </c>
      <c r="L37" t="s">
        <v>275</v>
      </c>
    </row>
    <row r="38" spans="1:12">
      <c r="A38" t="s">
        <v>517</v>
      </c>
      <c r="B38">
        <v>38.897561000000003</v>
      </c>
      <c r="C38">
        <v>-77.036569</v>
      </c>
      <c r="D38" t="s">
        <v>51</v>
      </c>
      <c r="E38">
        <v>38.803587013018927</v>
      </c>
      <c r="F38">
        <v>-77.0045692366363</v>
      </c>
      <c r="G38">
        <v>6.7081990361966364</v>
      </c>
      <c r="H38">
        <v>165.07957487959848</v>
      </c>
      <c r="I38">
        <v>345.0996480654602</v>
      </c>
      <c r="J38">
        <v>165.0996480654602</v>
      </c>
      <c r="K38">
        <v>345.07957487959845</v>
      </c>
      <c r="L38" t="s">
        <v>523</v>
      </c>
    </row>
    <row r="39" spans="1:12">
      <c r="A39" t="s">
        <v>517</v>
      </c>
      <c r="B39">
        <v>38.897561000000003</v>
      </c>
      <c r="C39">
        <v>-77.036569</v>
      </c>
      <c r="D39" t="s">
        <v>46</v>
      </c>
      <c r="E39">
        <v>38.894079057995107</v>
      </c>
      <c r="F39">
        <v>-77.050685019751967</v>
      </c>
      <c r="G39">
        <v>0.79794506815071986</v>
      </c>
      <c r="H39">
        <v>252.48638471579079</v>
      </c>
      <c r="I39">
        <v>72.47752117831098</v>
      </c>
      <c r="J39">
        <v>252.47752117831098</v>
      </c>
      <c r="K39">
        <v>72.486384715790791</v>
      </c>
      <c r="L39" t="s">
        <v>528</v>
      </c>
    </row>
    <row r="40" spans="1:12">
      <c r="A40" t="s">
        <v>517</v>
      </c>
      <c r="B40">
        <v>38.897561000000003</v>
      </c>
      <c r="C40">
        <v>-77.036569</v>
      </c>
      <c r="D40" t="s">
        <v>22</v>
      </c>
      <c r="E40">
        <v>38.923087370584398</v>
      </c>
      <c r="F40">
        <v>-77.077632878496715</v>
      </c>
      <c r="G40">
        <v>2.8281620582373908</v>
      </c>
      <c r="H40">
        <v>308.51952471593609</v>
      </c>
      <c r="I40">
        <v>128.49373235785458</v>
      </c>
      <c r="J40">
        <v>308.49373235785458</v>
      </c>
      <c r="K40">
        <v>128.51952471593609</v>
      </c>
      <c r="L40" t="s">
        <v>521</v>
      </c>
    </row>
    <row r="41" spans="1:12">
      <c r="A41" t="s">
        <v>544</v>
      </c>
      <c r="B41">
        <v>38.897871215574632</v>
      </c>
      <c r="C41">
        <v>-77.036569</v>
      </c>
      <c r="D41" t="s">
        <v>177</v>
      </c>
      <c r="E41">
        <v>38.895976636393023</v>
      </c>
      <c r="F41">
        <v>-77.034311337037963</v>
      </c>
      <c r="G41">
        <v>0.17857906856644246</v>
      </c>
      <c r="H41">
        <v>137.03917447198984</v>
      </c>
      <c r="I41">
        <v>317.04059210659517</v>
      </c>
      <c r="J41">
        <v>137.04059210659517</v>
      </c>
      <c r="K41">
        <v>317.03917447198984</v>
      </c>
      <c r="L41" t="s">
        <v>545</v>
      </c>
    </row>
    <row r="42" spans="1:12">
      <c r="A42" t="s">
        <v>544</v>
      </c>
      <c r="B42">
        <v>38.897871215574632</v>
      </c>
      <c r="C42">
        <v>-77.036569</v>
      </c>
      <c r="D42" t="s">
        <v>162</v>
      </c>
      <c r="E42">
        <v>38.863742890040719</v>
      </c>
      <c r="F42">
        <v>-77.04279029496989</v>
      </c>
      <c r="G42">
        <v>2.377963030686419</v>
      </c>
      <c r="H42">
        <v>188.11114701835061</v>
      </c>
      <c r="I42">
        <v>8.1072418968485636</v>
      </c>
      <c r="J42">
        <v>188.10724189684856</v>
      </c>
      <c r="K42">
        <v>8.1111470183506071</v>
      </c>
      <c r="L42" t="s">
        <v>516</v>
      </c>
    </row>
    <row r="43" spans="1:12">
      <c r="A43" t="s">
        <v>546</v>
      </c>
      <c r="B43">
        <v>38.898285637635617</v>
      </c>
      <c r="C43">
        <v>-77.036569</v>
      </c>
      <c r="D43" t="s">
        <v>547</v>
      </c>
      <c r="E43">
        <v>38.892848188201988</v>
      </c>
      <c r="F43">
        <v>-77.04058603</v>
      </c>
      <c r="G43">
        <v>0.43309884391586734</v>
      </c>
      <c r="H43">
        <v>210.00024604594091</v>
      </c>
      <c r="I43">
        <v>29.997723741385755</v>
      </c>
      <c r="J43">
        <v>209.99772374138576</v>
      </c>
      <c r="K43">
        <v>30.000246045940912</v>
      </c>
      <c r="L43" t="s">
        <v>532</v>
      </c>
    </row>
    <row r="44" spans="1:12">
      <c r="A44" t="s">
        <v>546</v>
      </c>
      <c r="B44">
        <v>38.898285637635617</v>
      </c>
      <c r="C44">
        <v>-77.036569</v>
      </c>
      <c r="D44" t="s">
        <v>107</v>
      </c>
      <c r="E44">
        <v>38.909632012495202</v>
      </c>
      <c r="F44">
        <v>-77.043450337735848</v>
      </c>
      <c r="G44">
        <v>0.8661166922467266</v>
      </c>
      <c r="H44">
        <v>334.64644649153041</v>
      </c>
      <c r="I44">
        <v>154.64212489560532</v>
      </c>
      <c r="J44">
        <v>334.64212489560532</v>
      </c>
      <c r="K44">
        <v>154.64644649153047</v>
      </c>
      <c r="L44" t="s">
        <v>532</v>
      </c>
    </row>
    <row r="45" spans="1:12">
      <c r="A45" t="s">
        <v>546</v>
      </c>
      <c r="B45">
        <v>38.898285637635617</v>
      </c>
      <c r="C45">
        <v>-77.036569</v>
      </c>
      <c r="D45" t="s">
        <v>151</v>
      </c>
      <c r="E45">
        <v>38.899994319306728</v>
      </c>
      <c r="F45">
        <v>-77.036569</v>
      </c>
      <c r="G45">
        <v>0.11786593203147296</v>
      </c>
      <c r="H45">
        <v>0</v>
      </c>
      <c r="I45">
        <v>180</v>
      </c>
      <c r="J45">
        <v>0</v>
      </c>
      <c r="K45">
        <v>180</v>
      </c>
      <c r="L45" t="s">
        <v>275</v>
      </c>
    </row>
    <row r="46" spans="1:12">
      <c r="A46" t="s">
        <v>546</v>
      </c>
      <c r="B46">
        <v>38.898285637635617</v>
      </c>
      <c r="C46">
        <v>-77.036569</v>
      </c>
      <c r="D46" t="s">
        <v>49</v>
      </c>
      <c r="E46">
        <v>38.915519421202269</v>
      </c>
      <c r="F46">
        <v>-77.089236402778027</v>
      </c>
      <c r="G46">
        <v>3.0775253283444766</v>
      </c>
      <c r="H46">
        <v>292.74001228283555</v>
      </c>
      <c r="I46">
        <v>112.70693416009111</v>
      </c>
      <c r="J46">
        <v>292.70693416009112</v>
      </c>
      <c r="K46">
        <v>112.74001228283555</v>
      </c>
      <c r="L46" t="s">
        <v>514</v>
      </c>
    </row>
    <row r="47" spans="1:12">
      <c r="A47" t="s">
        <v>546</v>
      </c>
      <c r="B47">
        <v>38.898285637635617</v>
      </c>
      <c r="C47">
        <v>-77.036569</v>
      </c>
      <c r="D47" t="s">
        <v>138</v>
      </c>
      <c r="E47">
        <v>38.900171643902958</v>
      </c>
      <c r="F47">
        <v>-77.070876040084556</v>
      </c>
      <c r="G47">
        <v>1.8538374064317344</v>
      </c>
      <c r="H47">
        <v>274.03496059589003</v>
      </c>
      <c r="I47">
        <v>94.013417401152353</v>
      </c>
      <c r="J47">
        <v>274.01341740115237</v>
      </c>
      <c r="K47">
        <v>94.034960595890027</v>
      </c>
      <c r="L47" t="s">
        <v>131</v>
      </c>
    </row>
    <row r="48" spans="1:12">
      <c r="A48" t="s">
        <v>518</v>
      </c>
      <c r="B48">
        <v>38.896096647287912</v>
      </c>
      <c r="C48">
        <v>-77.036568810607747</v>
      </c>
      <c r="D48" t="s">
        <v>519</v>
      </c>
      <c r="E48">
        <v>38.896662426497493</v>
      </c>
      <c r="F48">
        <v>-77.036116957274672</v>
      </c>
      <c r="G48">
        <v>4.6004908991634876E-2</v>
      </c>
      <c r="H48">
        <v>31.968327062957187</v>
      </c>
      <c r="I48">
        <v>211.96861078793674</v>
      </c>
      <c r="J48">
        <v>31.968610787936768</v>
      </c>
      <c r="K48">
        <v>211.9683270629572</v>
      </c>
      <c r="L48" t="s">
        <v>548</v>
      </c>
    </row>
    <row r="49" spans="1:12">
      <c r="A49" t="s">
        <v>518</v>
      </c>
      <c r="B49">
        <v>38.896096647287912</v>
      </c>
      <c r="C49">
        <v>-77.036568810607747</v>
      </c>
      <c r="D49" t="s">
        <v>129</v>
      </c>
      <c r="E49">
        <v>39.010042682733477</v>
      </c>
      <c r="F49">
        <v>-77.042440353879812</v>
      </c>
      <c r="G49">
        <v>7.8665015394665856</v>
      </c>
      <c r="H49">
        <v>357.69776092521073</v>
      </c>
      <c r="I49">
        <v>177.69406958025024</v>
      </c>
      <c r="J49">
        <v>357.69406958025024</v>
      </c>
      <c r="K49">
        <v>177.69776092521079</v>
      </c>
      <c r="L49" t="s">
        <v>252</v>
      </c>
    </row>
    <row r="50" spans="1:12">
      <c r="A50" t="s">
        <v>519</v>
      </c>
      <c r="B50">
        <v>38.896662426497493</v>
      </c>
      <c r="C50">
        <v>-77.036116957274672</v>
      </c>
      <c r="D50" t="s">
        <v>547</v>
      </c>
      <c r="E50">
        <v>38.892848188201988</v>
      </c>
      <c r="F50">
        <v>-77.04058603</v>
      </c>
      <c r="G50">
        <v>0.35674259431198341</v>
      </c>
      <c r="H50">
        <v>222.47997471680014</v>
      </c>
      <c r="I50">
        <v>42.477168622604552</v>
      </c>
      <c r="J50">
        <v>222.47716862260455</v>
      </c>
      <c r="K50">
        <v>42.479974716800143</v>
      </c>
      <c r="L50" t="s">
        <v>530</v>
      </c>
    </row>
    <row r="51" spans="1:12">
      <c r="A51" t="s">
        <v>519</v>
      </c>
      <c r="B51">
        <v>38.896662426497493</v>
      </c>
      <c r="C51">
        <v>-77.036116957274672</v>
      </c>
      <c r="D51" t="s">
        <v>151</v>
      </c>
      <c r="E51">
        <v>38.899994319306728</v>
      </c>
      <c r="F51">
        <v>-77.036569</v>
      </c>
      <c r="G51">
        <v>0.23112409044072565</v>
      </c>
      <c r="H51">
        <v>353.94831438248605</v>
      </c>
      <c r="I51">
        <v>173.94803052661791</v>
      </c>
      <c r="J51">
        <v>353.94803052661791</v>
      </c>
      <c r="K51">
        <v>173.94831438248605</v>
      </c>
      <c r="L51" t="s">
        <v>549</v>
      </c>
    </row>
    <row r="52" spans="1:12">
      <c r="A52" t="s">
        <v>519</v>
      </c>
      <c r="B52">
        <v>38.896662426497493</v>
      </c>
      <c r="C52">
        <v>-77.036116957274672</v>
      </c>
      <c r="D52" t="s">
        <v>2</v>
      </c>
      <c r="E52">
        <v>38.897038827303611</v>
      </c>
      <c r="F52">
        <v>-77.037627866552469</v>
      </c>
      <c r="G52">
        <v>8.5484392240072635E-2</v>
      </c>
      <c r="H52">
        <v>287.68237407185097</v>
      </c>
      <c r="I52">
        <v>107.6814253412756</v>
      </c>
      <c r="J52">
        <v>287.6814253412756</v>
      </c>
      <c r="K52">
        <v>107.68237407185097</v>
      </c>
      <c r="L52" t="s">
        <v>550</v>
      </c>
    </row>
    <row r="53" spans="1:12">
      <c r="A53" t="s">
        <v>519</v>
      </c>
      <c r="B53">
        <v>38.896662426497493</v>
      </c>
      <c r="C53">
        <v>-77.036116957274672</v>
      </c>
      <c r="D53" t="s">
        <v>18</v>
      </c>
      <c r="E53">
        <v>38.914489864708663</v>
      </c>
      <c r="F53">
        <v>-77.049531913503088</v>
      </c>
      <c r="G53">
        <v>1.426562656770981</v>
      </c>
      <c r="H53">
        <v>329.55023848495409</v>
      </c>
      <c r="I53">
        <v>149.54181337188467</v>
      </c>
      <c r="J53">
        <v>329.5418133718847</v>
      </c>
      <c r="K53">
        <v>149.55023848495409</v>
      </c>
      <c r="L53" t="s">
        <v>516</v>
      </c>
    </row>
    <row r="54" spans="1:12">
      <c r="A54" t="s">
        <v>551</v>
      </c>
      <c r="B54">
        <v>38.9</v>
      </c>
      <c r="C54">
        <v>-77.037723</v>
      </c>
      <c r="D54" t="s">
        <v>73</v>
      </c>
      <c r="E54">
        <v>38.891720559711821</v>
      </c>
      <c r="F54">
        <v>-76.899121357377226</v>
      </c>
      <c r="G54">
        <v>7.4932513473457778</v>
      </c>
      <c r="H54">
        <v>94.327692057053824</v>
      </c>
      <c r="I54">
        <v>274.41472100067227</v>
      </c>
      <c r="J54">
        <v>94.414721000672273</v>
      </c>
      <c r="K54">
        <v>274.32769205705381</v>
      </c>
      <c r="L54" t="s">
        <v>534</v>
      </c>
    </row>
    <row r="55" spans="1:12">
      <c r="A55" t="s">
        <v>177</v>
      </c>
      <c r="B55">
        <v>38.895976636393023</v>
      </c>
      <c r="C55">
        <v>-77.034311337037963</v>
      </c>
      <c r="D55" t="s">
        <v>180</v>
      </c>
      <c r="E55">
        <v>38.888689784600743</v>
      </c>
      <c r="F55">
        <v>-77.005783238520763</v>
      </c>
      <c r="G55">
        <v>1.6179702168863581</v>
      </c>
      <c r="H55">
        <v>108.09051482290231</v>
      </c>
      <c r="I55">
        <v>288.10842644413867</v>
      </c>
      <c r="J55">
        <v>108.10842644413867</v>
      </c>
      <c r="K55">
        <v>288.09051482290232</v>
      </c>
      <c r="L55" t="s">
        <v>351</v>
      </c>
    </row>
    <row r="56" spans="1:12">
      <c r="A56" t="s">
        <v>177</v>
      </c>
      <c r="B56">
        <v>38.895976636393023</v>
      </c>
      <c r="C56">
        <v>-77.034311337037963</v>
      </c>
      <c r="D56" t="s">
        <v>186</v>
      </c>
      <c r="E56">
        <v>38.885561745965539</v>
      </c>
      <c r="F56">
        <v>-77.009887373032456</v>
      </c>
      <c r="G56">
        <v>1.4999367113518518</v>
      </c>
      <c r="H56">
        <v>118.61048263328169</v>
      </c>
      <c r="I56">
        <v>298.62581691809828</v>
      </c>
      <c r="J56">
        <v>118.62581691809828</v>
      </c>
      <c r="K56">
        <v>298.61048263328166</v>
      </c>
      <c r="L56" t="s">
        <v>552</v>
      </c>
    </row>
    <row r="57" spans="1:12">
      <c r="A57" t="s">
        <v>177</v>
      </c>
      <c r="B57">
        <v>38.895976636393023</v>
      </c>
      <c r="C57">
        <v>-77.034311337037963</v>
      </c>
      <c r="D57" t="s">
        <v>51</v>
      </c>
      <c r="E57">
        <v>38.803587013018927</v>
      </c>
      <c r="F57">
        <v>-77.0045692366363</v>
      </c>
      <c r="G57">
        <v>6.5718685151279086</v>
      </c>
      <c r="H57">
        <v>165.86094693288092</v>
      </c>
      <c r="I57">
        <v>345.87960358500811</v>
      </c>
      <c r="J57">
        <v>165.87960358500811</v>
      </c>
      <c r="K57">
        <v>345.86094693288089</v>
      </c>
      <c r="L57" t="s">
        <v>524</v>
      </c>
    </row>
    <row r="58" spans="1:12">
      <c r="A58" t="s">
        <v>177</v>
      </c>
      <c r="B58">
        <v>38.895976636393023</v>
      </c>
      <c r="C58">
        <v>-77.034311337037963</v>
      </c>
      <c r="D58" t="s">
        <v>13</v>
      </c>
      <c r="E58">
        <v>38.928234461306907</v>
      </c>
      <c r="F58">
        <v>-77.06004232078331</v>
      </c>
      <c r="G58">
        <v>2.6219118852730436</v>
      </c>
      <c r="H58">
        <v>328.07670459559955</v>
      </c>
      <c r="I58">
        <v>148.06054225701624</v>
      </c>
      <c r="J58">
        <v>328.06054225701621</v>
      </c>
      <c r="K58">
        <v>148.07670459559955</v>
      </c>
      <c r="L58" t="s">
        <v>252</v>
      </c>
    </row>
    <row r="59" spans="1:12">
      <c r="A59" t="s">
        <v>177</v>
      </c>
      <c r="B59">
        <v>38.895976636393023</v>
      </c>
      <c r="C59">
        <v>-77.034311337037963</v>
      </c>
      <c r="D59" t="s">
        <v>199</v>
      </c>
      <c r="E59">
        <v>38.901242008335643</v>
      </c>
      <c r="F59">
        <v>-77.085863354657533</v>
      </c>
      <c r="G59">
        <v>2.8024901462829028</v>
      </c>
      <c r="H59">
        <v>277.46278538106878</v>
      </c>
      <c r="I59">
        <v>97.430413590892428</v>
      </c>
      <c r="J59">
        <v>277.43041359089244</v>
      </c>
      <c r="K59">
        <v>97.462785381068784</v>
      </c>
      <c r="L59" t="s">
        <v>539</v>
      </c>
    </row>
    <row r="60" spans="1:12">
      <c r="A60" t="s">
        <v>177</v>
      </c>
      <c r="B60">
        <v>38.895976636393023</v>
      </c>
      <c r="C60">
        <v>-77.034311337037963</v>
      </c>
      <c r="D60" t="s">
        <v>124</v>
      </c>
      <c r="E60">
        <v>38.775506878609448</v>
      </c>
      <c r="F60">
        <v>-78.204061852272687</v>
      </c>
      <c r="G60">
        <v>63.653957577381064</v>
      </c>
      <c r="H60">
        <v>262.86574768823465</v>
      </c>
      <c r="I60">
        <v>82.132193084377889</v>
      </c>
      <c r="J60">
        <v>262.13219308437789</v>
      </c>
      <c r="K60">
        <v>82.865747688234649</v>
      </c>
      <c r="L60" t="s">
        <v>131</v>
      </c>
    </row>
    <row r="61" spans="1:12">
      <c r="A61" t="s">
        <v>536</v>
      </c>
      <c r="B61">
        <v>38.897537577775587</v>
      </c>
      <c r="C61">
        <v>-77.036264313267338</v>
      </c>
      <c r="D61" t="s">
        <v>25</v>
      </c>
      <c r="E61">
        <v>38.904990813622462</v>
      </c>
      <c r="F61">
        <v>-77.128535953950191</v>
      </c>
      <c r="G61">
        <v>5.0001172972025811</v>
      </c>
      <c r="H61">
        <v>275.93074865228789</v>
      </c>
      <c r="I61">
        <v>95.87280387850798</v>
      </c>
      <c r="J61">
        <v>275.87280387850797</v>
      </c>
      <c r="K61">
        <v>95.930748652287889</v>
      </c>
      <c r="L61" t="s">
        <v>542</v>
      </c>
    </row>
    <row r="62" spans="1:12">
      <c r="A62" t="s">
        <v>84</v>
      </c>
      <c r="B62">
        <v>38.889800999999999</v>
      </c>
      <c r="C62">
        <v>-77.009226999999996</v>
      </c>
      <c r="D62" t="s">
        <v>350</v>
      </c>
      <c r="E62">
        <v>38.889800999999999</v>
      </c>
      <c r="F62">
        <v>-77.009047449999997</v>
      </c>
      <c r="G62">
        <v>9.6796387276986001E-3</v>
      </c>
      <c r="H62">
        <v>89.999943637054102</v>
      </c>
      <c r="I62">
        <v>270.00005636294588</v>
      </c>
      <c r="J62">
        <v>90.000056362945884</v>
      </c>
      <c r="K62">
        <v>269.99994363705412</v>
      </c>
      <c r="L62" t="s">
        <v>553</v>
      </c>
    </row>
    <row r="63" spans="1:12">
      <c r="A63" t="s">
        <v>84</v>
      </c>
      <c r="B63">
        <v>38.889800999999999</v>
      </c>
      <c r="C63">
        <v>-77.009226999999996</v>
      </c>
      <c r="D63" t="s">
        <v>140</v>
      </c>
      <c r="E63">
        <v>38.908639308729029</v>
      </c>
      <c r="F63">
        <v>-76.975468342699315</v>
      </c>
      <c r="G63">
        <v>2.2360631853907251</v>
      </c>
      <c r="H63">
        <v>54.45824125444345</v>
      </c>
      <c r="I63">
        <v>234.47944008717144</v>
      </c>
      <c r="J63">
        <v>54.47944008717144</v>
      </c>
      <c r="K63">
        <v>234.45824125444346</v>
      </c>
      <c r="L63" t="s">
        <v>520</v>
      </c>
    </row>
    <row r="64" spans="1:12">
      <c r="A64" t="s">
        <v>84</v>
      </c>
      <c r="B64">
        <v>38.889800999999999</v>
      </c>
      <c r="C64">
        <v>-77.009226999999996</v>
      </c>
      <c r="D64" t="s">
        <v>129</v>
      </c>
      <c r="E64">
        <v>39.010042682733477</v>
      </c>
      <c r="F64">
        <v>-77.042440353879812</v>
      </c>
      <c r="G64">
        <v>8.4851662147774825</v>
      </c>
      <c r="H64">
        <v>347.838665800662</v>
      </c>
      <c r="I64">
        <v>167.81778651601181</v>
      </c>
      <c r="J64">
        <v>347.81778651601178</v>
      </c>
      <c r="K64">
        <v>167.83866580066206</v>
      </c>
      <c r="L64" t="s">
        <v>521</v>
      </c>
    </row>
    <row r="65" spans="1:12">
      <c r="A65" t="s">
        <v>350</v>
      </c>
      <c r="B65">
        <v>38.889800999999999</v>
      </c>
      <c r="C65">
        <v>-77.009047449999997</v>
      </c>
      <c r="D65" t="s">
        <v>182</v>
      </c>
      <c r="E65">
        <v>38.888814177374293</v>
      </c>
      <c r="F65">
        <v>-77.008603272094433</v>
      </c>
      <c r="G65">
        <v>7.2160555193210102E-2</v>
      </c>
      <c r="H65">
        <v>160.61913001946687</v>
      </c>
      <c r="I65">
        <v>340.61940888226798</v>
      </c>
      <c r="J65">
        <v>160.61940888226798</v>
      </c>
      <c r="K65">
        <v>340.61913001946687</v>
      </c>
      <c r="L65" t="s">
        <v>532</v>
      </c>
    </row>
    <row r="66" spans="1:12">
      <c r="A66" t="s">
        <v>350</v>
      </c>
      <c r="B66">
        <v>38.889800999999999</v>
      </c>
      <c r="C66">
        <v>-77.009047449999997</v>
      </c>
      <c r="D66" t="s">
        <v>85</v>
      </c>
      <c r="E66">
        <v>38.892747284999999</v>
      </c>
      <c r="F66">
        <v>-77.008989</v>
      </c>
      <c r="G66">
        <v>0.20326073573305178</v>
      </c>
      <c r="H66">
        <v>0.8882328860836185</v>
      </c>
      <c r="I66">
        <v>180.88826958359627</v>
      </c>
      <c r="J66">
        <v>0.88826958359629771</v>
      </c>
      <c r="K66">
        <v>180.88823288608361</v>
      </c>
      <c r="L66" t="s">
        <v>554</v>
      </c>
    </row>
    <row r="67" spans="1:12">
      <c r="A67" t="s">
        <v>350</v>
      </c>
      <c r="B67">
        <v>38.889800999999999</v>
      </c>
      <c r="C67">
        <v>-77.009047449999997</v>
      </c>
      <c r="D67" t="s">
        <v>146</v>
      </c>
      <c r="E67">
        <v>38.896422370023927</v>
      </c>
      <c r="F67">
        <v>-77.006599849724481</v>
      </c>
      <c r="G67">
        <v>0.47542221309209809</v>
      </c>
      <c r="H67">
        <v>16.112252044778845</v>
      </c>
      <c r="I67">
        <v>196.11378881831774</v>
      </c>
      <c r="J67">
        <v>16.113788818317744</v>
      </c>
      <c r="K67">
        <v>196.11225204477884</v>
      </c>
      <c r="L67" t="s">
        <v>555</v>
      </c>
    </row>
    <row r="68" spans="1:12">
      <c r="A68" t="s">
        <v>182</v>
      </c>
      <c r="B68">
        <v>38.888814177374293</v>
      </c>
      <c r="C68">
        <v>-77.008603272094433</v>
      </c>
      <c r="D68" t="s">
        <v>527</v>
      </c>
      <c r="E68">
        <v>38.892786818029961</v>
      </c>
      <c r="F68">
        <v>-77.040334042608009</v>
      </c>
      <c r="G68">
        <v>1.7324101058520451</v>
      </c>
      <c r="H68">
        <v>279.1113075751515</v>
      </c>
      <c r="I68">
        <v>99.091385788362501</v>
      </c>
      <c r="J68">
        <v>279.09138578836252</v>
      </c>
      <c r="K68">
        <v>99.1113075751515</v>
      </c>
      <c r="L68" t="s">
        <v>556</v>
      </c>
    </row>
    <row r="69" spans="1:12">
      <c r="A69" t="s">
        <v>182</v>
      </c>
      <c r="B69">
        <v>38.888814177374293</v>
      </c>
      <c r="C69">
        <v>-77.008603272094433</v>
      </c>
      <c r="D69" t="s">
        <v>202</v>
      </c>
      <c r="E69">
        <v>38.710790497835873</v>
      </c>
      <c r="F69">
        <v>-77.0352088314432</v>
      </c>
      <c r="G69">
        <v>12.363666871855999</v>
      </c>
      <c r="H69">
        <v>186.67871059745198</v>
      </c>
      <c r="I69">
        <v>6.6620395037372191</v>
      </c>
      <c r="J69">
        <v>186.66203950373722</v>
      </c>
      <c r="K69">
        <v>6.6787105974519818</v>
      </c>
      <c r="L69" t="s">
        <v>516</v>
      </c>
    </row>
    <row r="70" spans="1:12">
      <c r="A70" t="s">
        <v>8</v>
      </c>
      <c r="B70">
        <v>38.889816848715718</v>
      </c>
      <c r="C70">
        <v>-77.008442240897836</v>
      </c>
      <c r="D70" t="s">
        <v>251</v>
      </c>
      <c r="E70">
        <v>38.888685784961083</v>
      </c>
      <c r="F70">
        <v>-77.004678711651678</v>
      </c>
      <c r="G70">
        <v>0.21737964298067958</v>
      </c>
      <c r="H70">
        <v>111.03254827316613</v>
      </c>
      <c r="I70">
        <v>291.0349110809891</v>
      </c>
      <c r="J70">
        <v>111.0349110809891</v>
      </c>
      <c r="K70">
        <v>291.03254827316613</v>
      </c>
      <c r="L70" t="s">
        <v>545</v>
      </c>
    </row>
    <row r="71" spans="1:12">
      <c r="A71" t="s">
        <v>8</v>
      </c>
      <c r="B71">
        <v>38.889816848715718</v>
      </c>
      <c r="C71">
        <v>-77.008442240897836</v>
      </c>
      <c r="D71" t="s">
        <v>159</v>
      </c>
      <c r="E71">
        <v>38.785226169416099</v>
      </c>
      <c r="F71">
        <v>-77.040251901847796</v>
      </c>
      <c r="G71">
        <v>7.4159520078804269</v>
      </c>
      <c r="H71">
        <v>193.39013042432313</v>
      </c>
      <c r="I71">
        <v>13.370182130529685</v>
      </c>
      <c r="J71">
        <v>193.37018213052968</v>
      </c>
      <c r="K71">
        <v>13.390130424323161</v>
      </c>
      <c r="L71" t="s">
        <v>131</v>
      </c>
    </row>
    <row r="72" spans="1:12">
      <c r="A72" t="s">
        <v>175</v>
      </c>
      <c r="B72">
        <v>38.890643961669717</v>
      </c>
      <c r="C72">
        <v>-77.012352075974064</v>
      </c>
      <c r="D72" t="s">
        <v>253</v>
      </c>
      <c r="E72">
        <v>38.888987189853758</v>
      </c>
      <c r="F72">
        <v>-77.012333798205077</v>
      </c>
      <c r="G72">
        <v>0.11428922250880114</v>
      </c>
      <c r="H72">
        <v>179.50600265687066</v>
      </c>
      <c r="I72">
        <v>359.50601413210575</v>
      </c>
      <c r="J72">
        <v>179.50601413210575</v>
      </c>
      <c r="K72">
        <v>359.50600265687069</v>
      </c>
      <c r="L72" t="s">
        <v>522</v>
      </c>
    </row>
    <row r="73" spans="1:12">
      <c r="A73" t="s">
        <v>175</v>
      </c>
      <c r="B73">
        <v>38.890643961669717</v>
      </c>
      <c r="C73">
        <v>-77.012352075974064</v>
      </c>
      <c r="D73" t="s">
        <v>181</v>
      </c>
      <c r="E73">
        <v>38.889811160074281</v>
      </c>
      <c r="F73">
        <v>-77.010120176650872</v>
      </c>
      <c r="G73">
        <v>0.1333326600874532</v>
      </c>
      <c r="H73">
        <v>115.52115341185635</v>
      </c>
      <c r="I73">
        <v>295.52255466590134</v>
      </c>
      <c r="J73">
        <v>115.52255466590134</v>
      </c>
      <c r="K73">
        <v>295.52115341185635</v>
      </c>
      <c r="L73" t="s">
        <v>557</v>
      </c>
    </row>
    <row r="74" spans="1:12">
      <c r="A74" t="s">
        <v>175</v>
      </c>
      <c r="B74">
        <v>38.890643961669717</v>
      </c>
      <c r="C74">
        <v>-77.012352075974064</v>
      </c>
      <c r="D74" t="s">
        <v>164</v>
      </c>
      <c r="E74">
        <v>38.888944385745397</v>
      </c>
      <c r="F74">
        <v>-77.000964800836925</v>
      </c>
      <c r="G74">
        <v>0.62498868831303545</v>
      </c>
      <c r="H74">
        <v>100.80822427013287</v>
      </c>
      <c r="I74">
        <v>280.81537347958954</v>
      </c>
      <c r="J74">
        <v>100.81537347958954</v>
      </c>
      <c r="K74">
        <v>280.80822427013288</v>
      </c>
      <c r="L74" t="s">
        <v>545</v>
      </c>
    </row>
    <row r="75" spans="1:12">
      <c r="A75" t="s">
        <v>175</v>
      </c>
      <c r="B75">
        <v>38.890643961669717</v>
      </c>
      <c r="C75">
        <v>-77.012352075974064</v>
      </c>
      <c r="D75" t="s">
        <v>117</v>
      </c>
      <c r="E75">
        <v>38.932037569820068</v>
      </c>
      <c r="F75">
        <v>-77.093677384943518</v>
      </c>
      <c r="G75">
        <v>5.2310131382373211</v>
      </c>
      <c r="H75">
        <v>303.10849152902006</v>
      </c>
      <c r="I75">
        <v>123.05740970438518</v>
      </c>
      <c r="J75">
        <v>303.05740970438518</v>
      </c>
      <c r="K75">
        <v>123.10849152902006</v>
      </c>
      <c r="L75" t="s">
        <v>516</v>
      </c>
    </row>
    <row r="76" spans="1:12">
      <c r="A76" t="s">
        <v>253</v>
      </c>
      <c r="B76">
        <v>38.888987189853758</v>
      </c>
      <c r="C76">
        <v>-77.012333798205077</v>
      </c>
      <c r="D76" t="s">
        <v>162</v>
      </c>
      <c r="E76">
        <v>38.863742890040719</v>
      </c>
      <c r="F76">
        <v>-77.04279029496989</v>
      </c>
      <c r="G76">
        <v>2.3935904567184059</v>
      </c>
      <c r="H76">
        <v>223.3315134901878</v>
      </c>
      <c r="I76">
        <v>43.312397713734555</v>
      </c>
      <c r="J76">
        <v>223.31239771373455</v>
      </c>
      <c r="K76">
        <v>43.331513490187831</v>
      </c>
      <c r="L76" t="s">
        <v>540</v>
      </c>
    </row>
    <row r="77" spans="1:12">
      <c r="A77" t="s">
        <v>179</v>
      </c>
      <c r="B77">
        <v>38.889749178901553</v>
      </c>
      <c r="C77">
        <v>-77.013609953486323</v>
      </c>
      <c r="D77" t="s">
        <v>19</v>
      </c>
      <c r="E77">
        <v>38.88120136333437</v>
      </c>
      <c r="F77">
        <v>-77.072631056499674</v>
      </c>
      <c r="G77">
        <v>3.236221040807167</v>
      </c>
      <c r="H77">
        <v>259.5207263319179</v>
      </c>
      <c r="I77">
        <v>79.483674902854347</v>
      </c>
      <c r="J77">
        <v>259.48367490285432</v>
      </c>
      <c r="K77">
        <v>79.520726331917899</v>
      </c>
      <c r="L77" t="s">
        <v>120</v>
      </c>
    </row>
    <row r="78" spans="1:12">
      <c r="A78" t="s">
        <v>180</v>
      </c>
      <c r="B78">
        <v>38.888689784600743</v>
      </c>
      <c r="C78">
        <v>-77.005783238520763</v>
      </c>
      <c r="D78" t="s">
        <v>186</v>
      </c>
      <c r="E78">
        <v>38.885561745965539</v>
      </c>
      <c r="F78">
        <v>-77.009887373032456</v>
      </c>
      <c r="G78">
        <v>0.30905696107501129</v>
      </c>
      <c r="H78">
        <v>225.72109755529618</v>
      </c>
      <c r="I78">
        <v>45.718521028190651</v>
      </c>
      <c r="J78">
        <v>225.71852102819065</v>
      </c>
      <c r="K78">
        <v>45.721097555296183</v>
      </c>
      <c r="L78" t="s">
        <v>558</v>
      </c>
    </row>
    <row r="79" spans="1:12">
      <c r="A79" t="s">
        <v>180</v>
      </c>
      <c r="B79">
        <v>38.888689784600743</v>
      </c>
      <c r="C79">
        <v>-77.005783238520763</v>
      </c>
      <c r="D79" t="s">
        <v>146</v>
      </c>
      <c r="E79">
        <v>38.896422370023927</v>
      </c>
      <c r="F79">
        <v>-77.006599849724481</v>
      </c>
      <c r="G79">
        <v>0.5352115166187752</v>
      </c>
      <c r="H79">
        <v>355.28222965592852</v>
      </c>
      <c r="I79">
        <v>175.28171693683089</v>
      </c>
      <c r="J79">
        <v>355.28171693683089</v>
      </c>
      <c r="K79">
        <v>175.28222965592852</v>
      </c>
      <c r="L79" t="s">
        <v>530</v>
      </c>
    </row>
    <row r="80" spans="1:12">
      <c r="A80" t="s">
        <v>181</v>
      </c>
      <c r="B80">
        <v>38.889811160074281</v>
      </c>
      <c r="C80">
        <v>-77.010120176650872</v>
      </c>
      <c r="D80" t="s">
        <v>89</v>
      </c>
      <c r="E80">
        <v>38.911588839433009</v>
      </c>
      <c r="F80">
        <v>-76.993547550999835</v>
      </c>
      <c r="G80">
        <v>1.7477728461749193</v>
      </c>
      <c r="H80">
        <v>30.732537488374046</v>
      </c>
      <c r="I80">
        <v>210.74294464285597</v>
      </c>
      <c r="J80">
        <v>30.742944642855946</v>
      </c>
      <c r="K80">
        <v>210.73253748837405</v>
      </c>
      <c r="L80" t="s">
        <v>252</v>
      </c>
    </row>
    <row r="81" spans="1:12">
      <c r="A81" t="s">
        <v>181</v>
      </c>
      <c r="B81">
        <v>38.889811160074281</v>
      </c>
      <c r="C81">
        <v>-77.010120176650872</v>
      </c>
      <c r="D81" t="s">
        <v>34</v>
      </c>
      <c r="E81">
        <v>38.903614986565351</v>
      </c>
      <c r="F81">
        <v>-77.112593044573373</v>
      </c>
      <c r="G81">
        <v>5.6053014602834681</v>
      </c>
      <c r="H81">
        <v>279.81267504857419</v>
      </c>
      <c r="I81">
        <v>99.748330437318941</v>
      </c>
      <c r="J81">
        <v>279.74833043731894</v>
      </c>
      <c r="K81">
        <v>99.812675048574192</v>
      </c>
      <c r="L81" t="s">
        <v>559</v>
      </c>
    </row>
    <row r="82" spans="1:12">
      <c r="A82" t="s">
        <v>263</v>
      </c>
      <c r="B82">
        <v>38.893613869460523</v>
      </c>
      <c r="C82">
        <v>-77.009077956021031</v>
      </c>
      <c r="D82" t="s">
        <v>183</v>
      </c>
      <c r="E82">
        <v>38.890779794768029</v>
      </c>
      <c r="F82">
        <v>-77.007267880658404</v>
      </c>
      <c r="G82">
        <v>0.2184956030157777</v>
      </c>
      <c r="H82">
        <v>153.47404957966268</v>
      </c>
      <c r="I82">
        <v>333.47518604826246</v>
      </c>
      <c r="J82">
        <v>153.47518604826246</v>
      </c>
      <c r="K82">
        <v>333.47404957966268</v>
      </c>
      <c r="L82" t="s">
        <v>548</v>
      </c>
    </row>
    <row r="83" spans="1:12">
      <c r="A83" t="s">
        <v>183</v>
      </c>
      <c r="B83">
        <v>38.890779794768029</v>
      </c>
      <c r="C83">
        <v>-77.007267880658404</v>
      </c>
      <c r="D83" t="s">
        <v>95</v>
      </c>
      <c r="E83">
        <v>39.448886999999999</v>
      </c>
      <c r="F83">
        <v>-77.627617999999998</v>
      </c>
      <c r="G83">
        <v>50.910885410418594</v>
      </c>
      <c r="H83">
        <v>319.32816555772069</v>
      </c>
      <c r="I83">
        <v>138.93633230008018</v>
      </c>
      <c r="J83">
        <v>318.93633230008015</v>
      </c>
      <c r="K83">
        <v>139.32816555772069</v>
      </c>
      <c r="L83" t="s">
        <v>521</v>
      </c>
    </row>
    <row r="84" spans="1:12">
      <c r="A84" t="s">
        <v>265</v>
      </c>
      <c r="B84">
        <v>38.890621000000003</v>
      </c>
      <c r="C84">
        <v>-77.00510154468833</v>
      </c>
      <c r="D84" t="s">
        <v>258</v>
      </c>
      <c r="E84">
        <v>38.890621000000003</v>
      </c>
      <c r="F84">
        <v>-77.004421885776182</v>
      </c>
      <c r="G84">
        <v>3.6640362519361251E-2</v>
      </c>
      <c r="H84">
        <v>89.999786642950795</v>
      </c>
      <c r="I84">
        <v>270.00021335704923</v>
      </c>
      <c r="J84">
        <v>90.000213357049233</v>
      </c>
      <c r="K84">
        <v>269.99978664295077</v>
      </c>
      <c r="L84" t="s">
        <v>537</v>
      </c>
    </row>
    <row r="85" spans="1:12">
      <c r="A85" t="s">
        <v>265</v>
      </c>
      <c r="B85">
        <v>38.890621000000003</v>
      </c>
      <c r="C85">
        <v>-77.00510154468833</v>
      </c>
      <c r="D85" t="s">
        <v>127</v>
      </c>
      <c r="E85">
        <v>38.893587651719322</v>
      </c>
      <c r="F85">
        <v>-76.999525090510573</v>
      </c>
      <c r="G85">
        <v>0.3636625030692896</v>
      </c>
      <c r="H85">
        <v>55.753929657446406</v>
      </c>
      <c r="I85">
        <v>235.75743086657883</v>
      </c>
      <c r="J85">
        <v>55.757430866578829</v>
      </c>
      <c r="K85">
        <v>235.75392965744641</v>
      </c>
      <c r="L85" t="s">
        <v>522</v>
      </c>
    </row>
    <row r="86" spans="1:12">
      <c r="A86" t="s">
        <v>265</v>
      </c>
      <c r="B86">
        <v>38.890621000000003</v>
      </c>
      <c r="C86">
        <v>-77.00510154468833</v>
      </c>
      <c r="D86" t="s">
        <v>5</v>
      </c>
      <c r="E86">
        <v>38.873731147841703</v>
      </c>
      <c r="F86">
        <v>-77.070387413691392</v>
      </c>
      <c r="G86">
        <v>3.7077751281753564</v>
      </c>
      <c r="H86">
        <v>251.70656403599017</v>
      </c>
      <c r="I86">
        <v>71.665582726663615</v>
      </c>
      <c r="J86">
        <v>251.66558272666362</v>
      </c>
      <c r="K86">
        <v>71.706564035990141</v>
      </c>
      <c r="L86" t="s">
        <v>131</v>
      </c>
    </row>
    <row r="87" spans="1:12">
      <c r="A87" t="s">
        <v>527</v>
      </c>
      <c r="B87">
        <v>38.892786818029961</v>
      </c>
      <c r="C87">
        <v>-77.040334042608009</v>
      </c>
      <c r="D87" t="s">
        <v>560</v>
      </c>
      <c r="E87">
        <v>38.89317145702438</v>
      </c>
      <c r="F87">
        <v>-77.04113191993082</v>
      </c>
      <c r="G87">
        <v>5.0537302975463827E-2</v>
      </c>
      <c r="H87">
        <v>301.66919526767623</v>
      </c>
      <c r="I87">
        <v>121.66869430628527</v>
      </c>
      <c r="J87">
        <v>301.66869430628526</v>
      </c>
      <c r="K87">
        <v>121.66919526767623</v>
      </c>
      <c r="L87" t="s">
        <v>561</v>
      </c>
    </row>
    <row r="88" spans="1:12">
      <c r="A88" t="s">
        <v>527</v>
      </c>
      <c r="B88">
        <v>38.892786818029961</v>
      </c>
      <c r="C88">
        <v>-77.040334042608009</v>
      </c>
      <c r="D88" t="s">
        <v>82</v>
      </c>
      <c r="E88">
        <v>38.892860499999969</v>
      </c>
      <c r="F88">
        <v>-76.909165529999996</v>
      </c>
      <c r="G88">
        <v>7.071067800001166</v>
      </c>
      <c r="H88">
        <v>89.917638194881846</v>
      </c>
      <c r="I88">
        <v>269.99999441063471</v>
      </c>
      <c r="J88">
        <v>89.999994410634713</v>
      </c>
      <c r="K88">
        <v>269.91763819488187</v>
      </c>
      <c r="L88" t="s">
        <v>521</v>
      </c>
    </row>
    <row r="89" spans="1:12">
      <c r="A89" t="s">
        <v>547</v>
      </c>
      <c r="B89">
        <v>38.892848188201988</v>
      </c>
      <c r="C89">
        <v>-77.04058603</v>
      </c>
      <c r="D89" t="s">
        <v>560</v>
      </c>
      <c r="E89">
        <v>38.89317145702438</v>
      </c>
      <c r="F89">
        <v>-77.04113191993082</v>
      </c>
      <c r="G89">
        <v>3.6922329911595178E-2</v>
      </c>
      <c r="H89">
        <v>307.15353520347497</v>
      </c>
      <c r="I89">
        <v>127.15319245659798</v>
      </c>
      <c r="J89">
        <v>307.15319245659799</v>
      </c>
      <c r="K89">
        <v>127.15353520347497</v>
      </c>
      <c r="L89" t="s">
        <v>530</v>
      </c>
    </row>
    <row r="90" spans="1:12">
      <c r="A90" t="s">
        <v>547</v>
      </c>
      <c r="B90">
        <v>38.892848188201988</v>
      </c>
      <c r="C90">
        <v>-77.04058603</v>
      </c>
      <c r="D90" t="s">
        <v>112</v>
      </c>
      <c r="E90">
        <v>38.790339150000008</v>
      </c>
      <c r="F90">
        <v>-77.04058603</v>
      </c>
      <c r="G90">
        <v>7.0710677999987315</v>
      </c>
      <c r="H90">
        <v>180</v>
      </c>
      <c r="I90">
        <v>0</v>
      </c>
      <c r="J90">
        <v>180</v>
      </c>
      <c r="K90">
        <v>0</v>
      </c>
      <c r="L90" t="s">
        <v>521</v>
      </c>
    </row>
    <row r="91" spans="1:12">
      <c r="A91" t="s">
        <v>547</v>
      </c>
      <c r="B91">
        <v>38.892848188201988</v>
      </c>
      <c r="C91">
        <v>-77.04058603</v>
      </c>
      <c r="D91" t="s">
        <v>172</v>
      </c>
      <c r="E91">
        <v>38.889249497800463</v>
      </c>
      <c r="F91">
        <v>-77.050146657518198</v>
      </c>
      <c r="G91">
        <v>0.57207515636989414</v>
      </c>
      <c r="H91">
        <v>244.28588480803839</v>
      </c>
      <c r="I91">
        <v>64.279882249617927</v>
      </c>
      <c r="J91">
        <v>244.27988224961791</v>
      </c>
      <c r="K91">
        <v>64.285884808038418</v>
      </c>
      <c r="L91" t="s">
        <v>562</v>
      </c>
    </row>
    <row r="92" spans="1:12">
      <c r="A92" t="s">
        <v>547</v>
      </c>
      <c r="B92">
        <v>38.892848188201988</v>
      </c>
      <c r="C92">
        <v>-77.04058603</v>
      </c>
      <c r="D92" t="s">
        <v>28</v>
      </c>
      <c r="E92">
        <v>38.9243596243616</v>
      </c>
      <c r="F92">
        <v>-77.090630055083651</v>
      </c>
      <c r="G92">
        <v>3.4640617583124649</v>
      </c>
      <c r="H92">
        <v>308.88127634276941</v>
      </c>
      <c r="I92">
        <v>128.84984469326139</v>
      </c>
      <c r="J92">
        <v>308.84984469326139</v>
      </c>
      <c r="K92">
        <v>128.88127634276941</v>
      </c>
      <c r="L92" t="s">
        <v>538</v>
      </c>
    </row>
    <row r="93" spans="1:12">
      <c r="A93" t="s">
        <v>531</v>
      </c>
      <c r="B93">
        <v>38.893449287058473</v>
      </c>
      <c r="C93">
        <v>-77.040985579999997</v>
      </c>
      <c r="D93" t="s">
        <v>560</v>
      </c>
      <c r="E93">
        <v>38.89317145702438</v>
      </c>
      <c r="F93">
        <v>-77.04113191993082</v>
      </c>
      <c r="G93">
        <v>2.0725024823933944E-2</v>
      </c>
      <c r="H93">
        <v>202.3736884770112</v>
      </c>
      <c r="I93">
        <v>22.373596594238506</v>
      </c>
      <c r="J93">
        <v>202.37359659423851</v>
      </c>
      <c r="K93">
        <v>22.373688477011228</v>
      </c>
      <c r="L93" t="s">
        <v>522</v>
      </c>
    </row>
    <row r="94" spans="1:12">
      <c r="A94" t="s">
        <v>531</v>
      </c>
      <c r="B94">
        <v>38.893449287058473</v>
      </c>
      <c r="C94">
        <v>-77.040985579999997</v>
      </c>
      <c r="D94" t="s">
        <v>69</v>
      </c>
      <c r="E94">
        <v>38.995956509999992</v>
      </c>
      <c r="F94">
        <v>-77.040985579999997</v>
      </c>
      <c r="G94">
        <v>7.0710677999985778</v>
      </c>
      <c r="H94">
        <v>0</v>
      </c>
      <c r="I94">
        <v>180</v>
      </c>
      <c r="J94">
        <v>0</v>
      </c>
      <c r="K94">
        <v>180</v>
      </c>
      <c r="L94" t="s">
        <v>521</v>
      </c>
    </row>
    <row r="95" spans="1:12">
      <c r="A95" t="s">
        <v>531</v>
      </c>
      <c r="B95">
        <v>38.893449287058473</v>
      </c>
      <c r="C95">
        <v>-77.040985579999997</v>
      </c>
      <c r="D95" t="s">
        <v>5</v>
      </c>
      <c r="E95">
        <v>38.873731147841703</v>
      </c>
      <c r="F95">
        <v>-77.070387413691392</v>
      </c>
      <c r="G95">
        <v>2.0887633773325955</v>
      </c>
      <c r="H95">
        <v>229.37841996008575</v>
      </c>
      <c r="I95">
        <v>49.359963248386038</v>
      </c>
      <c r="J95">
        <v>229.35996324838604</v>
      </c>
      <c r="K95">
        <v>49.378419960085751</v>
      </c>
      <c r="L95" t="s">
        <v>561</v>
      </c>
    </row>
    <row r="96" spans="1:12">
      <c r="A96" t="s">
        <v>560</v>
      </c>
      <c r="B96">
        <v>38.89317145702438</v>
      </c>
      <c r="C96">
        <v>-77.04113191993082</v>
      </c>
      <c r="D96" t="s">
        <v>83</v>
      </c>
      <c r="E96">
        <v>38.893245129999983</v>
      </c>
      <c r="F96">
        <v>-77.172301140000016</v>
      </c>
      <c r="G96">
        <v>7.0710678000001952</v>
      </c>
      <c r="H96">
        <v>270.08235734529001</v>
      </c>
      <c r="I96">
        <v>89.999999999991431</v>
      </c>
      <c r="J96">
        <v>269.99999999999142</v>
      </c>
      <c r="K96">
        <v>90.082357345290006</v>
      </c>
      <c r="L96" t="s">
        <v>521</v>
      </c>
    </row>
    <row r="97" spans="1:12">
      <c r="A97" t="s">
        <v>560</v>
      </c>
      <c r="B97">
        <v>38.89317145702438</v>
      </c>
      <c r="C97">
        <v>-77.04113191993082</v>
      </c>
      <c r="D97" t="s">
        <v>2</v>
      </c>
      <c r="E97">
        <v>38.897038827303611</v>
      </c>
      <c r="F97">
        <v>-77.037627866552469</v>
      </c>
      <c r="G97">
        <v>0.32687615927092151</v>
      </c>
      <c r="H97">
        <v>35.299652583643336</v>
      </c>
      <c r="I97">
        <v>215.30185276673876</v>
      </c>
      <c r="J97">
        <v>35.301852766738762</v>
      </c>
      <c r="K97">
        <v>215.29965258364334</v>
      </c>
      <c r="L97" t="s">
        <v>562</v>
      </c>
    </row>
    <row r="98" spans="1:12">
      <c r="A98" t="s">
        <v>560</v>
      </c>
      <c r="B98">
        <v>38.89317145702438</v>
      </c>
      <c r="C98">
        <v>-77.04113191993082</v>
      </c>
      <c r="D98" t="s">
        <v>18</v>
      </c>
      <c r="E98">
        <v>38.914489864708663</v>
      </c>
      <c r="F98">
        <v>-77.049531913503088</v>
      </c>
      <c r="G98">
        <v>1.5386788375242229</v>
      </c>
      <c r="H98">
        <v>342.88995464991632</v>
      </c>
      <c r="I98">
        <v>162.88467932711868</v>
      </c>
      <c r="J98">
        <v>342.88467932711865</v>
      </c>
      <c r="K98">
        <v>162.88995464991626</v>
      </c>
      <c r="L98" t="s">
        <v>563</v>
      </c>
    </row>
    <row r="99" spans="1:12">
      <c r="A99" t="s">
        <v>85</v>
      </c>
      <c r="B99">
        <v>38.892747284999999</v>
      </c>
      <c r="C99">
        <v>-77.008989</v>
      </c>
      <c r="D99" t="s">
        <v>564</v>
      </c>
      <c r="E99">
        <v>38.892752000000002</v>
      </c>
      <c r="F99">
        <v>-77.008889999999994</v>
      </c>
      <c r="G99">
        <v>5.3468248254172164E-3</v>
      </c>
      <c r="H99">
        <v>86.512557186066843</v>
      </c>
      <c r="I99">
        <v>266.51261934465947</v>
      </c>
      <c r="J99">
        <v>86.51261934465947</v>
      </c>
      <c r="K99">
        <v>266.51255718606683</v>
      </c>
      <c r="L99" t="s">
        <v>565</v>
      </c>
    </row>
    <row r="100" spans="1:12">
      <c r="A100" t="s">
        <v>85</v>
      </c>
      <c r="B100">
        <v>38.892747284999999</v>
      </c>
      <c r="C100">
        <v>-77.008989</v>
      </c>
      <c r="D100" t="s">
        <v>51</v>
      </c>
      <c r="E100">
        <v>38.803587013018927</v>
      </c>
      <c r="F100">
        <v>-77.0045692366363</v>
      </c>
      <c r="G100">
        <v>6.1548967544075319</v>
      </c>
      <c r="H100">
        <v>177.77869729680464</v>
      </c>
      <c r="I100">
        <v>357.78146963293426</v>
      </c>
      <c r="J100">
        <v>177.7814696329342</v>
      </c>
      <c r="K100">
        <v>357.77869729680464</v>
      </c>
      <c r="L100" t="s">
        <v>514</v>
      </c>
    </row>
    <row r="101" spans="1:12">
      <c r="A101" t="s">
        <v>112</v>
      </c>
      <c r="B101">
        <v>38.790339150000008</v>
      </c>
      <c r="C101">
        <v>-77.04058603</v>
      </c>
      <c r="D101" t="s">
        <v>89</v>
      </c>
      <c r="E101">
        <v>38.911588839433009</v>
      </c>
      <c r="F101">
        <v>-76.993547550999835</v>
      </c>
      <c r="G101">
        <v>8.7401919756612685</v>
      </c>
      <c r="H101">
        <v>16.860979511723588</v>
      </c>
      <c r="I101">
        <v>196.89048661553596</v>
      </c>
      <c r="J101">
        <v>16.890486615535963</v>
      </c>
      <c r="K101">
        <v>196.8609795117236</v>
      </c>
      <c r="L101" t="s">
        <v>252</v>
      </c>
    </row>
    <row r="102" spans="1:12">
      <c r="A102" t="s">
        <v>82</v>
      </c>
      <c r="B102">
        <v>38.892860499999969</v>
      </c>
      <c r="C102">
        <v>-76.909165529999996</v>
      </c>
      <c r="D102" t="s">
        <v>88</v>
      </c>
      <c r="E102">
        <v>38.960393169597992</v>
      </c>
      <c r="F102">
        <v>-77.010591988442854</v>
      </c>
      <c r="G102">
        <v>7.1811539258778865</v>
      </c>
      <c r="H102">
        <v>310.47606684228168</v>
      </c>
      <c r="I102">
        <v>130.41233807609592</v>
      </c>
      <c r="J102">
        <v>310.41233807609592</v>
      </c>
      <c r="K102">
        <v>130.47606684228168</v>
      </c>
      <c r="L102" t="s">
        <v>535</v>
      </c>
    </row>
    <row r="103" spans="1:12">
      <c r="A103" t="s">
        <v>83</v>
      </c>
      <c r="B103">
        <v>38.893245129999983</v>
      </c>
      <c r="C103">
        <v>-77.172301140000016</v>
      </c>
      <c r="D103" t="s">
        <v>38</v>
      </c>
      <c r="E103">
        <v>38.92609741015503</v>
      </c>
      <c r="F103">
        <v>-76.958533324767643</v>
      </c>
      <c r="G103">
        <v>11.741885737949984</v>
      </c>
      <c r="H103">
        <v>78.805014340734118</v>
      </c>
      <c r="I103">
        <v>258.93928081130889</v>
      </c>
      <c r="J103">
        <v>78.93928081130889</v>
      </c>
      <c r="K103">
        <v>258.80501434073415</v>
      </c>
      <c r="L103" t="s">
        <v>131</v>
      </c>
    </row>
    <row r="104" spans="1:12">
      <c r="A104" t="s">
        <v>564</v>
      </c>
      <c r="B104">
        <v>38.892752000000002</v>
      </c>
      <c r="C104">
        <v>-77.008889999999994</v>
      </c>
      <c r="D104" t="s">
        <v>51</v>
      </c>
      <c r="E104">
        <v>38.803587013018927</v>
      </c>
      <c r="F104">
        <v>-77.0045692366363</v>
      </c>
      <c r="G104">
        <v>6.1550172218446777</v>
      </c>
      <c r="H104">
        <v>177.82851975326511</v>
      </c>
      <c r="I104">
        <v>357.8312299908971</v>
      </c>
      <c r="J104">
        <v>177.8312299908971</v>
      </c>
      <c r="K104">
        <v>357.82851975326514</v>
      </c>
      <c r="L104" t="s">
        <v>514</v>
      </c>
    </row>
    <row r="105" spans="1:12">
      <c r="A105" t="s">
        <v>172</v>
      </c>
      <c r="B105">
        <v>38.889249497800463</v>
      </c>
      <c r="C105">
        <v>-77.050146657518198</v>
      </c>
      <c r="D105" t="s">
        <v>515</v>
      </c>
      <c r="E105">
        <v>38.889060714900133</v>
      </c>
      <c r="F105">
        <v>-77.049942698487811</v>
      </c>
      <c r="G105">
        <v>1.704363525959264E-2</v>
      </c>
      <c r="H105">
        <v>139.82327182248113</v>
      </c>
      <c r="I105">
        <v>319.82339987117098</v>
      </c>
      <c r="J105">
        <v>139.82339987117098</v>
      </c>
      <c r="K105">
        <v>319.82327182248116</v>
      </c>
      <c r="L105" t="s">
        <v>552</v>
      </c>
    </row>
    <row r="106" spans="1:12">
      <c r="A106" t="s">
        <v>172</v>
      </c>
      <c r="B106">
        <v>38.889249497800463</v>
      </c>
      <c r="C106">
        <v>-77.050146657518198</v>
      </c>
      <c r="D106" t="s">
        <v>19</v>
      </c>
      <c r="E106">
        <v>38.88120136333437</v>
      </c>
      <c r="F106">
        <v>-77.072631056499674</v>
      </c>
      <c r="G106">
        <v>1.3333019657370366</v>
      </c>
      <c r="H106">
        <v>245.40062845928679</v>
      </c>
      <c r="I106">
        <v>65.386513599881908</v>
      </c>
      <c r="J106">
        <v>245.38651359988191</v>
      </c>
      <c r="K106">
        <v>65.400628459286793</v>
      </c>
      <c r="L106" t="s">
        <v>522</v>
      </c>
    </row>
    <row r="107" spans="1:12">
      <c r="A107" t="s">
        <v>196</v>
      </c>
      <c r="B107">
        <v>38.888169036259093</v>
      </c>
      <c r="C107">
        <v>-77.051451527226078</v>
      </c>
      <c r="D107" t="s">
        <v>166</v>
      </c>
      <c r="E107">
        <v>38.689228316924762</v>
      </c>
      <c r="F107">
        <v>-77.043517969766754</v>
      </c>
      <c r="G107">
        <v>13.729477683800974</v>
      </c>
      <c r="H107">
        <v>178.2098114059113</v>
      </c>
      <c r="I107">
        <v>358.21478139111878</v>
      </c>
      <c r="J107">
        <v>178.21478139111878</v>
      </c>
      <c r="K107">
        <v>358.2098114059113</v>
      </c>
      <c r="L107" t="s">
        <v>566</v>
      </c>
    </row>
    <row r="108" spans="1:12">
      <c r="A108" t="s">
        <v>196</v>
      </c>
      <c r="B108">
        <v>38.888169036259093</v>
      </c>
      <c r="C108">
        <v>-77.051451527226078</v>
      </c>
      <c r="D108" t="s">
        <v>151</v>
      </c>
      <c r="E108">
        <v>38.899994319306728</v>
      </c>
      <c r="F108">
        <v>-77.036569</v>
      </c>
      <c r="G108">
        <v>1.1441323929610197</v>
      </c>
      <c r="H108">
        <v>44.519487773971285</v>
      </c>
      <c r="I108">
        <v>224.52883225492894</v>
      </c>
      <c r="J108">
        <v>44.528832254928943</v>
      </c>
      <c r="K108">
        <v>224.51948777397129</v>
      </c>
      <c r="L108" t="s">
        <v>562</v>
      </c>
    </row>
    <row r="109" spans="1:12">
      <c r="A109" t="s">
        <v>196</v>
      </c>
      <c r="B109">
        <v>38.888169036259093</v>
      </c>
      <c r="C109">
        <v>-77.051451527226078</v>
      </c>
      <c r="D109" t="s">
        <v>13</v>
      </c>
      <c r="E109">
        <v>38.928234461306907</v>
      </c>
      <c r="F109">
        <v>-77.06004232078331</v>
      </c>
      <c r="G109">
        <v>2.8022588937386108</v>
      </c>
      <c r="H109">
        <v>350.49215077508927</v>
      </c>
      <c r="I109">
        <v>170.48675511677277</v>
      </c>
      <c r="J109">
        <v>350.48675511677277</v>
      </c>
      <c r="K109">
        <v>170.49215077508927</v>
      </c>
      <c r="L109" t="s">
        <v>539</v>
      </c>
    </row>
    <row r="110" spans="1:12">
      <c r="A110" t="s">
        <v>196</v>
      </c>
      <c r="B110">
        <v>38.888169036259093</v>
      </c>
      <c r="C110">
        <v>-77.051451527226078</v>
      </c>
      <c r="D110" t="s">
        <v>5</v>
      </c>
      <c r="E110">
        <v>38.873731147841703</v>
      </c>
      <c r="F110">
        <v>-77.070387413691392</v>
      </c>
      <c r="G110">
        <v>1.4262750755965443</v>
      </c>
      <c r="H110">
        <v>225.71721557320348</v>
      </c>
      <c r="I110">
        <v>45.705329436255397</v>
      </c>
      <c r="J110">
        <v>225.7053294362554</v>
      </c>
      <c r="K110">
        <v>45.717215573203475</v>
      </c>
      <c r="L110" t="s">
        <v>516</v>
      </c>
    </row>
    <row r="111" spans="1:12">
      <c r="A111" t="s">
        <v>567</v>
      </c>
      <c r="B111">
        <v>38.88921687259635</v>
      </c>
      <c r="C111">
        <v>-77.052209204630913</v>
      </c>
      <c r="D111" t="s">
        <v>55</v>
      </c>
      <c r="E111">
        <v>38.91261730408393</v>
      </c>
      <c r="F111">
        <v>-76.957538798719796</v>
      </c>
      <c r="G111">
        <v>5.3521526764935139</v>
      </c>
      <c r="H111">
        <v>72.416914414254819</v>
      </c>
      <c r="I111">
        <v>252.47636512056332</v>
      </c>
      <c r="J111">
        <v>72.476365120563287</v>
      </c>
      <c r="K111">
        <v>252.41691441425482</v>
      </c>
      <c r="L111" t="s">
        <v>534</v>
      </c>
    </row>
    <row r="112" spans="1:12">
      <c r="A112" t="s">
        <v>567</v>
      </c>
      <c r="B112">
        <v>38.88921687259635</v>
      </c>
      <c r="C112">
        <v>-77.052209204630913</v>
      </c>
      <c r="D112" t="s">
        <v>26</v>
      </c>
      <c r="E112">
        <v>38.920660773128958</v>
      </c>
      <c r="F112">
        <v>-77.079750995205373</v>
      </c>
      <c r="G112">
        <v>2.6283704320735923</v>
      </c>
      <c r="H112">
        <v>325.62092590001089</v>
      </c>
      <c r="I112">
        <v>145.60362882459594</v>
      </c>
      <c r="J112">
        <v>325.60362882459594</v>
      </c>
      <c r="K112">
        <v>145.62092590001089</v>
      </c>
      <c r="L112" t="s">
        <v>524</v>
      </c>
    </row>
    <row r="113" spans="1:12">
      <c r="A113" t="s">
        <v>144</v>
      </c>
      <c r="B113">
        <v>38.93539090046842</v>
      </c>
      <c r="C113">
        <v>-77.118770832388549</v>
      </c>
      <c r="D113" t="s">
        <v>68</v>
      </c>
      <c r="E113">
        <v>38.934493099999983</v>
      </c>
      <c r="F113">
        <v>-77.119915899999995</v>
      </c>
      <c r="G113">
        <v>8.7415073741611449E-2</v>
      </c>
      <c r="H113">
        <v>224.8895499184099</v>
      </c>
      <c r="I113">
        <v>44.888830314920142</v>
      </c>
      <c r="J113">
        <v>224.88883031492014</v>
      </c>
      <c r="K113">
        <v>44.889549918409898</v>
      </c>
      <c r="L113" t="s">
        <v>548</v>
      </c>
    </row>
    <row r="114" spans="1:12">
      <c r="A114" t="s">
        <v>144</v>
      </c>
      <c r="B114">
        <v>38.93539090046842</v>
      </c>
      <c r="C114">
        <v>-77.118770832388549</v>
      </c>
      <c r="D114" t="s">
        <v>256</v>
      </c>
      <c r="E114">
        <v>38.871476946892543</v>
      </c>
      <c r="F114">
        <v>-77.067752201956665</v>
      </c>
      <c r="G114">
        <v>5.1961332477191187</v>
      </c>
      <c r="H114">
        <v>148.03096527376397</v>
      </c>
      <c r="I114">
        <v>328.06300547479867</v>
      </c>
      <c r="J114">
        <v>148.06300547479867</v>
      </c>
      <c r="K114">
        <v>328.03096527376397</v>
      </c>
      <c r="L114" t="s">
        <v>538</v>
      </c>
    </row>
    <row r="115" spans="1:12">
      <c r="A115" t="s">
        <v>144</v>
      </c>
      <c r="B115">
        <v>38.93539090046842</v>
      </c>
      <c r="C115">
        <v>-77.118770832388549</v>
      </c>
      <c r="D115" t="s">
        <v>18</v>
      </c>
      <c r="E115">
        <v>38.914489864708663</v>
      </c>
      <c r="F115">
        <v>-77.049531913503088</v>
      </c>
      <c r="G115">
        <v>3.9997607569335227</v>
      </c>
      <c r="H115">
        <v>111.10698852542421</v>
      </c>
      <c r="I115">
        <v>291.1504914640326</v>
      </c>
      <c r="J115">
        <v>111.1504914640326</v>
      </c>
      <c r="K115">
        <v>291.10698852542419</v>
      </c>
      <c r="L115" t="s">
        <v>568</v>
      </c>
    </row>
    <row r="116" spans="1:12">
      <c r="A116" t="s">
        <v>47</v>
      </c>
      <c r="B116">
        <v>38.924871835602019</v>
      </c>
      <c r="C116">
        <v>-77.018002710089107</v>
      </c>
      <c r="D116" t="s">
        <v>119</v>
      </c>
      <c r="E116">
        <v>38.918835090612639</v>
      </c>
      <c r="F116">
        <v>-77.007394020653479</v>
      </c>
      <c r="G116">
        <v>0.70725131776847971</v>
      </c>
      <c r="H116">
        <v>126.06761388602621</v>
      </c>
      <c r="I116">
        <v>306.0742788996327</v>
      </c>
      <c r="J116">
        <v>126.0742788996327</v>
      </c>
      <c r="K116">
        <v>306.06761388602621</v>
      </c>
      <c r="L116" t="s">
        <v>275</v>
      </c>
    </row>
    <row r="117" spans="1:12">
      <c r="A117" t="s">
        <v>184</v>
      </c>
      <c r="B117">
        <v>38.904466128951633</v>
      </c>
      <c r="C117">
        <v>-76.975703367128119</v>
      </c>
      <c r="D117" t="s">
        <v>164</v>
      </c>
      <c r="E117">
        <v>38.888944385745397</v>
      </c>
      <c r="F117">
        <v>-77.000964800836925</v>
      </c>
      <c r="G117">
        <v>1.732251110644228</v>
      </c>
      <c r="H117">
        <v>231.83063572574721</v>
      </c>
      <c r="I117">
        <v>51.814773608823032</v>
      </c>
      <c r="J117">
        <v>231.81477360882303</v>
      </c>
      <c r="K117">
        <v>51.830635725747243</v>
      </c>
      <c r="L117" t="s">
        <v>556</v>
      </c>
    </row>
    <row r="118" spans="1:12">
      <c r="A118" t="s">
        <v>126</v>
      </c>
      <c r="B118">
        <v>38.942531162412862</v>
      </c>
      <c r="C118">
        <v>-77.110668589240717</v>
      </c>
      <c r="D118" t="s">
        <v>68</v>
      </c>
      <c r="E118">
        <v>38.934493099999983</v>
      </c>
      <c r="F118">
        <v>-77.119915899999995</v>
      </c>
      <c r="G118">
        <v>0.74540726777148236</v>
      </c>
      <c r="H118">
        <v>221.94212807883576</v>
      </c>
      <c r="I118">
        <v>41.936316273256921</v>
      </c>
      <c r="J118">
        <v>221.93631627325692</v>
      </c>
      <c r="K118">
        <v>41.942128078835765</v>
      </c>
      <c r="L118" t="s">
        <v>554</v>
      </c>
    </row>
    <row r="119" spans="1:12">
      <c r="A119" t="s">
        <v>130</v>
      </c>
      <c r="B119">
        <v>38.916014822915052</v>
      </c>
      <c r="C119">
        <v>-77.116777991306989</v>
      </c>
      <c r="D119" t="s">
        <v>59</v>
      </c>
      <c r="E119">
        <v>38.93508740486395</v>
      </c>
      <c r="F119">
        <v>-77.126419797285848</v>
      </c>
      <c r="G119">
        <v>1.4145093636044954</v>
      </c>
      <c r="H119">
        <v>338.45448036772603</v>
      </c>
      <c r="I119">
        <v>158.44842232400225</v>
      </c>
      <c r="J119">
        <v>338.44842232400225</v>
      </c>
      <c r="K119">
        <v>158.45448036772609</v>
      </c>
      <c r="L119" t="s">
        <v>541</v>
      </c>
    </row>
    <row r="120" spans="1:12">
      <c r="A120" t="s">
        <v>130</v>
      </c>
      <c r="B120">
        <v>38.916014822915052</v>
      </c>
      <c r="C120">
        <v>-77.116777991306989</v>
      </c>
      <c r="D120" t="s">
        <v>190</v>
      </c>
      <c r="E120">
        <v>38.905376415694072</v>
      </c>
      <c r="F120">
        <v>-77.021330730155185</v>
      </c>
      <c r="G120">
        <v>5.1961866739981417</v>
      </c>
      <c r="H120">
        <v>98.088915827177601</v>
      </c>
      <c r="I120">
        <v>278.14886705512572</v>
      </c>
      <c r="J120">
        <v>98.14886705512572</v>
      </c>
      <c r="K120">
        <v>278.08891582717763</v>
      </c>
      <c r="L120" t="s">
        <v>538</v>
      </c>
    </row>
    <row r="121" spans="1:12">
      <c r="A121" t="s">
        <v>192</v>
      </c>
      <c r="B121">
        <v>38.891079369466112</v>
      </c>
      <c r="C121">
        <v>-77.042886445346255</v>
      </c>
      <c r="D121" t="s">
        <v>39</v>
      </c>
      <c r="E121">
        <v>38.894330838678513</v>
      </c>
      <c r="F121">
        <v>-77.135544679034453</v>
      </c>
      <c r="G121">
        <v>5.0000854161626682</v>
      </c>
      <c r="H121">
        <v>272.60005920040192</v>
      </c>
      <c r="I121">
        <v>92.541882426517219</v>
      </c>
      <c r="J121">
        <v>272.54188242651719</v>
      </c>
      <c r="K121">
        <v>92.600059200401915</v>
      </c>
      <c r="L121" t="s">
        <v>542</v>
      </c>
    </row>
    <row r="122" spans="1:12">
      <c r="A122" t="s">
        <v>192</v>
      </c>
      <c r="B122">
        <v>38.891079369466112</v>
      </c>
      <c r="C122">
        <v>-77.042886445346255</v>
      </c>
      <c r="D122" t="s">
        <v>128</v>
      </c>
      <c r="E122">
        <v>39.005339472519637</v>
      </c>
      <c r="F122">
        <v>-77.038062048737274</v>
      </c>
      <c r="G122">
        <v>7.8860829235486278</v>
      </c>
      <c r="H122">
        <v>1.8869128688456209</v>
      </c>
      <c r="I122">
        <v>181.88994557126216</v>
      </c>
      <c r="J122">
        <v>1.8899455712621602</v>
      </c>
      <c r="K122">
        <v>181.88691286884563</v>
      </c>
      <c r="L122" t="s">
        <v>524</v>
      </c>
    </row>
    <row r="123" spans="1:12">
      <c r="A123" t="s">
        <v>146</v>
      </c>
      <c r="B123">
        <v>38.896422370023927</v>
      </c>
      <c r="C123">
        <v>-77.006599849724481</v>
      </c>
      <c r="D123" t="s">
        <v>127</v>
      </c>
      <c r="E123">
        <v>38.893587651719322</v>
      </c>
      <c r="F123">
        <v>-76.999525090510573</v>
      </c>
      <c r="G123">
        <v>0.42858368907938599</v>
      </c>
      <c r="H123">
        <v>117.14304857860566</v>
      </c>
      <c r="I123">
        <v>297.14749078602426</v>
      </c>
      <c r="J123">
        <v>117.14749078602426</v>
      </c>
      <c r="K123">
        <v>297.14304857860566</v>
      </c>
      <c r="L123" t="s">
        <v>552</v>
      </c>
    </row>
    <row r="124" spans="1:12">
      <c r="A124" t="s">
        <v>65</v>
      </c>
      <c r="B124">
        <v>38.790339000000003</v>
      </c>
      <c r="C124">
        <v>-77.051444000000004</v>
      </c>
      <c r="D124" t="s">
        <v>17</v>
      </c>
      <c r="E124">
        <v>38.939237314230454</v>
      </c>
      <c r="F124">
        <v>-77.088340704127447</v>
      </c>
      <c r="G124">
        <v>10.462007580731798</v>
      </c>
      <c r="H124">
        <v>349.04742343873903</v>
      </c>
      <c r="I124">
        <v>169.02427130281077</v>
      </c>
      <c r="J124">
        <v>349.0242713028108</v>
      </c>
      <c r="K124">
        <v>169.04742343873909</v>
      </c>
      <c r="L124" t="s">
        <v>516</v>
      </c>
    </row>
    <row r="125" spans="1:12">
      <c r="A125" t="s">
        <v>65</v>
      </c>
      <c r="B125">
        <v>38.790339000000003</v>
      </c>
      <c r="C125">
        <v>-77.051444000000004</v>
      </c>
      <c r="D125" t="s">
        <v>21</v>
      </c>
      <c r="E125">
        <v>38.916815383206369</v>
      </c>
      <c r="F125">
        <v>-77.061201400915238</v>
      </c>
      <c r="G125">
        <v>8.7402117125551264</v>
      </c>
      <c r="H125">
        <v>356.55089290267063</v>
      </c>
      <c r="I125">
        <v>176.54477176621393</v>
      </c>
      <c r="J125">
        <v>356.5447717662139</v>
      </c>
      <c r="K125">
        <v>176.55089290267063</v>
      </c>
      <c r="L125" t="s">
        <v>252</v>
      </c>
    </row>
    <row r="126" spans="1:12">
      <c r="A126" t="s">
        <v>36</v>
      </c>
      <c r="B126">
        <v>38.835915882366358</v>
      </c>
      <c r="C126">
        <v>-76.980661223020689</v>
      </c>
      <c r="D126" t="s">
        <v>56</v>
      </c>
      <c r="E126">
        <v>38.947325108309627</v>
      </c>
      <c r="F126">
        <v>-77.021883345949419</v>
      </c>
      <c r="G126">
        <v>7.9999166884670325</v>
      </c>
      <c r="H126">
        <v>343.88493463624633</v>
      </c>
      <c r="I126">
        <v>163.85905334504224</v>
      </c>
      <c r="J126">
        <v>343.85905334504224</v>
      </c>
      <c r="K126">
        <v>163.88493463624627</v>
      </c>
      <c r="L126" t="s">
        <v>525</v>
      </c>
    </row>
    <row r="127" spans="1:12">
      <c r="A127" t="s">
        <v>36</v>
      </c>
      <c r="B127">
        <v>38.835915882366358</v>
      </c>
      <c r="C127">
        <v>-76.980661223020689</v>
      </c>
      <c r="D127" t="s">
        <v>12</v>
      </c>
      <c r="E127">
        <v>38.917382469465053</v>
      </c>
      <c r="F127">
        <v>-77.070410578532105</v>
      </c>
      <c r="G127">
        <v>7.4161265694394869</v>
      </c>
      <c r="H127">
        <v>319.29468269696292</v>
      </c>
      <c r="I127">
        <v>139.23835186663598</v>
      </c>
      <c r="J127">
        <v>319.23835186663598</v>
      </c>
      <c r="K127">
        <v>139.29468269696292</v>
      </c>
      <c r="L127" t="s">
        <v>131</v>
      </c>
    </row>
    <row r="128" spans="1:12">
      <c r="A128" t="s">
        <v>36</v>
      </c>
      <c r="B128">
        <v>38.835915882366358</v>
      </c>
      <c r="C128">
        <v>-76.980661223020689</v>
      </c>
      <c r="D128" t="s">
        <v>21</v>
      </c>
      <c r="E128">
        <v>38.916815383206369</v>
      </c>
      <c r="F128">
        <v>-77.061201400915238</v>
      </c>
      <c r="G128">
        <v>7.0711717132449348</v>
      </c>
      <c r="H128">
        <v>322.1348559494059</v>
      </c>
      <c r="I128">
        <v>142.0843055349163</v>
      </c>
      <c r="J128">
        <v>322.08430553491633</v>
      </c>
      <c r="K128">
        <v>142.1348559494059</v>
      </c>
      <c r="L128" t="s">
        <v>521</v>
      </c>
    </row>
    <row r="129" spans="1:12">
      <c r="A129" t="s">
        <v>37</v>
      </c>
      <c r="B129">
        <v>38.935255546149442</v>
      </c>
      <c r="C129">
        <v>-76.988452843325106</v>
      </c>
      <c r="D129" t="s">
        <v>178</v>
      </c>
      <c r="E129">
        <v>38.77367519361357</v>
      </c>
      <c r="F129">
        <v>-76.972158414322777</v>
      </c>
      <c r="G129">
        <v>11.180425498023208</v>
      </c>
      <c r="H129">
        <v>175.48629995376345</v>
      </c>
      <c r="I129">
        <v>355.4965221822406</v>
      </c>
      <c r="J129">
        <v>175.4965221822406</v>
      </c>
      <c r="K129">
        <v>355.48629995376348</v>
      </c>
      <c r="L129" t="s">
        <v>523</v>
      </c>
    </row>
    <row r="130" spans="1:12">
      <c r="A130" t="s">
        <v>118</v>
      </c>
      <c r="B130">
        <v>38.942139058947483</v>
      </c>
      <c r="C130">
        <v>-77.010995768444687</v>
      </c>
      <c r="D130" t="s">
        <v>76</v>
      </c>
      <c r="E130">
        <v>38.872804095441928</v>
      </c>
      <c r="F130">
        <v>-76.940197367335742</v>
      </c>
      <c r="G130">
        <v>6.118458595637903</v>
      </c>
      <c r="H130">
        <v>141.39390075630007</v>
      </c>
      <c r="I130">
        <v>321.43836673298773</v>
      </c>
      <c r="J130">
        <v>141.43836673298773</v>
      </c>
      <c r="K130">
        <v>321.39390075630007</v>
      </c>
      <c r="L130" t="s">
        <v>252</v>
      </c>
    </row>
    <row r="131" spans="1:12">
      <c r="A131" t="s">
        <v>38</v>
      </c>
      <c r="B131">
        <v>38.92609741015503</v>
      </c>
      <c r="C131">
        <v>-76.958533324767643</v>
      </c>
      <c r="D131" t="s">
        <v>132</v>
      </c>
      <c r="E131">
        <v>38.909694801858848</v>
      </c>
      <c r="F131">
        <v>-76.973871148151133</v>
      </c>
      <c r="G131">
        <v>1.4012105364927889</v>
      </c>
      <c r="H131">
        <v>216.15323815496288</v>
      </c>
      <c r="I131">
        <v>36.143602840494054</v>
      </c>
      <c r="J131">
        <v>216.14360284049405</v>
      </c>
      <c r="K131">
        <v>36.153238154962878</v>
      </c>
      <c r="L131" t="s">
        <v>569</v>
      </c>
    </row>
    <row r="132" spans="1:12">
      <c r="A132" t="s">
        <v>38</v>
      </c>
      <c r="B132">
        <v>38.92609741015503</v>
      </c>
      <c r="C132">
        <v>-76.958533324767643</v>
      </c>
      <c r="D132" t="s">
        <v>166</v>
      </c>
      <c r="E132">
        <v>38.689228316924762</v>
      </c>
      <c r="F132">
        <v>-77.043517969766754</v>
      </c>
      <c r="G132">
        <v>16.970737077069622</v>
      </c>
      <c r="H132">
        <v>195.70753300558377</v>
      </c>
      <c r="I132">
        <v>15.654272325566154</v>
      </c>
      <c r="J132">
        <v>195.65427232556615</v>
      </c>
      <c r="K132">
        <v>15.707533005583741</v>
      </c>
      <c r="L132" t="s">
        <v>521</v>
      </c>
    </row>
    <row r="133" spans="1:12">
      <c r="A133" t="s">
        <v>116</v>
      </c>
      <c r="B133">
        <v>38.8580454440363</v>
      </c>
      <c r="C133">
        <v>-77.078464399477767</v>
      </c>
      <c r="D133" t="s">
        <v>45</v>
      </c>
      <c r="E133">
        <v>38.989097905845689</v>
      </c>
      <c r="F133">
        <v>-77.046770824431448</v>
      </c>
      <c r="G133">
        <v>9.2000193245866004</v>
      </c>
      <c r="H133">
        <v>10.687968464541193</v>
      </c>
      <c r="I133">
        <v>190.70788101790643</v>
      </c>
      <c r="J133">
        <v>10.707881017906402</v>
      </c>
      <c r="K133">
        <v>190.6879684645412</v>
      </c>
      <c r="L133" t="s">
        <v>524</v>
      </c>
    </row>
    <row r="134" spans="1:12">
      <c r="A134" t="s">
        <v>140</v>
      </c>
      <c r="B134">
        <v>38.908639308729029</v>
      </c>
      <c r="C134">
        <v>-76.975468342699315</v>
      </c>
      <c r="D134" t="s">
        <v>158</v>
      </c>
      <c r="E134">
        <v>38.909644522916047</v>
      </c>
      <c r="F134">
        <v>-76.972391087710122</v>
      </c>
      <c r="G134">
        <v>0.17976322114121232</v>
      </c>
      <c r="H134">
        <v>67.309843549270099</v>
      </c>
      <c r="I134">
        <v>247.31177633381242</v>
      </c>
      <c r="J134">
        <v>67.311776333812418</v>
      </c>
      <c r="K134">
        <v>247.30984354927011</v>
      </c>
      <c r="L134" t="s">
        <v>549</v>
      </c>
    </row>
    <row r="135" spans="1:12">
      <c r="A135" t="s">
        <v>140</v>
      </c>
      <c r="B135">
        <v>38.908639308729029</v>
      </c>
      <c r="C135">
        <v>-76.975468342699315</v>
      </c>
      <c r="D135" t="s">
        <v>27</v>
      </c>
      <c r="E135">
        <v>38.874515971394558</v>
      </c>
      <c r="F135">
        <v>-77.146392815978004</v>
      </c>
      <c r="G135">
        <v>9.5102980801131221</v>
      </c>
      <c r="H135">
        <v>255.72375171805754</v>
      </c>
      <c r="I135">
        <v>75.616436964947823</v>
      </c>
      <c r="J135">
        <v>255.61643696494781</v>
      </c>
      <c r="K135">
        <v>75.723751718057542</v>
      </c>
      <c r="L135" t="s">
        <v>516</v>
      </c>
    </row>
    <row r="136" spans="1:12">
      <c r="A136" t="s">
        <v>132</v>
      </c>
      <c r="B136">
        <v>38.909694801858848</v>
      </c>
      <c r="C136">
        <v>-76.973871148151133</v>
      </c>
      <c r="D136" t="s">
        <v>256</v>
      </c>
      <c r="E136">
        <v>38.871476946892543</v>
      </c>
      <c r="F136">
        <v>-77.067752201956665</v>
      </c>
      <c r="G136">
        <v>5.7065731040482381</v>
      </c>
      <c r="H136">
        <v>242.51492720584454</v>
      </c>
      <c r="I136">
        <v>62.455985366409337</v>
      </c>
      <c r="J136">
        <v>242.45598536640932</v>
      </c>
      <c r="K136">
        <v>62.514927205844515</v>
      </c>
      <c r="L136" t="s">
        <v>516</v>
      </c>
    </row>
    <row r="137" spans="1:12">
      <c r="A137" t="s">
        <v>158</v>
      </c>
      <c r="B137">
        <v>38.909644522916047</v>
      </c>
      <c r="C137">
        <v>-76.972391087710122</v>
      </c>
      <c r="D137" t="s">
        <v>76</v>
      </c>
      <c r="E137">
        <v>38.872804095441928</v>
      </c>
      <c r="F137">
        <v>-76.940197367335742</v>
      </c>
      <c r="G137">
        <v>3.0773667429815807</v>
      </c>
      <c r="H137">
        <v>145.65900803626772</v>
      </c>
      <c r="I137">
        <v>325.67922066701345</v>
      </c>
      <c r="J137">
        <v>145.67922066701345</v>
      </c>
      <c r="K137">
        <v>325.65900803626772</v>
      </c>
      <c r="L137" t="s">
        <v>514</v>
      </c>
    </row>
    <row r="138" spans="1:12">
      <c r="A138" t="s">
        <v>158</v>
      </c>
      <c r="B138">
        <v>38.909644522916047</v>
      </c>
      <c r="C138">
        <v>-76.972391087710122</v>
      </c>
      <c r="D138" t="s">
        <v>29</v>
      </c>
      <c r="E138">
        <v>38.931322965354973</v>
      </c>
      <c r="F138">
        <v>-76.917209455745677</v>
      </c>
      <c r="G138">
        <v>3.3284324679339599</v>
      </c>
      <c r="H138">
        <v>63.285172369204837</v>
      </c>
      <c r="I138">
        <v>243.31983974869209</v>
      </c>
      <c r="J138">
        <v>63.319839748692061</v>
      </c>
      <c r="K138">
        <v>243.28517236920484</v>
      </c>
      <c r="L138" t="s">
        <v>516</v>
      </c>
    </row>
    <row r="139" spans="1:12">
      <c r="A139" t="s">
        <v>39</v>
      </c>
      <c r="B139">
        <v>38.894330838678513</v>
      </c>
      <c r="C139">
        <v>-77.135544679034453</v>
      </c>
      <c r="D139" t="s">
        <v>56</v>
      </c>
      <c r="E139">
        <v>38.947325108309627</v>
      </c>
      <c r="F139">
        <v>-77.021883345949419</v>
      </c>
      <c r="G139">
        <v>7.1328443878127494</v>
      </c>
      <c r="H139">
        <v>59.133730189689054</v>
      </c>
      <c r="I139">
        <v>239.20513748041265</v>
      </c>
      <c r="J139">
        <v>59.205137480412645</v>
      </c>
      <c r="K139">
        <v>239.13373018968906</v>
      </c>
      <c r="L139" t="s">
        <v>516</v>
      </c>
    </row>
    <row r="140" spans="1:12">
      <c r="A140" t="s">
        <v>54</v>
      </c>
      <c r="B140">
        <v>38.888694362898732</v>
      </c>
      <c r="C140">
        <v>-76.942542813218694</v>
      </c>
      <c r="D140" t="s">
        <v>64</v>
      </c>
      <c r="E140">
        <v>38.855138000000018</v>
      </c>
      <c r="F140">
        <v>-77.023560400000008</v>
      </c>
      <c r="G140">
        <v>4.9441232259976253</v>
      </c>
      <c r="H140">
        <v>242.10935835570132</v>
      </c>
      <c r="I140">
        <v>62.058513207907339</v>
      </c>
      <c r="J140">
        <v>242.05851320790734</v>
      </c>
      <c r="K140">
        <v>62.109358355701318</v>
      </c>
      <c r="L140" t="s">
        <v>131</v>
      </c>
    </row>
    <row r="141" spans="1:12">
      <c r="A141" t="s">
        <v>54</v>
      </c>
      <c r="B141">
        <v>38.888694362898732</v>
      </c>
      <c r="C141">
        <v>-76.942542813218694</v>
      </c>
      <c r="D141" t="s">
        <v>124</v>
      </c>
      <c r="E141">
        <v>38.775506878609448</v>
      </c>
      <c r="F141">
        <v>-78.204061852272687</v>
      </c>
      <c r="G141">
        <v>68.509941925347221</v>
      </c>
      <c r="H141">
        <v>263.85197741142963</v>
      </c>
      <c r="I141">
        <v>83.060934218523769</v>
      </c>
      <c r="J141">
        <v>263.06093421852376</v>
      </c>
      <c r="K141">
        <v>83.85197741142963</v>
      </c>
      <c r="L141" t="s">
        <v>534</v>
      </c>
    </row>
    <row r="142" spans="1:12">
      <c r="A142" t="s">
        <v>42</v>
      </c>
      <c r="B142">
        <v>38.978006730836938</v>
      </c>
      <c r="C142">
        <v>-77.034071474795397</v>
      </c>
      <c r="D142" t="s">
        <v>57</v>
      </c>
      <c r="E142">
        <v>38.971265146524964</v>
      </c>
      <c r="F142">
        <v>-77.068329157306508</v>
      </c>
      <c r="G142">
        <v>1.9023685981120035</v>
      </c>
      <c r="H142">
        <v>255.8611078816931</v>
      </c>
      <c r="I142">
        <v>75.839560610960675</v>
      </c>
      <c r="J142">
        <v>255.83956061096069</v>
      </c>
      <c r="K142">
        <v>75.861107881693101</v>
      </c>
      <c r="L142" t="s">
        <v>516</v>
      </c>
    </row>
    <row r="143" spans="1:12">
      <c r="A143" t="s">
        <v>42</v>
      </c>
      <c r="B143">
        <v>38.978006730836938</v>
      </c>
      <c r="C143">
        <v>-77.034071474795397</v>
      </c>
      <c r="D143" t="s">
        <v>43</v>
      </c>
      <c r="E143">
        <v>38.85493665631558</v>
      </c>
      <c r="F143">
        <v>-77.002259504610606</v>
      </c>
      <c r="G143">
        <v>8.6608445814671491</v>
      </c>
      <c r="H143">
        <v>168.57327076185126</v>
      </c>
      <c r="I143">
        <v>348.5932546323632</v>
      </c>
      <c r="J143">
        <v>168.59325463236314</v>
      </c>
      <c r="K143">
        <v>348.57327076185129</v>
      </c>
      <c r="L143" t="s">
        <v>538</v>
      </c>
    </row>
    <row r="144" spans="1:12">
      <c r="A144" t="s">
        <v>156</v>
      </c>
      <c r="B144">
        <v>38.92072480308088</v>
      </c>
      <c r="C144">
        <v>-77.03571742899706</v>
      </c>
      <c r="D144" t="s">
        <v>195</v>
      </c>
      <c r="E144">
        <v>38.906084139800029</v>
      </c>
      <c r="F144">
        <v>-76.957667324779109</v>
      </c>
      <c r="G144">
        <v>4.3258717702758558</v>
      </c>
      <c r="H144">
        <v>103.47643603331908</v>
      </c>
      <c r="I144">
        <v>283.52546282979478</v>
      </c>
      <c r="J144">
        <v>103.52546282979478</v>
      </c>
      <c r="K144">
        <v>283.47643603331909</v>
      </c>
      <c r="L144" t="s">
        <v>131</v>
      </c>
    </row>
    <row r="145" spans="1:12">
      <c r="A145" t="s">
        <v>156</v>
      </c>
      <c r="B145">
        <v>38.92072480308088</v>
      </c>
      <c r="C145">
        <v>-77.03571742899706</v>
      </c>
      <c r="D145" t="s">
        <v>163</v>
      </c>
      <c r="E145">
        <v>38.889725240473808</v>
      </c>
      <c r="F145">
        <v>-76.91344596466341</v>
      </c>
      <c r="G145">
        <v>6.928536766487869</v>
      </c>
      <c r="H145">
        <v>107.93843288664542</v>
      </c>
      <c r="I145">
        <v>288.01522354719515</v>
      </c>
      <c r="J145">
        <v>108.01522354719515</v>
      </c>
      <c r="K145">
        <v>287.93843288664539</v>
      </c>
      <c r="L145" t="s">
        <v>538</v>
      </c>
    </row>
    <row r="146" spans="1:12">
      <c r="A146" t="s">
        <v>74</v>
      </c>
      <c r="B146">
        <v>38.933912107140202</v>
      </c>
      <c r="C146">
        <v>-77.070259853781494</v>
      </c>
      <c r="D146" t="s">
        <v>157</v>
      </c>
      <c r="E146">
        <v>38.910082172410689</v>
      </c>
      <c r="F146">
        <v>-76.978787828466437</v>
      </c>
      <c r="G146">
        <v>5.1959541747645552</v>
      </c>
      <c r="H146">
        <v>108.41440797154409</v>
      </c>
      <c r="I146">
        <v>288.47187635915589</v>
      </c>
      <c r="J146">
        <v>108.47187635915589</v>
      </c>
      <c r="K146">
        <v>288.41440797154411</v>
      </c>
      <c r="L146" t="s">
        <v>538</v>
      </c>
    </row>
    <row r="147" spans="1:12">
      <c r="A147" t="s">
        <v>44</v>
      </c>
      <c r="B147">
        <v>38.959847905580027</v>
      </c>
      <c r="C147">
        <v>-77.026806510741665</v>
      </c>
      <c r="D147" t="s">
        <v>88</v>
      </c>
      <c r="E147">
        <v>38.960393169597992</v>
      </c>
      <c r="F147">
        <v>-77.010591988442854</v>
      </c>
      <c r="G147">
        <v>0.87408092329969045</v>
      </c>
      <c r="H147">
        <v>87.52861521414242</v>
      </c>
      <c r="I147">
        <v>267.5388105705436</v>
      </c>
      <c r="J147">
        <v>87.538810570543603</v>
      </c>
      <c r="K147">
        <v>267.52861521414241</v>
      </c>
      <c r="L147" t="s">
        <v>570</v>
      </c>
    </row>
    <row r="148" spans="1:12">
      <c r="A148" t="s">
        <v>44</v>
      </c>
      <c r="B148">
        <v>38.959847905580027</v>
      </c>
      <c r="C148">
        <v>-77.026806510741665</v>
      </c>
      <c r="D148" t="s">
        <v>95</v>
      </c>
      <c r="E148">
        <v>39.448886999999999</v>
      </c>
      <c r="F148">
        <v>-77.627617999999998</v>
      </c>
      <c r="G148">
        <v>46.668472387092237</v>
      </c>
      <c r="H148">
        <v>316.4825118226305</v>
      </c>
      <c r="I148">
        <v>136.10274030078611</v>
      </c>
      <c r="J148">
        <v>316.10274030078608</v>
      </c>
      <c r="K148">
        <v>136.4825118226305</v>
      </c>
      <c r="L148" t="s">
        <v>521</v>
      </c>
    </row>
    <row r="149" spans="1:12">
      <c r="A149" t="s">
        <v>88</v>
      </c>
      <c r="B149">
        <v>38.960393169597992</v>
      </c>
      <c r="C149">
        <v>-77.010591988442854</v>
      </c>
      <c r="D149" t="s">
        <v>150</v>
      </c>
      <c r="E149">
        <v>38.926245969493429</v>
      </c>
      <c r="F149">
        <v>-76.951888012920421</v>
      </c>
      <c r="G149">
        <v>3.9432390816311598</v>
      </c>
      <c r="H149">
        <v>126.66223553458664</v>
      </c>
      <c r="I149">
        <v>306.69913399736402</v>
      </c>
      <c r="J149">
        <v>126.69913399736402</v>
      </c>
      <c r="K149">
        <v>306.66223553458667</v>
      </c>
      <c r="L149" t="s">
        <v>524</v>
      </c>
    </row>
    <row r="150" spans="1:12">
      <c r="A150" t="s">
        <v>90</v>
      </c>
      <c r="B150">
        <v>38.876142130269038</v>
      </c>
      <c r="C150">
        <v>-77.112656342468085</v>
      </c>
      <c r="D150" t="s">
        <v>160</v>
      </c>
      <c r="E150">
        <v>38.870800749819253</v>
      </c>
      <c r="F150">
        <v>-77.144343160781318</v>
      </c>
      <c r="G150">
        <v>1.7479194337172437</v>
      </c>
      <c r="H150">
        <v>257.84108330938022</v>
      </c>
      <c r="I150">
        <v>77.821196577734469</v>
      </c>
      <c r="J150">
        <v>257.82119657773444</v>
      </c>
      <c r="K150">
        <v>77.841083309380224</v>
      </c>
      <c r="L150" t="s">
        <v>252</v>
      </c>
    </row>
    <row r="151" spans="1:12">
      <c r="A151" t="s">
        <v>79</v>
      </c>
      <c r="B151">
        <v>38.922907194700002</v>
      </c>
      <c r="C151">
        <v>-77.035842979328919</v>
      </c>
      <c r="D151" t="s">
        <v>160</v>
      </c>
      <c r="E151">
        <v>38.870800749819253</v>
      </c>
      <c r="F151">
        <v>-77.144343160781318</v>
      </c>
      <c r="G151">
        <v>6.8648974104602134</v>
      </c>
      <c r="H151">
        <v>238.46127279823253</v>
      </c>
      <c r="I151">
        <v>58.393143309641005</v>
      </c>
      <c r="J151">
        <v>238.393143309641</v>
      </c>
      <c r="K151">
        <v>58.461272798232528</v>
      </c>
      <c r="L151" t="s">
        <v>566</v>
      </c>
    </row>
    <row r="152" spans="1:12">
      <c r="A152" t="s">
        <v>79</v>
      </c>
      <c r="B152">
        <v>38.922907194700002</v>
      </c>
      <c r="C152">
        <v>-77.035842979328919</v>
      </c>
      <c r="D152" t="s">
        <v>195</v>
      </c>
      <c r="E152">
        <v>38.906084139800029</v>
      </c>
      <c r="F152">
        <v>-76.957667324779109</v>
      </c>
      <c r="G152">
        <v>4.3699346586425181</v>
      </c>
      <c r="H152">
        <v>105.37551225684541</v>
      </c>
      <c r="I152">
        <v>285.42461907576137</v>
      </c>
      <c r="J152">
        <v>105.42461907576137</v>
      </c>
      <c r="K152">
        <v>285.37551225684541</v>
      </c>
      <c r="L152" t="s">
        <v>252</v>
      </c>
    </row>
    <row r="153" spans="1:12">
      <c r="A153" t="s">
        <v>79</v>
      </c>
      <c r="B153">
        <v>38.922907194700002</v>
      </c>
      <c r="C153">
        <v>-77.035842979328919</v>
      </c>
      <c r="D153" t="s">
        <v>256</v>
      </c>
      <c r="E153">
        <v>38.871476946892543</v>
      </c>
      <c r="F153">
        <v>-77.067752201956665</v>
      </c>
      <c r="G153">
        <v>3.9426799540404986</v>
      </c>
      <c r="H153">
        <v>205.87602961209478</v>
      </c>
      <c r="I153">
        <v>25.855993013784371</v>
      </c>
      <c r="J153">
        <v>205.85599301378437</v>
      </c>
      <c r="K153">
        <v>25.876029612094783</v>
      </c>
      <c r="L153" t="s">
        <v>524</v>
      </c>
    </row>
    <row r="154" spans="1:12">
      <c r="A154" t="s">
        <v>79</v>
      </c>
      <c r="B154">
        <v>38.922907194700002</v>
      </c>
      <c r="C154">
        <v>-77.035842979328919</v>
      </c>
      <c r="D154" t="s">
        <v>31</v>
      </c>
      <c r="E154">
        <v>38.938415626440083</v>
      </c>
      <c r="F154">
        <v>-77.010186601521028</v>
      </c>
      <c r="G154">
        <v>1.7479571717691347</v>
      </c>
      <c r="H154">
        <v>52.256135388461402</v>
      </c>
      <c r="I154">
        <v>232.27225732906038</v>
      </c>
      <c r="J154">
        <v>52.27225732906038</v>
      </c>
      <c r="K154">
        <v>232.25613538846142</v>
      </c>
      <c r="L154" t="s">
        <v>252</v>
      </c>
    </row>
    <row r="155" spans="1:12">
      <c r="A155" t="s">
        <v>193</v>
      </c>
      <c r="B155">
        <v>38.967911031638792</v>
      </c>
      <c r="C155">
        <v>-77.068345449756862</v>
      </c>
      <c r="D155" t="s">
        <v>27</v>
      </c>
      <c r="E155">
        <v>38.874515971394558</v>
      </c>
      <c r="F155">
        <v>-77.146392815978004</v>
      </c>
      <c r="G155">
        <v>7.6937352712190794</v>
      </c>
      <c r="H155">
        <v>213.16149552895558</v>
      </c>
      <c r="I155">
        <v>33.112462159999012</v>
      </c>
      <c r="J155">
        <v>213.11246215999901</v>
      </c>
      <c r="K155">
        <v>33.161495528955584</v>
      </c>
      <c r="L155" t="s">
        <v>514</v>
      </c>
    </row>
    <row r="156" spans="1:12">
      <c r="A156" t="s">
        <v>60</v>
      </c>
      <c r="B156">
        <v>38.953994890572183</v>
      </c>
      <c r="C156">
        <v>-77.077629631633798</v>
      </c>
      <c r="D156" t="s">
        <v>189</v>
      </c>
      <c r="E156">
        <v>38.847398855787837</v>
      </c>
      <c r="F156">
        <v>-77.059730973390245</v>
      </c>
      <c r="G156">
        <v>7.4160863375972879</v>
      </c>
      <c r="H156">
        <v>172.51942727847717</v>
      </c>
      <c r="I156">
        <v>352.53066714898745</v>
      </c>
      <c r="J156">
        <v>172.5306671489875</v>
      </c>
      <c r="K156">
        <v>352.51942727847717</v>
      </c>
      <c r="L156" t="s">
        <v>131</v>
      </c>
    </row>
    <row r="157" spans="1:12">
      <c r="A157" t="s">
        <v>60</v>
      </c>
      <c r="B157">
        <v>38.953994890572183</v>
      </c>
      <c r="C157">
        <v>-77.077629631633798</v>
      </c>
      <c r="D157" t="s">
        <v>64</v>
      </c>
      <c r="E157">
        <v>38.855138000000018</v>
      </c>
      <c r="F157">
        <v>-77.023560400000008</v>
      </c>
      <c r="G157">
        <v>7.4158508064078115</v>
      </c>
      <c r="H157">
        <v>156.84282267964952</v>
      </c>
      <c r="I157">
        <v>336.87677952744184</v>
      </c>
      <c r="J157">
        <v>156.87677952744184</v>
      </c>
      <c r="K157">
        <v>336.84282267964954</v>
      </c>
      <c r="L157" t="s">
        <v>131</v>
      </c>
    </row>
    <row r="158" spans="1:12">
      <c r="A158" t="s">
        <v>58</v>
      </c>
      <c r="B158">
        <v>38.958786981015983</v>
      </c>
      <c r="C158">
        <v>-77.051421167473492</v>
      </c>
      <c r="D158" t="s">
        <v>31</v>
      </c>
      <c r="E158">
        <v>38.938415626440083</v>
      </c>
      <c r="F158">
        <v>-77.010186601521028</v>
      </c>
      <c r="G158">
        <v>2.628342199716915</v>
      </c>
      <c r="H158">
        <v>122.30715365496457</v>
      </c>
      <c r="I158">
        <v>302.33307465172328</v>
      </c>
      <c r="J158">
        <v>122.33307465172328</v>
      </c>
      <c r="K158">
        <v>302.30715365496457</v>
      </c>
      <c r="L158" t="s">
        <v>524</v>
      </c>
    </row>
    <row r="159" spans="1:12">
      <c r="A159" t="s">
        <v>92</v>
      </c>
      <c r="B159">
        <v>38.93536052674429</v>
      </c>
      <c r="C159">
        <v>-77.014386976386291</v>
      </c>
      <c r="D159" t="s">
        <v>21</v>
      </c>
      <c r="E159">
        <v>38.916815383206369</v>
      </c>
      <c r="F159">
        <v>-77.061201400915238</v>
      </c>
      <c r="G159">
        <v>2.828347552026488</v>
      </c>
      <c r="H159">
        <v>243.12336482013899</v>
      </c>
      <c r="I159">
        <v>63.09395050393519</v>
      </c>
      <c r="J159">
        <v>243.09395050393519</v>
      </c>
      <c r="K159">
        <v>63.123364820138988</v>
      </c>
      <c r="L159" t="s">
        <v>521</v>
      </c>
    </row>
    <row r="160" spans="1:12">
      <c r="A160" t="s">
        <v>46</v>
      </c>
      <c r="B160">
        <v>38.894079057995107</v>
      </c>
      <c r="C160">
        <v>-77.050685019751967</v>
      </c>
      <c r="D160" t="s">
        <v>114</v>
      </c>
      <c r="E160">
        <v>38.94812410619182</v>
      </c>
      <c r="F160">
        <v>-77.004844803322314</v>
      </c>
      <c r="G160">
        <v>4.4721766952943645</v>
      </c>
      <c r="H160">
        <v>33.513668214114716</v>
      </c>
      <c r="I160">
        <v>213.54246731753909</v>
      </c>
      <c r="J160">
        <v>33.542467317539092</v>
      </c>
      <c r="K160">
        <v>213.51366821411472</v>
      </c>
      <c r="L160" t="s">
        <v>523</v>
      </c>
    </row>
    <row r="161" spans="1:12">
      <c r="A161" t="s">
        <v>46</v>
      </c>
      <c r="B161">
        <v>38.894079057995107</v>
      </c>
      <c r="C161">
        <v>-77.050685019751967</v>
      </c>
      <c r="D161" t="s">
        <v>6</v>
      </c>
      <c r="E161">
        <v>38.849500020681234</v>
      </c>
      <c r="F161">
        <v>-77.004921790891075</v>
      </c>
      <c r="G161">
        <v>3.9428221708366533</v>
      </c>
      <c r="H161">
        <v>141.23864539685783</v>
      </c>
      <c r="I161">
        <v>321.26736547805223</v>
      </c>
      <c r="J161">
        <v>141.26736547805223</v>
      </c>
      <c r="K161">
        <v>321.23864539685781</v>
      </c>
      <c r="L161" t="s">
        <v>524</v>
      </c>
    </row>
    <row r="162" spans="1:12">
      <c r="A162" t="s">
        <v>46</v>
      </c>
      <c r="B162">
        <v>38.894079057995107</v>
      </c>
      <c r="C162">
        <v>-77.050685019751967</v>
      </c>
      <c r="D162" t="s">
        <v>117</v>
      </c>
      <c r="E162">
        <v>38.932037569820068</v>
      </c>
      <c r="F162">
        <v>-77.093677384943518</v>
      </c>
      <c r="G162">
        <v>3.4963530536300134</v>
      </c>
      <c r="H162">
        <v>318.50841853768372</v>
      </c>
      <c r="I162">
        <v>138.48141329347885</v>
      </c>
      <c r="J162">
        <v>318.48141329347885</v>
      </c>
      <c r="K162">
        <v>138.50841853768372</v>
      </c>
      <c r="L162" t="s">
        <v>252</v>
      </c>
    </row>
    <row r="163" spans="1:12">
      <c r="A163" t="s">
        <v>89</v>
      </c>
      <c r="B163">
        <v>38.911588839433009</v>
      </c>
      <c r="C163">
        <v>-76.993547550999835</v>
      </c>
      <c r="D163" t="s">
        <v>16</v>
      </c>
      <c r="E163">
        <v>38.912268638824223</v>
      </c>
      <c r="F163">
        <v>-77.124748759002642</v>
      </c>
      <c r="G163">
        <v>7.0710888470607554</v>
      </c>
      <c r="H163">
        <v>270.42117438390841</v>
      </c>
      <c r="I163">
        <v>90.338763593926416</v>
      </c>
      <c r="J163">
        <v>270.33876359392639</v>
      </c>
      <c r="K163">
        <v>90.421174383908408</v>
      </c>
      <c r="L163" t="s">
        <v>521</v>
      </c>
    </row>
    <row r="164" spans="1:12">
      <c r="A164" t="s">
        <v>59</v>
      </c>
      <c r="B164">
        <v>38.93508740486395</v>
      </c>
      <c r="C164">
        <v>-77.126419797285848</v>
      </c>
      <c r="D164" t="s">
        <v>31</v>
      </c>
      <c r="E164">
        <v>38.938415626440083</v>
      </c>
      <c r="F164">
        <v>-77.010186601521028</v>
      </c>
      <c r="G164">
        <v>6.2662749181056574</v>
      </c>
      <c r="H164">
        <v>87.863799396018194</v>
      </c>
      <c r="I164">
        <v>267.93684757198469</v>
      </c>
      <c r="J164">
        <v>87.936847571984686</v>
      </c>
      <c r="K164">
        <v>267.86379939601818</v>
      </c>
      <c r="L164" t="s">
        <v>571</v>
      </c>
    </row>
    <row r="165" spans="1:12">
      <c r="A165" t="s">
        <v>73</v>
      </c>
      <c r="B165">
        <v>38.891720559711821</v>
      </c>
      <c r="C165">
        <v>-76.899121357377226</v>
      </c>
      <c r="D165" t="s">
        <v>149</v>
      </c>
      <c r="E165">
        <v>38.957046438880887</v>
      </c>
      <c r="F165">
        <v>-76.991344852497164</v>
      </c>
      <c r="G165">
        <v>6.7082930848216735</v>
      </c>
      <c r="H165">
        <v>312.23058422318763</v>
      </c>
      <c r="I165">
        <v>132.17264071909932</v>
      </c>
      <c r="J165">
        <v>312.17264071909932</v>
      </c>
      <c r="K165">
        <v>132.23058422318763</v>
      </c>
      <c r="L165" t="s">
        <v>523</v>
      </c>
    </row>
    <row r="166" spans="1:12">
      <c r="A166" t="s">
        <v>55</v>
      </c>
      <c r="B166">
        <v>38.91261730408393</v>
      </c>
      <c r="C166">
        <v>-76.957538798719796</v>
      </c>
      <c r="D166" t="s">
        <v>163</v>
      </c>
      <c r="E166">
        <v>38.889725240473808</v>
      </c>
      <c r="F166">
        <v>-76.91344596466341</v>
      </c>
      <c r="G166">
        <v>2.8534611861810069</v>
      </c>
      <c r="H166">
        <v>123.58683125509592</v>
      </c>
      <c r="I166">
        <v>303.6145206288549</v>
      </c>
      <c r="J166">
        <v>123.6145206288549</v>
      </c>
      <c r="K166">
        <v>303.58683125509594</v>
      </c>
      <c r="L166" t="s">
        <v>516</v>
      </c>
    </row>
    <row r="167" spans="1:12">
      <c r="A167" t="s">
        <v>55</v>
      </c>
      <c r="B167">
        <v>38.91261730408393</v>
      </c>
      <c r="C167">
        <v>-76.957538798719796</v>
      </c>
      <c r="D167" t="s">
        <v>19</v>
      </c>
      <c r="E167">
        <v>38.88120136333437</v>
      </c>
      <c r="F167">
        <v>-77.072631056499674</v>
      </c>
      <c r="G167">
        <v>6.5716614849974802</v>
      </c>
      <c r="H167">
        <v>250.78175467640793</v>
      </c>
      <c r="I167">
        <v>70.709485804502435</v>
      </c>
      <c r="J167">
        <v>250.70948580450244</v>
      </c>
      <c r="K167">
        <v>70.7817546764079</v>
      </c>
      <c r="L167" t="s">
        <v>524</v>
      </c>
    </row>
    <row r="168" spans="1:12">
      <c r="A168" t="s">
        <v>55</v>
      </c>
      <c r="B168">
        <v>38.91261730408393</v>
      </c>
      <c r="C168">
        <v>-76.957538798719796</v>
      </c>
      <c r="D168" t="s">
        <v>27</v>
      </c>
      <c r="E168">
        <v>38.874515971394558</v>
      </c>
      <c r="F168">
        <v>-77.146392815978004</v>
      </c>
      <c r="G168">
        <v>10.514467200013675</v>
      </c>
      <c r="H168">
        <v>255.58384944729829</v>
      </c>
      <c r="I168">
        <v>75.465272532820279</v>
      </c>
      <c r="J168">
        <v>255.46527253282028</v>
      </c>
      <c r="K168">
        <v>75.583849447298292</v>
      </c>
      <c r="L168" t="s">
        <v>524</v>
      </c>
    </row>
    <row r="169" spans="1:12">
      <c r="A169" t="s">
        <v>80</v>
      </c>
      <c r="B169">
        <v>38.930170515981033</v>
      </c>
      <c r="C169">
        <v>-77.07230698965536</v>
      </c>
      <c r="D169" t="s">
        <v>190</v>
      </c>
      <c r="E169">
        <v>38.905376415694072</v>
      </c>
      <c r="F169">
        <v>-77.021330730155185</v>
      </c>
      <c r="G169">
        <v>3.2359906141725077</v>
      </c>
      <c r="H169">
        <v>121.89017039238729</v>
      </c>
      <c r="I169">
        <v>301.92219390711494</v>
      </c>
      <c r="J169">
        <v>121.92219390711494</v>
      </c>
      <c r="K169">
        <v>301.89017039238729</v>
      </c>
      <c r="L169" t="s">
        <v>120</v>
      </c>
    </row>
    <row r="170" spans="1:12">
      <c r="A170" t="s">
        <v>80</v>
      </c>
      <c r="B170">
        <v>38.930170515981033</v>
      </c>
      <c r="C170">
        <v>-77.07230698965536</v>
      </c>
      <c r="D170" t="s">
        <v>70</v>
      </c>
      <c r="E170">
        <v>38.91858289999999</v>
      </c>
      <c r="F170">
        <v>-76.941921800000017</v>
      </c>
      <c r="G170">
        <v>7.0710512456919687</v>
      </c>
      <c r="H170">
        <v>96.44972933967594</v>
      </c>
      <c r="I170">
        <v>276.53164960792276</v>
      </c>
      <c r="J170">
        <v>96.531649607922759</v>
      </c>
      <c r="K170">
        <v>276.44972933967597</v>
      </c>
      <c r="L170" t="s">
        <v>521</v>
      </c>
    </row>
    <row r="171" spans="1:12">
      <c r="A171" t="s">
        <v>41</v>
      </c>
      <c r="B171">
        <v>38.94312493001874</v>
      </c>
      <c r="C171">
        <v>-77.019266706492502</v>
      </c>
      <c r="D171" t="s">
        <v>10</v>
      </c>
      <c r="E171">
        <v>38.886870293837752</v>
      </c>
      <c r="F171">
        <v>-76.9299762903957</v>
      </c>
      <c r="G171">
        <v>6.1817059042147013</v>
      </c>
      <c r="H171">
        <v>128.85536393636337</v>
      </c>
      <c r="I171">
        <v>308.91145322028331</v>
      </c>
      <c r="J171">
        <v>128.91145322028331</v>
      </c>
      <c r="K171">
        <v>308.85536393636335</v>
      </c>
      <c r="L171" t="s">
        <v>516</v>
      </c>
    </row>
    <row r="172" spans="1:12">
      <c r="A172" t="s">
        <v>114</v>
      </c>
      <c r="B172">
        <v>38.94812410619182</v>
      </c>
      <c r="C172">
        <v>-77.004844803322314</v>
      </c>
      <c r="D172" t="s">
        <v>20</v>
      </c>
      <c r="E172">
        <v>38.915605867544031</v>
      </c>
      <c r="F172">
        <v>-77.078883572114037</v>
      </c>
      <c r="G172">
        <v>4.5765403556374942</v>
      </c>
      <c r="H172">
        <v>240.67354774092308</v>
      </c>
      <c r="I172">
        <v>60.627022085274703</v>
      </c>
      <c r="J172">
        <v>240.62702208527469</v>
      </c>
      <c r="K172">
        <v>60.673547740923084</v>
      </c>
      <c r="L172" t="s">
        <v>566</v>
      </c>
    </row>
    <row r="173" spans="1:12">
      <c r="A173" t="s">
        <v>189</v>
      </c>
      <c r="B173">
        <v>38.847398855787837</v>
      </c>
      <c r="C173">
        <v>-77.059730973390245</v>
      </c>
      <c r="D173" t="s">
        <v>117</v>
      </c>
      <c r="E173">
        <v>38.932037569820068</v>
      </c>
      <c r="F173">
        <v>-77.093677384943518</v>
      </c>
      <c r="G173">
        <v>6.118523759308057</v>
      </c>
      <c r="H173">
        <v>342.60689073795174</v>
      </c>
      <c r="I173">
        <v>162.58557838052974</v>
      </c>
      <c r="J173">
        <v>342.58557838052974</v>
      </c>
      <c r="K173">
        <v>162.60689073795174</v>
      </c>
      <c r="L173" t="s">
        <v>252</v>
      </c>
    </row>
    <row r="174" spans="1:12">
      <c r="A174" t="s">
        <v>129</v>
      </c>
      <c r="B174">
        <v>39.010042682733477</v>
      </c>
      <c r="C174">
        <v>-77.042440353879812</v>
      </c>
      <c r="D174" t="s">
        <v>168</v>
      </c>
      <c r="E174">
        <v>38.904077195910197</v>
      </c>
      <c r="F174">
        <v>-77.081655757436437</v>
      </c>
      <c r="G174">
        <v>7.6086725185411392</v>
      </c>
      <c r="H174">
        <v>196.12904388933316</v>
      </c>
      <c r="I174">
        <v>16.104387672174028</v>
      </c>
      <c r="J174">
        <v>196.10438767217403</v>
      </c>
      <c r="K174">
        <v>16.129043889333161</v>
      </c>
      <c r="L174" t="s">
        <v>516</v>
      </c>
    </row>
    <row r="175" spans="1:12">
      <c r="A175" t="s">
        <v>129</v>
      </c>
      <c r="B175">
        <v>39.010042682733477</v>
      </c>
      <c r="C175">
        <v>-77.042440353879812</v>
      </c>
      <c r="D175" t="s">
        <v>19</v>
      </c>
      <c r="E175">
        <v>38.88120136333437</v>
      </c>
      <c r="F175">
        <v>-77.072631056499674</v>
      </c>
      <c r="G175">
        <v>9.0351987364383</v>
      </c>
      <c r="H175">
        <v>190.379166213644</v>
      </c>
      <c r="I175">
        <v>10.36018885286876</v>
      </c>
      <c r="J175">
        <v>190.36018885286876</v>
      </c>
      <c r="K175">
        <v>10.379166213643998</v>
      </c>
      <c r="L175" t="s">
        <v>516</v>
      </c>
    </row>
    <row r="176" spans="1:12">
      <c r="A176" t="s">
        <v>128</v>
      </c>
      <c r="B176">
        <v>39.005339472519637</v>
      </c>
      <c r="C176">
        <v>-77.038062048737274</v>
      </c>
      <c r="D176" t="s">
        <v>34</v>
      </c>
      <c r="E176">
        <v>38.903614986565351</v>
      </c>
      <c r="F176">
        <v>-77.112593044573373</v>
      </c>
      <c r="G176">
        <v>8.0842171252423451</v>
      </c>
      <c r="H176">
        <v>209.79660796774547</v>
      </c>
      <c r="I176">
        <v>29.749750104464766</v>
      </c>
      <c r="J176">
        <v>209.74975010446477</v>
      </c>
      <c r="K176">
        <v>29.796607967745445</v>
      </c>
      <c r="L176" t="s">
        <v>516</v>
      </c>
    </row>
    <row r="177" spans="1:12">
      <c r="A177" t="s">
        <v>68</v>
      </c>
      <c r="B177">
        <v>38.934493099999983</v>
      </c>
      <c r="C177">
        <v>-77.119915899999995</v>
      </c>
      <c r="D177" t="s">
        <v>17</v>
      </c>
      <c r="E177">
        <v>38.939237314230454</v>
      </c>
      <c r="F177">
        <v>-77.088340704127447</v>
      </c>
      <c r="G177">
        <v>1.732305576969255</v>
      </c>
      <c r="H177">
        <v>79.10052318396545</v>
      </c>
      <c r="I177">
        <v>259.12036704758498</v>
      </c>
      <c r="J177">
        <v>79.120367047584978</v>
      </c>
      <c r="K177">
        <v>259.10052318396544</v>
      </c>
      <c r="L177" t="s">
        <v>556</v>
      </c>
    </row>
    <row r="178" spans="1:12">
      <c r="A178" t="s">
        <v>68</v>
      </c>
      <c r="B178">
        <v>38.934493099999983</v>
      </c>
      <c r="C178">
        <v>-77.119915899999995</v>
      </c>
      <c r="D178" t="s">
        <v>15</v>
      </c>
      <c r="E178">
        <v>38.83334538875507</v>
      </c>
      <c r="F178">
        <v>-77.176201826008182</v>
      </c>
      <c r="G178">
        <v>7.608590144986608</v>
      </c>
      <c r="H178">
        <v>203.5237217282446</v>
      </c>
      <c r="I178">
        <v>23.488388526069429</v>
      </c>
      <c r="J178">
        <v>203.48838852606943</v>
      </c>
      <c r="K178">
        <v>23.523721728244595</v>
      </c>
      <c r="L178" t="s">
        <v>516</v>
      </c>
    </row>
    <row r="179" spans="1:12">
      <c r="A179" t="s">
        <v>68</v>
      </c>
      <c r="B179">
        <v>38.934493099999983</v>
      </c>
      <c r="C179">
        <v>-77.119915899999995</v>
      </c>
      <c r="D179" t="s">
        <v>124</v>
      </c>
      <c r="E179">
        <v>38.775506878609448</v>
      </c>
      <c r="F179">
        <v>-78.204061852272687</v>
      </c>
      <c r="G179">
        <v>59.494532434715822</v>
      </c>
      <c r="H179">
        <v>259.71813527647265</v>
      </c>
      <c r="I179">
        <v>79.037981529557896</v>
      </c>
      <c r="J179">
        <v>259.0379815295579</v>
      </c>
      <c r="K179">
        <v>79.718135276472651</v>
      </c>
      <c r="L179" t="s">
        <v>566</v>
      </c>
    </row>
    <row r="180" spans="1:12">
      <c r="A180" t="s">
        <v>81</v>
      </c>
      <c r="B180">
        <v>38.986822265435038</v>
      </c>
      <c r="C180">
        <v>-77.05231894611552</v>
      </c>
      <c r="D180" t="s">
        <v>256</v>
      </c>
      <c r="E180">
        <v>38.871476946892543</v>
      </c>
      <c r="F180">
        <v>-77.067752201956665</v>
      </c>
      <c r="G180">
        <v>7.9999686888544774</v>
      </c>
      <c r="H180">
        <v>185.97123170326171</v>
      </c>
      <c r="I180">
        <v>5.9615340744401237</v>
      </c>
      <c r="J180">
        <v>185.96153407444012</v>
      </c>
      <c r="K180">
        <v>5.9712317032617079</v>
      </c>
      <c r="L180" t="s">
        <v>525</v>
      </c>
    </row>
    <row r="181" spans="1:12">
      <c r="A181" t="s">
        <v>122</v>
      </c>
      <c r="B181">
        <v>38.899509095632219</v>
      </c>
      <c r="C181">
        <v>-77.057553372632484</v>
      </c>
      <c r="D181" t="s">
        <v>12</v>
      </c>
      <c r="E181">
        <v>38.917382469465053</v>
      </c>
      <c r="F181">
        <v>-77.070410578532105</v>
      </c>
      <c r="G181">
        <v>1.4143120145301808</v>
      </c>
      <c r="H181">
        <v>330.66601730232378</v>
      </c>
      <c r="I181">
        <v>150.65794197700649</v>
      </c>
      <c r="J181">
        <v>330.65794197700649</v>
      </c>
      <c r="K181">
        <v>150.66601730232378</v>
      </c>
      <c r="L181" t="s">
        <v>541</v>
      </c>
    </row>
    <row r="182" spans="1:12">
      <c r="A182" t="s">
        <v>168</v>
      </c>
      <c r="B182">
        <v>38.904077195910197</v>
      </c>
      <c r="C182">
        <v>-77.081655757436437</v>
      </c>
      <c r="D182" t="s">
        <v>20</v>
      </c>
      <c r="E182">
        <v>38.915605867544031</v>
      </c>
      <c r="F182">
        <v>-77.078883572114037</v>
      </c>
      <c r="G182">
        <v>0.8091696878408271</v>
      </c>
      <c r="H182">
        <v>10.639485168041373</v>
      </c>
      <c r="I182">
        <v>190.64122636857246</v>
      </c>
      <c r="J182">
        <v>10.641226368572461</v>
      </c>
      <c r="K182">
        <v>190.63948516804138</v>
      </c>
      <c r="L182" t="s">
        <v>549</v>
      </c>
    </row>
    <row r="183" spans="1:12">
      <c r="A183" t="s">
        <v>152</v>
      </c>
      <c r="B183">
        <v>38.791643602585658</v>
      </c>
      <c r="C183">
        <v>-77.039028157210851</v>
      </c>
      <c r="D183" t="s">
        <v>163</v>
      </c>
      <c r="E183">
        <v>38.889725240473808</v>
      </c>
      <c r="F183">
        <v>-76.91344596466341</v>
      </c>
      <c r="G183">
        <v>9.574600265054821</v>
      </c>
      <c r="H183">
        <v>44.999562312469081</v>
      </c>
      <c r="I183">
        <v>225.07832211718591</v>
      </c>
      <c r="J183">
        <v>45.078322117185905</v>
      </c>
      <c r="K183">
        <v>224.9995623124691</v>
      </c>
      <c r="L183" t="s">
        <v>535</v>
      </c>
    </row>
    <row r="184" spans="1:12">
      <c r="A184" t="s">
        <v>149</v>
      </c>
      <c r="B184">
        <v>38.957046438880887</v>
      </c>
      <c r="C184">
        <v>-76.991344852497164</v>
      </c>
      <c r="D184" t="s">
        <v>29</v>
      </c>
      <c r="E184">
        <v>38.931322965354973</v>
      </c>
      <c r="F184">
        <v>-76.917209455745677</v>
      </c>
      <c r="G184">
        <v>4.3700918711835381</v>
      </c>
      <c r="H184">
        <v>113.93305391921604</v>
      </c>
      <c r="I184">
        <v>293.97965269376834</v>
      </c>
      <c r="J184">
        <v>113.97965269376834</v>
      </c>
      <c r="K184">
        <v>293.93305391921604</v>
      </c>
      <c r="L184" t="s">
        <v>252</v>
      </c>
    </row>
    <row r="185" spans="1:12">
      <c r="A185" t="s">
        <v>147</v>
      </c>
      <c r="B185">
        <v>38.95177142459147</v>
      </c>
      <c r="C185">
        <v>-76.984729407049613</v>
      </c>
      <c r="D185" t="s">
        <v>13</v>
      </c>
      <c r="E185">
        <v>38.928234461306907</v>
      </c>
      <c r="F185">
        <v>-77.06004232078331</v>
      </c>
      <c r="G185">
        <v>4.3701013633787644</v>
      </c>
      <c r="H185">
        <v>248.21391660850554</v>
      </c>
      <c r="I185">
        <v>68.166581965568241</v>
      </c>
      <c r="J185">
        <v>248.16658196556824</v>
      </c>
      <c r="K185">
        <v>68.213916608505542</v>
      </c>
      <c r="L185" t="s">
        <v>252</v>
      </c>
    </row>
    <row r="186" spans="1:12">
      <c r="A186" t="s">
        <v>64</v>
      </c>
      <c r="B186">
        <v>38.855138000000018</v>
      </c>
      <c r="C186">
        <v>-77.023560400000008</v>
      </c>
      <c r="D186" t="s">
        <v>178</v>
      </c>
      <c r="E186">
        <v>38.77367519361357</v>
      </c>
      <c r="F186">
        <v>-76.972158414322777</v>
      </c>
      <c r="G186">
        <v>6.2666983694022607</v>
      </c>
      <c r="H186">
        <v>153.70996831203473</v>
      </c>
      <c r="I186">
        <v>333.74218707330175</v>
      </c>
      <c r="J186">
        <v>153.74218707330169</v>
      </c>
      <c r="K186">
        <v>333.70996831203473</v>
      </c>
      <c r="L186" t="s">
        <v>571</v>
      </c>
    </row>
    <row r="187" spans="1:12">
      <c r="A187" t="s">
        <v>13</v>
      </c>
      <c r="B187">
        <v>38.928234461306907</v>
      </c>
      <c r="C187">
        <v>-77.06004232078331</v>
      </c>
      <c r="D187" t="s">
        <v>12</v>
      </c>
      <c r="E187">
        <v>38.917382469465053</v>
      </c>
      <c r="F187">
        <v>-77.070410578532105</v>
      </c>
      <c r="G187">
        <v>0.93408655833557086</v>
      </c>
      <c r="H187">
        <v>216.73892064362326</v>
      </c>
      <c r="I187">
        <v>36.732406549120299</v>
      </c>
      <c r="J187">
        <v>216.7324065491203</v>
      </c>
      <c r="K187">
        <v>36.73892064362326</v>
      </c>
      <c r="L187" t="s">
        <v>569</v>
      </c>
    </row>
    <row r="188" spans="1:12">
      <c r="A188" t="s">
        <v>13</v>
      </c>
      <c r="B188">
        <v>38.928234461306907</v>
      </c>
      <c r="C188">
        <v>-77.06004232078331</v>
      </c>
      <c r="D188" t="s">
        <v>137</v>
      </c>
      <c r="E188">
        <v>38.90117456916591</v>
      </c>
      <c r="F188">
        <v>-77.090113994513501</v>
      </c>
      <c r="G188">
        <v>2.4719699311026955</v>
      </c>
      <c r="H188">
        <v>220.97432004177608</v>
      </c>
      <c r="I188">
        <v>40.955430135205546</v>
      </c>
      <c r="J188">
        <v>220.95543013520555</v>
      </c>
      <c r="K188">
        <v>40.974320041776082</v>
      </c>
      <c r="L188" t="s">
        <v>131</v>
      </c>
    </row>
    <row r="189" spans="1:12">
      <c r="A189" t="s">
        <v>4</v>
      </c>
      <c r="B189">
        <v>38.905331247930313</v>
      </c>
      <c r="C189">
        <v>-77.10094955658019</v>
      </c>
      <c r="D189" t="s">
        <v>153</v>
      </c>
      <c r="E189">
        <v>38.945071482174598</v>
      </c>
      <c r="F189">
        <v>-77.038834596689199</v>
      </c>
      <c r="G189">
        <v>4.3263332417355258</v>
      </c>
      <c r="H189">
        <v>50.661633188040753</v>
      </c>
      <c r="I189">
        <v>230.70066035151444</v>
      </c>
      <c r="J189">
        <v>50.700660351514443</v>
      </c>
      <c r="K189">
        <v>230.66163318804075</v>
      </c>
      <c r="L189" t="s">
        <v>131</v>
      </c>
    </row>
    <row r="190" spans="1:12">
      <c r="A190" t="s">
        <v>49</v>
      </c>
      <c r="B190">
        <v>38.915519421202269</v>
      </c>
      <c r="C190">
        <v>-77.089236402778027</v>
      </c>
      <c r="D190" t="s">
        <v>18</v>
      </c>
      <c r="E190">
        <v>38.914489864708663</v>
      </c>
      <c r="F190">
        <v>-77.049531913503088</v>
      </c>
      <c r="G190">
        <v>2.1409124023733077</v>
      </c>
      <c r="H190">
        <v>91.888528512576286</v>
      </c>
      <c r="I190">
        <v>271.91346955685515</v>
      </c>
      <c r="J190">
        <v>91.913469556855148</v>
      </c>
      <c r="K190">
        <v>271.88852851257627</v>
      </c>
      <c r="L190" t="s">
        <v>534</v>
      </c>
    </row>
    <row r="191" spans="1:12">
      <c r="A191" t="s">
        <v>157</v>
      </c>
      <c r="B191">
        <v>38.910082172410689</v>
      </c>
      <c r="C191">
        <v>-76.978787828466437</v>
      </c>
      <c r="D191" t="s">
        <v>91</v>
      </c>
      <c r="E191">
        <v>38.901282372758438</v>
      </c>
      <c r="F191">
        <v>-77.158549156334814</v>
      </c>
      <c r="G191">
        <v>9.7078681311662045</v>
      </c>
      <c r="H191">
        <v>266.47150657562105</v>
      </c>
      <c r="I191">
        <v>86.358609172140262</v>
      </c>
      <c r="J191">
        <v>266.35860917214029</v>
      </c>
      <c r="K191">
        <v>86.471506575621049</v>
      </c>
      <c r="L191" t="s">
        <v>120</v>
      </c>
    </row>
    <row r="192" spans="1:12">
      <c r="A192" t="s">
        <v>3</v>
      </c>
      <c r="B192">
        <v>38.920055892874778</v>
      </c>
      <c r="C192">
        <v>-76.94844865915428</v>
      </c>
      <c r="D192" t="s">
        <v>29</v>
      </c>
      <c r="E192">
        <v>38.931322965354973</v>
      </c>
      <c r="F192">
        <v>-76.917209455745677</v>
      </c>
      <c r="G192">
        <v>1.8540427309570551</v>
      </c>
      <c r="H192">
        <v>65.206145738896112</v>
      </c>
      <c r="I192">
        <v>245.22577370352207</v>
      </c>
      <c r="J192">
        <v>65.225773703522066</v>
      </c>
      <c r="K192">
        <v>245.20614573889611</v>
      </c>
      <c r="L192" t="s">
        <v>131</v>
      </c>
    </row>
    <row r="193" spans="1:12">
      <c r="A193" t="s">
        <v>111</v>
      </c>
      <c r="B193">
        <v>38.946262788060167</v>
      </c>
      <c r="C193">
        <v>-77.013912196621391</v>
      </c>
      <c r="D193" t="s">
        <v>31</v>
      </c>
      <c r="E193">
        <v>38.938415626440083</v>
      </c>
      <c r="F193">
        <v>-77.010186601521028</v>
      </c>
      <c r="G193">
        <v>0.57731548028913504</v>
      </c>
      <c r="H193">
        <v>159.65548931427975</v>
      </c>
      <c r="I193">
        <v>339.65783099228804</v>
      </c>
      <c r="J193">
        <v>159.65783099228804</v>
      </c>
      <c r="K193">
        <v>339.65548931427975</v>
      </c>
      <c r="L193" t="s">
        <v>532</v>
      </c>
    </row>
    <row r="194" spans="1:12">
      <c r="A194" t="s">
        <v>26</v>
      </c>
      <c r="B194">
        <v>38.920660773128958</v>
      </c>
      <c r="C194">
        <v>-77.079750995205373</v>
      </c>
      <c r="D194" t="s">
        <v>31</v>
      </c>
      <c r="E194">
        <v>38.938415626440083</v>
      </c>
      <c r="F194">
        <v>-77.010186601521028</v>
      </c>
      <c r="G194">
        <v>3.9431890324194647</v>
      </c>
      <c r="H194">
        <v>71.882864172535889</v>
      </c>
      <c r="I194">
        <v>251.92657595012827</v>
      </c>
      <c r="J194">
        <v>71.926575950128267</v>
      </c>
      <c r="K194">
        <v>251.8828641725359</v>
      </c>
      <c r="L194" t="s">
        <v>524</v>
      </c>
    </row>
    <row r="195" spans="1:12">
      <c r="A195" t="s">
        <v>9</v>
      </c>
      <c r="B195">
        <v>38.920336486884452</v>
      </c>
      <c r="C195">
        <v>-77.305560255203972</v>
      </c>
      <c r="D195" t="s">
        <v>119</v>
      </c>
      <c r="E195">
        <v>38.918835090612639</v>
      </c>
      <c r="F195">
        <v>-77.007394020653479</v>
      </c>
      <c r="G195">
        <v>16.067916603391694</v>
      </c>
      <c r="H195">
        <v>90.275649671783896</v>
      </c>
      <c r="I195">
        <v>270.46296661986605</v>
      </c>
      <c r="J195">
        <v>90.462966619866052</v>
      </c>
      <c r="K195">
        <v>270.27564967178387</v>
      </c>
      <c r="L195" t="s">
        <v>131</v>
      </c>
    </row>
    <row r="196" spans="1:12">
      <c r="A196" t="s">
        <v>50</v>
      </c>
      <c r="B196">
        <v>38.825547076803183</v>
      </c>
      <c r="C196">
        <v>-77.014661035126181</v>
      </c>
      <c r="D196" t="s">
        <v>93</v>
      </c>
      <c r="E196">
        <v>39.262423017945139</v>
      </c>
      <c r="F196">
        <v>-77.393301271532664</v>
      </c>
      <c r="G196">
        <v>36.374325087068975</v>
      </c>
      <c r="H196">
        <v>326.06552791862163</v>
      </c>
      <c r="I196">
        <v>145.82701380573866</v>
      </c>
      <c r="J196">
        <v>325.82701380573866</v>
      </c>
      <c r="K196">
        <v>146.06552791862163</v>
      </c>
      <c r="L196" t="s">
        <v>538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4588-387E-40F3-9A9D-D0A6DB720F29}">
  <dimension ref="A1:L17"/>
  <sheetViews>
    <sheetView workbookViewId="0">
      <selection activeCell="A19" sqref="A19"/>
    </sheetView>
  </sheetViews>
  <sheetFormatPr defaultRowHeight="13.8"/>
  <cols>
    <col min="1" max="1" width="5.90234375" bestFit="1" customWidth="1"/>
    <col min="2" max="2" width="11.7109375" bestFit="1" customWidth="1"/>
    <col min="3" max="3" width="12.28515625" bestFit="1" customWidth="1"/>
    <col min="4" max="4" width="6.85546875" bestFit="1" customWidth="1"/>
    <col min="5" max="5" width="11.7109375" bestFit="1" customWidth="1"/>
    <col min="6" max="6" width="12.28515625" bestFit="1" customWidth="1"/>
    <col min="7" max="11" width="11.7109375" bestFit="1" customWidth="1"/>
    <col min="12" max="12" width="32.90234375" bestFit="1" customWidth="1"/>
  </cols>
  <sheetData>
    <row r="1" spans="1:1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0</v>
      </c>
      <c r="H1" t="s">
        <v>103</v>
      </c>
      <c r="I1" t="s">
        <v>104</v>
      </c>
      <c r="J1" t="s">
        <v>105</v>
      </c>
      <c r="K1" t="s">
        <v>106</v>
      </c>
      <c r="L1" t="s">
        <v>1</v>
      </c>
    </row>
    <row r="2" spans="1:12">
      <c r="A2" t="s">
        <v>84</v>
      </c>
      <c r="B2">
        <v>38.889800999999999</v>
      </c>
      <c r="C2">
        <v>-77.009226999999996</v>
      </c>
      <c r="D2" t="s">
        <v>140</v>
      </c>
      <c r="E2">
        <v>38.908639308729029</v>
      </c>
      <c r="F2">
        <v>-76.975468342699315</v>
      </c>
      <c r="G2">
        <v>2.2360631853907251</v>
      </c>
      <c r="H2">
        <v>54.45824125444345</v>
      </c>
      <c r="I2">
        <v>234.47944008717144</v>
      </c>
      <c r="J2">
        <v>54.47944008717144</v>
      </c>
      <c r="K2">
        <v>234.45824125444346</v>
      </c>
      <c r="L2" t="s">
        <v>520</v>
      </c>
    </row>
    <row r="3" spans="1:12">
      <c r="A3" t="s">
        <v>84</v>
      </c>
      <c r="B3">
        <v>38.889800999999999</v>
      </c>
      <c r="C3">
        <v>-77.009226999999996</v>
      </c>
      <c r="D3" t="s">
        <v>129</v>
      </c>
      <c r="E3">
        <v>39.010042682733477</v>
      </c>
      <c r="F3">
        <v>-77.042440353879812</v>
      </c>
      <c r="G3">
        <v>8.4851662147774825</v>
      </c>
      <c r="H3">
        <v>347.838665800662</v>
      </c>
      <c r="I3">
        <v>167.81778651601181</v>
      </c>
      <c r="J3">
        <v>347.81778651601178</v>
      </c>
      <c r="K3">
        <v>167.83866580066206</v>
      </c>
      <c r="L3" t="s">
        <v>521</v>
      </c>
    </row>
    <row r="4" spans="1:12">
      <c r="A4" t="s">
        <v>175</v>
      </c>
      <c r="B4">
        <v>38.890643961669717</v>
      </c>
      <c r="C4">
        <v>-77.012352075974064</v>
      </c>
      <c r="D4" t="s">
        <v>181</v>
      </c>
      <c r="E4">
        <v>38.889811160074281</v>
      </c>
      <c r="F4">
        <v>-77.010120176650872</v>
      </c>
      <c r="G4">
        <v>0.1333326600874532</v>
      </c>
      <c r="H4">
        <v>115.52115341185635</v>
      </c>
      <c r="I4">
        <v>295.52255466590134</v>
      </c>
      <c r="J4">
        <v>115.52255466590134</v>
      </c>
      <c r="K4">
        <v>295.52115341185635</v>
      </c>
      <c r="L4" t="s">
        <v>522</v>
      </c>
    </row>
    <row r="5" spans="1:12">
      <c r="A5" t="s">
        <v>46</v>
      </c>
      <c r="B5">
        <v>38.894079057995107</v>
      </c>
      <c r="C5">
        <v>-77.050685019751967</v>
      </c>
      <c r="D5" t="s">
        <v>114</v>
      </c>
      <c r="E5">
        <v>38.94812410619182</v>
      </c>
      <c r="F5">
        <v>-77.004844803322314</v>
      </c>
      <c r="G5">
        <v>4.4721766952943645</v>
      </c>
      <c r="H5">
        <v>33.513668214114716</v>
      </c>
      <c r="I5">
        <v>213.54246731753909</v>
      </c>
      <c r="J5">
        <v>33.542467317539092</v>
      </c>
      <c r="K5">
        <v>213.51366821411472</v>
      </c>
      <c r="L5" t="s">
        <v>523</v>
      </c>
    </row>
    <row r="6" spans="1:12">
      <c r="A6" t="s">
        <v>73</v>
      </c>
      <c r="B6">
        <v>38.891720559711821</v>
      </c>
      <c r="C6">
        <v>-76.899121357377226</v>
      </c>
      <c r="D6" t="s">
        <v>149</v>
      </c>
      <c r="E6">
        <v>38.957046438880887</v>
      </c>
      <c r="F6">
        <v>-76.991344852497164</v>
      </c>
      <c r="G6">
        <v>6.7082930848216735</v>
      </c>
      <c r="H6">
        <v>312.23058422318763</v>
      </c>
      <c r="I6">
        <v>132.17264071909932</v>
      </c>
      <c r="J6">
        <v>312.17264071909932</v>
      </c>
      <c r="K6">
        <v>132.23058422318763</v>
      </c>
      <c r="L6" t="s">
        <v>523</v>
      </c>
    </row>
    <row r="7" spans="1:12">
      <c r="A7" t="s">
        <v>55</v>
      </c>
      <c r="B7">
        <v>38.91261730408393</v>
      </c>
      <c r="C7">
        <v>-76.957538798719796</v>
      </c>
      <c r="D7" t="s">
        <v>19</v>
      </c>
      <c r="E7">
        <v>38.88120136333437</v>
      </c>
      <c r="F7">
        <v>-77.072631056499674</v>
      </c>
      <c r="G7">
        <v>6.5716614849974802</v>
      </c>
      <c r="H7">
        <v>250.78175467640793</v>
      </c>
      <c r="I7">
        <v>70.709485804502435</v>
      </c>
      <c r="J7">
        <v>250.70948580450244</v>
      </c>
      <c r="K7">
        <v>70.7817546764079</v>
      </c>
      <c r="L7" t="s">
        <v>524</v>
      </c>
    </row>
    <row r="8" spans="1:12">
      <c r="A8" t="s">
        <v>80</v>
      </c>
      <c r="B8">
        <v>38.930170515981033</v>
      </c>
      <c r="C8">
        <v>-77.07230698965536</v>
      </c>
      <c r="D8" t="s">
        <v>190</v>
      </c>
      <c r="E8">
        <v>38.905376415694072</v>
      </c>
      <c r="F8">
        <v>-77.021330730155185</v>
      </c>
      <c r="G8">
        <v>3.2359906141725077</v>
      </c>
      <c r="H8">
        <v>121.89017039238729</v>
      </c>
      <c r="I8">
        <v>301.92219390711494</v>
      </c>
      <c r="J8">
        <v>121.92219390711494</v>
      </c>
      <c r="K8">
        <v>301.89017039238729</v>
      </c>
      <c r="L8" t="s">
        <v>120</v>
      </c>
    </row>
    <row r="9" spans="1:12">
      <c r="A9" t="s">
        <v>3</v>
      </c>
      <c r="B9">
        <v>38.920055892874778</v>
      </c>
      <c r="C9">
        <v>-76.94844865915428</v>
      </c>
      <c r="D9" t="s">
        <v>29</v>
      </c>
      <c r="E9">
        <v>38.931322965354973</v>
      </c>
      <c r="F9">
        <v>-76.917209455745677</v>
      </c>
      <c r="G9">
        <v>1.8540427309570551</v>
      </c>
      <c r="H9">
        <v>65.206145738896112</v>
      </c>
      <c r="I9">
        <v>245.22577370352207</v>
      </c>
      <c r="J9">
        <v>65.225773703522066</v>
      </c>
      <c r="K9">
        <v>245.20614573889611</v>
      </c>
      <c r="L9" t="s">
        <v>131</v>
      </c>
    </row>
    <row r="10" spans="1:12">
      <c r="A10" t="s">
        <v>13</v>
      </c>
      <c r="B10">
        <v>38.928234461306907</v>
      </c>
      <c r="C10">
        <v>-77.06004232078331</v>
      </c>
      <c r="D10" t="s">
        <v>137</v>
      </c>
      <c r="E10">
        <v>38.90117456916591</v>
      </c>
      <c r="F10">
        <v>-77.090113994513501</v>
      </c>
      <c r="G10">
        <v>2.4719699311026955</v>
      </c>
      <c r="H10">
        <v>220.97432004177608</v>
      </c>
      <c r="I10">
        <v>40.955430135205546</v>
      </c>
      <c r="J10">
        <v>220.95543013520555</v>
      </c>
      <c r="K10">
        <v>40.974320041776082</v>
      </c>
      <c r="L10" t="s">
        <v>131</v>
      </c>
    </row>
    <row r="11" spans="1:12">
      <c r="A11" t="s">
        <v>72</v>
      </c>
      <c r="B11">
        <v>38.87062329503496</v>
      </c>
      <c r="C11">
        <v>-77.053228252003876</v>
      </c>
      <c r="D11" t="s">
        <v>53</v>
      </c>
      <c r="E11">
        <v>38.865733641110857</v>
      </c>
      <c r="F11">
        <v>-76.967852704156869</v>
      </c>
      <c r="G11">
        <v>4.6163756427927574</v>
      </c>
      <c r="H11">
        <v>94.163187765392593</v>
      </c>
      <c r="I11">
        <v>274.21676355150782</v>
      </c>
      <c r="J11">
        <v>94.216763551507825</v>
      </c>
      <c r="K11">
        <v>274.16318776539259</v>
      </c>
      <c r="L11" t="s">
        <v>514</v>
      </c>
    </row>
    <row r="12" spans="1:12">
      <c r="A12" t="s">
        <v>194</v>
      </c>
      <c r="B12">
        <v>38.868855109404457</v>
      </c>
      <c r="C12">
        <v>-77.0555808299749</v>
      </c>
      <c r="D12" t="s">
        <v>515</v>
      </c>
      <c r="E12">
        <v>38.889060714900133</v>
      </c>
      <c r="F12">
        <v>-77.049942698487811</v>
      </c>
      <c r="G12">
        <v>1.426558277284103</v>
      </c>
      <c r="H12">
        <v>12.302369966202995</v>
      </c>
      <c r="I12">
        <v>192.30590889285972</v>
      </c>
      <c r="J12">
        <v>12.305908892859748</v>
      </c>
      <c r="K12">
        <v>192.302369966203</v>
      </c>
      <c r="L12" t="s">
        <v>516</v>
      </c>
    </row>
    <row r="13" spans="1:12">
      <c r="A13" t="s">
        <v>81</v>
      </c>
      <c r="B13">
        <v>38.986822265435038</v>
      </c>
      <c r="C13">
        <v>-77.05231894611552</v>
      </c>
      <c r="D13" t="s">
        <v>256</v>
      </c>
      <c r="E13">
        <v>38.871476946892543</v>
      </c>
      <c r="F13">
        <v>-77.067752201956665</v>
      </c>
      <c r="G13">
        <v>7.9999686888544774</v>
      </c>
      <c r="H13">
        <v>185.97123170326171</v>
      </c>
      <c r="I13">
        <v>5.9615340744401237</v>
      </c>
      <c r="J13">
        <v>185.96153407444012</v>
      </c>
      <c r="K13">
        <v>5.9712317032617079</v>
      </c>
      <c r="L13" t="s">
        <v>525</v>
      </c>
    </row>
    <row r="14" spans="1:12">
      <c r="A14" t="s">
        <v>519</v>
      </c>
      <c r="B14">
        <v>38.896662426497493</v>
      </c>
      <c r="C14">
        <v>-77.036116957274672</v>
      </c>
      <c r="D14" t="s">
        <v>18</v>
      </c>
      <c r="E14">
        <v>38.914489864708663</v>
      </c>
      <c r="F14">
        <v>-77.049531913503088</v>
      </c>
      <c r="G14">
        <v>1.426562656770981</v>
      </c>
      <c r="H14">
        <v>329.55023848495409</v>
      </c>
      <c r="I14">
        <v>149.54181337188467</v>
      </c>
      <c r="J14">
        <v>329.5418133718847</v>
      </c>
      <c r="K14">
        <v>149.55023848495409</v>
      </c>
      <c r="L14" t="s">
        <v>516</v>
      </c>
    </row>
    <row r="15" spans="1:12">
      <c r="A15" t="s">
        <v>517</v>
      </c>
      <c r="B15">
        <v>38.897561000000003</v>
      </c>
      <c r="C15">
        <v>-77.036569</v>
      </c>
      <c r="D15" t="s">
        <v>518</v>
      </c>
      <c r="E15">
        <v>38.896096647287912</v>
      </c>
      <c r="F15">
        <v>-77.036568810607747</v>
      </c>
      <c r="G15">
        <v>0.10101192780429734</v>
      </c>
      <c r="H15">
        <v>179.99420907975292</v>
      </c>
      <c r="I15">
        <v>359.99420919867612</v>
      </c>
      <c r="J15">
        <v>179.99420919867612</v>
      </c>
      <c r="K15">
        <v>359.99420907975292</v>
      </c>
      <c r="L15" t="s">
        <v>275</v>
      </c>
    </row>
    <row r="16" spans="1:12">
      <c r="A16" t="s">
        <v>177</v>
      </c>
      <c r="B16">
        <v>38.895976636393023</v>
      </c>
      <c r="C16">
        <v>-77.034311337037963</v>
      </c>
      <c r="D16" t="s">
        <v>180</v>
      </c>
      <c r="E16">
        <v>38.888689784600743</v>
      </c>
      <c r="F16">
        <v>-77.005783238520763</v>
      </c>
      <c r="G16">
        <v>1.6179702168863581</v>
      </c>
      <c r="H16">
        <v>108.09051482290231</v>
      </c>
      <c r="I16">
        <v>288.10842644413867</v>
      </c>
      <c r="J16">
        <v>108.10842644413867</v>
      </c>
      <c r="K16">
        <v>288.09051482290232</v>
      </c>
      <c r="L16" t="s">
        <v>351</v>
      </c>
    </row>
    <row r="17" spans="1:12">
      <c r="A17" t="s">
        <v>177</v>
      </c>
      <c r="B17">
        <v>38.895976636393023</v>
      </c>
      <c r="C17">
        <v>-77.034311337037963</v>
      </c>
      <c r="D17" t="s">
        <v>124</v>
      </c>
      <c r="E17">
        <v>38.775506878609448</v>
      </c>
      <c r="F17">
        <v>-78.204061852272687</v>
      </c>
      <c r="G17">
        <v>63.653957577381064</v>
      </c>
      <c r="H17">
        <v>262.86574768823465</v>
      </c>
      <c r="I17">
        <v>82.132193084377889</v>
      </c>
      <c r="J17">
        <v>262.13219308437789</v>
      </c>
      <c r="K17">
        <v>82.865747688234649</v>
      </c>
      <c r="L17" t="s">
        <v>131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06BB-B98D-4FBD-A85F-DB1B41C181B3}">
  <dimension ref="A2:X75"/>
  <sheetViews>
    <sheetView zoomScaleNormal="100" workbookViewId="0">
      <selection activeCell="C17" sqref="C17:H17"/>
    </sheetView>
  </sheetViews>
  <sheetFormatPr defaultRowHeight="13.8"/>
  <cols>
    <col min="1" max="1" width="8.046875" style="6" customWidth="1"/>
    <col min="2" max="4" width="8.046875" customWidth="1"/>
    <col min="5" max="6" width="8.046875" style="45" customWidth="1"/>
    <col min="7" max="7" width="8.046875" customWidth="1"/>
    <col min="12" max="25" width="8.42578125" customWidth="1"/>
  </cols>
  <sheetData>
    <row r="2" spans="1:11">
      <c r="A2" s="8"/>
      <c r="C2" s="9"/>
      <c r="D2" s="10" t="str">
        <f>"x phi+"</f>
        <v>x phi+</v>
      </c>
      <c r="E2" s="11" t="str">
        <f>"x phi+"</f>
        <v>x phi+</v>
      </c>
      <c r="F2" s="12" t="str">
        <f>"x phi-"</f>
        <v>x phi-</v>
      </c>
      <c r="G2" s="9" t="str">
        <f>"x phi-"</f>
        <v>x phi-</v>
      </c>
      <c r="H2" s="10" t="str">
        <f>"/2"</f>
        <v>/2</v>
      </c>
      <c r="I2" s="9" t="str">
        <f>"/2"</f>
        <v>/2</v>
      </c>
      <c r="J2" s="10" t="str">
        <f>"/rad2"</f>
        <v>/rad2</v>
      </c>
      <c r="K2" s="9" t="str">
        <f>"1/rad2"</f>
        <v>1/rad2</v>
      </c>
    </row>
    <row r="3" spans="1:11" ht="14.1" thickBot="1">
      <c r="A3" s="13"/>
      <c r="B3" s="14" t="s">
        <v>205</v>
      </c>
      <c r="C3" s="15" t="s">
        <v>206</v>
      </c>
      <c r="D3" s="14" t="s">
        <v>205</v>
      </c>
      <c r="E3" s="16" t="s">
        <v>206</v>
      </c>
      <c r="F3" s="17" t="s">
        <v>205</v>
      </c>
      <c r="G3" s="15" t="s">
        <v>206</v>
      </c>
      <c r="H3" s="14" t="s">
        <v>205</v>
      </c>
      <c r="I3" s="18" t="s">
        <v>206</v>
      </c>
      <c r="J3" s="14" t="s">
        <v>205</v>
      </c>
      <c r="K3" s="18" t="s">
        <v>206</v>
      </c>
    </row>
    <row r="4" spans="1:11">
      <c r="A4" s="8" t="str">
        <f>"1/rad2"</f>
        <v>1/rad2</v>
      </c>
      <c r="B4" s="19">
        <f t="shared" ref="B4:B15" si="0">5280*C4</f>
        <v>3733.5238046649706</v>
      </c>
      <c r="C4" s="20">
        <f>1/SQRT(2)</f>
        <v>0.70710678118654746</v>
      </c>
      <c r="D4" s="19">
        <f t="shared" ref="D4:D15" si="1">5280*E4</f>
        <v>6040.9684137547456</v>
      </c>
      <c r="E4" s="21">
        <f t="shared" ref="E4:E15" si="2">C4*(1+SQRT(5))/2</f>
        <v>1.1441228056353685</v>
      </c>
      <c r="F4" s="22">
        <f t="shared" ref="F4:F15" si="3">5280*G4</f>
        <v>2307.444609089775</v>
      </c>
      <c r="G4" s="23">
        <f t="shared" ref="G4:G15" si="4">2 * C4 / (1+SQRT(5))</f>
        <v>0.43701602444882104</v>
      </c>
      <c r="H4" s="19">
        <f t="shared" ref="H4:H15" si="5">5280*I4</f>
        <v>1866.7619023324853</v>
      </c>
      <c r="I4" s="24">
        <f t="shared" ref="I4:I15" si="6">C4/2</f>
        <v>0.35355339059327373</v>
      </c>
      <c r="J4" s="19">
        <f t="shared" ref="J4:J15" si="7">5280*K4</f>
        <v>2639.9999999999995</v>
      </c>
      <c r="K4" s="24">
        <f t="shared" ref="K4:K15" si="8">C4/SQRT(2)</f>
        <v>0.49999999999999994</v>
      </c>
    </row>
    <row r="5" spans="1:11">
      <c r="A5" s="8" t="str">
        <f>"1/2"</f>
        <v>1/2</v>
      </c>
      <c r="B5" s="19">
        <f t="shared" si="0"/>
        <v>2640</v>
      </c>
      <c r="C5" s="23">
        <f>1/2</f>
        <v>0.5</v>
      </c>
      <c r="D5" s="19">
        <f t="shared" si="1"/>
        <v>4271.6097302997223</v>
      </c>
      <c r="E5" s="21">
        <f t="shared" si="2"/>
        <v>0.80901699437494745</v>
      </c>
      <c r="F5" s="22">
        <f t="shared" si="3"/>
        <v>1631.6097302997223</v>
      </c>
      <c r="G5" s="23">
        <f t="shared" si="4"/>
        <v>0.3090169943749474</v>
      </c>
      <c r="H5" s="19">
        <f t="shared" si="5"/>
        <v>1320</v>
      </c>
      <c r="I5" s="24">
        <f t="shared" si="6"/>
        <v>0.25</v>
      </c>
      <c r="J5" s="19">
        <f t="shared" si="7"/>
        <v>1866.7619023324853</v>
      </c>
      <c r="K5" s="24">
        <f t="shared" si="8"/>
        <v>0.35355339059327373</v>
      </c>
    </row>
    <row r="6" spans="1:11" ht="14.4" thickBot="1">
      <c r="A6" s="13" t="str">
        <f>"1"</f>
        <v>1</v>
      </c>
      <c r="B6" s="25">
        <f t="shared" si="0"/>
        <v>5280</v>
      </c>
      <c r="C6" s="26">
        <v>1</v>
      </c>
      <c r="D6" s="25">
        <f t="shared" si="1"/>
        <v>8543.2194605994446</v>
      </c>
      <c r="E6" s="27">
        <f t="shared" si="2"/>
        <v>1.6180339887498949</v>
      </c>
      <c r="F6" s="28">
        <f t="shared" si="3"/>
        <v>3263.2194605994446</v>
      </c>
      <c r="G6" s="29">
        <f t="shared" si="4"/>
        <v>0.61803398874989479</v>
      </c>
      <c r="H6" s="25">
        <f t="shared" si="5"/>
        <v>2640</v>
      </c>
      <c r="I6" s="30">
        <f t="shared" si="6"/>
        <v>0.5</v>
      </c>
      <c r="J6" s="25">
        <f t="shared" si="7"/>
        <v>3733.5238046649706</v>
      </c>
      <c r="K6" s="30">
        <f t="shared" si="8"/>
        <v>0.70710678118654746</v>
      </c>
    </row>
    <row r="7" spans="1:11" ht="14.1">
      <c r="A7" s="8" t="str">
        <f>"rad2"</f>
        <v>rad2</v>
      </c>
      <c r="B7" s="19">
        <f t="shared" si="0"/>
        <v>7467.0476093299421</v>
      </c>
      <c r="C7" s="23">
        <f>SQRT(2)</f>
        <v>1.4142135623730951</v>
      </c>
      <c r="D7" s="31">
        <f t="shared" si="1"/>
        <v>12081.936827509493</v>
      </c>
      <c r="E7" s="32">
        <f t="shared" si="2"/>
        <v>2.2882456112707374</v>
      </c>
      <c r="F7" s="33">
        <f t="shared" si="3"/>
        <v>4614.8892181795509</v>
      </c>
      <c r="G7" s="34">
        <f t="shared" si="4"/>
        <v>0.87403204889764219</v>
      </c>
      <c r="H7" s="19">
        <f t="shared" si="5"/>
        <v>3733.5238046649711</v>
      </c>
      <c r="I7" s="24">
        <f t="shared" si="6"/>
        <v>0.70710678118654757</v>
      </c>
      <c r="J7" s="19">
        <f t="shared" si="7"/>
        <v>5280</v>
      </c>
      <c r="K7" s="35">
        <f t="shared" si="8"/>
        <v>1</v>
      </c>
    </row>
    <row r="8" spans="1:11" ht="14.1">
      <c r="A8" s="8" t="str">
        <f>"rad3"</f>
        <v>rad3</v>
      </c>
      <c r="B8" s="31">
        <f t="shared" si="0"/>
        <v>9145.2282639636724</v>
      </c>
      <c r="C8" s="34">
        <f>SQRT(3)</f>
        <v>1.7320508075688772</v>
      </c>
      <c r="D8" s="19">
        <f t="shared" si="1"/>
        <v>14797.290165969416</v>
      </c>
      <c r="E8" s="21">
        <f t="shared" si="2"/>
        <v>2.8025170768881469</v>
      </c>
      <c r="F8" s="22">
        <f t="shared" si="3"/>
        <v>5652.0619020057438</v>
      </c>
      <c r="G8" s="23">
        <f t="shared" si="4"/>
        <v>1.0704662693192697</v>
      </c>
      <c r="H8" s="19">
        <f t="shared" si="5"/>
        <v>4572.6141319818362</v>
      </c>
      <c r="I8" s="24">
        <f t="shared" si="6"/>
        <v>0.8660254037844386</v>
      </c>
      <c r="J8" s="19">
        <f t="shared" si="7"/>
        <v>6466.6529209475893</v>
      </c>
      <c r="K8" s="24">
        <f t="shared" si="8"/>
        <v>1.2247448713915889</v>
      </c>
    </row>
    <row r="9" spans="1:11" ht="14.1" thickBot="1">
      <c r="A9" s="13" t="str">
        <f>"rad5"</f>
        <v>rad5</v>
      </c>
      <c r="B9" s="25">
        <f t="shared" si="0"/>
        <v>11806.438921198891</v>
      </c>
      <c r="C9" s="29">
        <f>SQRT(5)</f>
        <v>2.2360679774997898</v>
      </c>
      <c r="D9" s="25">
        <f t="shared" si="1"/>
        <v>19103.219460599448</v>
      </c>
      <c r="E9" s="27">
        <f t="shared" si="2"/>
        <v>3.6180339887498953</v>
      </c>
      <c r="F9" s="28">
        <f t="shared" si="3"/>
        <v>7296.7805394005545</v>
      </c>
      <c r="G9" s="29">
        <f t="shared" si="4"/>
        <v>1.3819660112501051</v>
      </c>
      <c r="H9" s="25">
        <f t="shared" si="5"/>
        <v>5903.2194605994455</v>
      </c>
      <c r="I9" s="30">
        <f t="shared" si="6"/>
        <v>1.1180339887498949</v>
      </c>
      <c r="J9" s="25">
        <f t="shared" si="7"/>
        <v>8348.413022844521</v>
      </c>
      <c r="K9" s="30">
        <f t="shared" si="8"/>
        <v>1.5811388300841895</v>
      </c>
    </row>
    <row r="10" spans="1:11" ht="14.1">
      <c r="A10" s="8" t="str">
        <f>"phi+"</f>
        <v>phi+</v>
      </c>
      <c r="B10" s="19">
        <f t="shared" si="0"/>
        <v>8543.2194605994446</v>
      </c>
      <c r="C10" s="23">
        <f>(1+SQRT(5))/2</f>
        <v>1.6180339887498949</v>
      </c>
      <c r="D10" s="19">
        <f t="shared" si="1"/>
        <v>13823.219460599445</v>
      </c>
      <c r="E10" s="21">
        <f t="shared" si="2"/>
        <v>2.6180339887498949</v>
      </c>
      <c r="F10" s="22">
        <f t="shared" si="3"/>
        <v>5280</v>
      </c>
      <c r="G10" s="36">
        <f t="shared" si="4"/>
        <v>1</v>
      </c>
      <c r="H10" s="19">
        <f t="shared" si="5"/>
        <v>4271.6097302997223</v>
      </c>
      <c r="I10" s="24">
        <f t="shared" si="6"/>
        <v>0.80901699437494745</v>
      </c>
      <c r="J10" s="19">
        <f t="shared" si="7"/>
        <v>6040.9684137547456</v>
      </c>
      <c r="K10" s="24">
        <f t="shared" si="8"/>
        <v>1.1441228056353685</v>
      </c>
    </row>
    <row r="11" spans="1:11" ht="14.1" thickBot="1">
      <c r="A11" s="13" t="str">
        <f>"phi+^2"</f>
        <v>phi+^2</v>
      </c>
      <c r="B11" s="25">
        <f t="shared" si="0"/>
        <v>13823.219460599445</v>
      </c>
      <c r="C11" s="29">
        <f>C10^2</f>
        <v>2.6180339887498949</v>
      </c>
      <c r="D11" s="25">
        <f t="shared" si="1"/>
        <v>22366.438921198889</v>
      </c>
      <c r="E11" s="27">
        <f t="shared" si="2"/>
        <v>4.2360679774997898</v>
      </c>
      <c r="F11" s="28">
        <f t="shared" si="3"/>
        <v>8543.2194605994446</v>
      </c>
      <c r="G11" s="29">
        <f t="shared" si="4"/>
        <v>1.6180339887498949</v>
      </c>
      <c r="H11" s="25">
        <f t="shared" si="5"/>
        <v>6911.6097302997223</v>
      </c>
      <c r="I11" s="30">
        <f t="shared" si="6"/>
        <v>1.3090169943749475</v>
      </c>
      <c r="J11" s="25">
        <f t="shared" si="7"/>
        <v>9774.4922184197167</v>
      </c>
      <c r="K11" s="30">
        <f t="shared" si="8"/>
        <v>1.851229586821916</v>
      </c>
    </row>
    <row r="12" spans="1:11" ht="14.1">
      <c r="A12" s="8" t="str">
        <f>"phi-"</f>
        <v>phi-</v>
      </c>
      <c r="B12" s="19">
        <f t="shared" si="0"/>
        <v>3263.2194605994446</v>
      </c>
      <c r="C12" s="23">
        <f>1/C10</f>
        <v>0.61803398874989479</v>
      </c>
      <c r="D12" s="19">
        <f t="shared" si="1"/>
        <v>5279.9999999999991</v>
      </c>
      <c r="E12" s="37">
        <f t="shared" si="2"/>
        <v>0.99999999999999989</v>
      </c>
      <c r="F12" s="22">
        <f t="shared" si="3"/>
        <v>2016.780539400555</v>
      </c>
      <c r="G12" s="23">
        <f t="shared" si="4"/>
        <v>0.3819660112501051</v>
      </c>
      <c r="H12" s="19">
        <f t="shared" si="5"/>
        <v>1631.6097302997223</v>
      </c>
      <c r="I12" s="24">
        <f t="shared" si="6"/>
        <v>0.3090169943749474</v>
      </c>
      <c r="J12" s="19">
        <f t="shared" si="7"/>
        <v>2307.444609089775</v>
      </c>
      <c r="K12" s="24">
        <f t="shared" si="8"/>
        <v>0.43701602444882098</v>
      </c>
    </row>
    <row r="13" spans="1:11">
      <c r="A13" s="38" t="str">
        <f>"phi-^2"</f>
        <v>phi-^2</v>
      </c>
      <c r="B13" s="39">
        <f t="shared" si="0"/>
        <v>2016.780539400555</v>
      </c>
      <c r="C13" s="40">
        <f>C12^2</f>
        <v>0.3819660112501051</v>
      </c>
      <c r="D13" s="39">
        <f t="shared" si="1"/>
        <v>3263.2194605994446</v>
      </c>
      <c r="E13" s="41">
        <f t="shared" si="2"/>
        <v>0.61803398874989479</v>
      </c>
      <c r="F13" s="42">
        <f t="shared" si="3"/>
        <v>1246.4389211988894</v>
      </c>
      <c r="G13" s="40">
        <f t="shared" si="4"/>
        <v>0.23606797749978967</v>
      </c>
      <c r="H13" s="39">
        <f t="shared" si="5"/>
        <v>1008.3902697002775</v>
      </c>
      <c r="I13" s="43">
        <f t="shared" si="6"/>
        <v>0.19098300562505255</v>
      </c>
      <c r="J13" s="39">
        <f t="shared" si="7"/>
        <v>1426.0791955751956</v>
      </c>
      <c r="K13" s="43">
        <f t="shared" si="8"/>
        <v>0.27009075673772642</v>
      </c>
    </row>
    <row r="14" spans="1:11">
      <c r="A14" s="6" t="s">
        <v>207</v>
      </c>
      <c r="B14" s="19">
        <f t="shared" si="0"/>
        <v>6716.2637494342844</v>
      </c>
      <c r="C14" s="23">
        <f>SQRT(C10)</f>
        <v>1.272019649514069</v>
      </c>
      <c r="D14" s="19">
        <f t="shared" si="1"/>
        <v>10867.14302399348</v>
      </c>
      <c r="E14" s="21">
        <f t="shared" si="2"/>
        <v>2.0581710272714924</v>
      </c>
      <c r="F14" s="22">
        <f t="shared" si="3"/>
        <v>4150.8792745591945</v>
      </c>
      <c r="G14" s="23">
        <f t="shared" si="4"/>
        <v>0.78615137775742328</v>
      </c>
      <c r="H14" s="19">
        <f t="shared" si="5"/>
        <v>3358.1318747171422</v>
      </c>
      <c r="I14" s="24">
        <f t="shared" si="6"/>
        <v>0.63600982475703449</v>
      </c>
      <c r="J14" s="19">
        <f t="shared" si="7"/>
        <v>4749.1156414623692</v>
      </c>
      <c r="K14" s="24">
        <f t="shared" si="8"/>
        <v>0.89945371997393364</v>
      </c>
    </row>
    <row r="15" spans="1:11">
      <c r="A15" s="6" t="s">
        <v>208</v>
      </c>
      <c r="B15" s="19">
        <f t="shared" si="0"/>
        <v>9498.2312829247403</v>
      </c>
      <c r="C15" s="23">
        <f>C14*C7</f>
        <v>1.7989074399478675</v>
      </c>
      <c r="D15" s="19">
        <f t="shared" si="1"/>
        <v>15368.461048779751</v>
      </c>
      <c r="E15" s="21">
        <f t="shared" si="2"/>
        <v>2.9106933804507102</v>
      </c>
      <c r="F15" s="22">
        <f t="shared" si="3"/>
        <v>5870.2297658550087</v>
      </c>
      <c r="G15" s="23">
        <f t="shared" si="4"/>
        <v>1.1117859405028425</v>
      </c>
      <c r="H15" s="19">
        <f t="shared" si="5"/>
        <v>4749.1156414623701</v>
      </c>
      <c r="I15" s="24">
        <f t="shared" si="6"/>
        <v>0.89945371997393375</v>
      </c>
      <c r="J15" s="19">
        <f t="shared" si="7"/>
        <v>6716.2637494342844</v>
      </c>
      <c r="K15" s="24">
        <f t="shared" si="8"/>
        <v>1.272019649514069</v>
      </c>
    </row>
    <row r="16" spans="1:11">
      <c r="B16" s="19"/>
      <c r="C16" s="24"/>
      <c r="D16" s="19"/>
      <c r="E16" s="44"/>
      <c r="F16" s="22"/>
      <c r="G16" s="24"/>
      <c r="H16" s="19"/>
      <c r="I16" s="24"/>
    </row>
    <row r="17" spans="1:20">
      <c r="B17" s="19"/>
      <c r="C17" s="210"/>
      <c r="D17" s="211"/>
      <c r="E17" s="212"/>
      <c r="F17" s="213"/>
      <c r="G17" s="210"/>
      <c r="H17" s="211"/>
    </row>
    <row r="18" spans="1:20" ht="14.1">
      <c r="I18" s="46" t="s">
        <v>204</v>
      </c>
      <c r="J18" s="46" t="s">
        <v>209</v>
      </c>
      <c r="K18" s="46" t="s">
        <v>210</v>
      </c>
      <c r="L18" s="46" t="s">
        <v>211</v>
      </c>
      <c r="M18" s="46" t="s">
        <v>212</v>
      </c>
      <c r="N18" s="46" t="s">
        <v>213</v>
      </c>
      <c r="O18" s="46" t="s">
        <v>214</v>
      </c>
      <c r="P18" s="46" t="s">
        <v>215</v>
      </c>
      <c r="Q18" s="46" t="s">
        <v>216</v>
      </c>
      <c r="R18" s="46" t="s">
        <v>217</v>
      </c>
      <c r="S18" s="46" t="s">
        <v>218</v>
      </c>
      <c r="T18" s="46" t="str">
        <f>"/2"</f>
        <v>/2</v>
      </c>
    </row>
    <row r="19" spans="1:20" ht="14.1">
      <c r="A19" s="47" t="s">
        <v>219</v>
      </c>
      <c r="B19" s="48">
        <v>1</v>
      </c>
      <c r="C19" s="48" t="s">
        <v>211</v>
      </c>
      <c r="D19" s="48" t="s">
        <v>212</v>
      </c>
      <c r="E19" s="48" t="str">
        <f>"/2"</f>
        <v>/2</v>
      </c>
      <c r="F19" s="48" t="s">
        <v>213</v>
      </c>
      <c r="G19" s="48" t="s">
        <v>214</v>
      </c>
      <c r="I19" s="49"/>
      <c r="J19" s="50">
        <v>0.5</v>
      </c>
      <c r="K19" s="51">
        <f>J19*5280</f>
        <v>2640</v>
      </c>
      <c r="L19" s="51">
        <f>K19*(1+SQRT(5))/2</f>
        <v>4271.6097302997223</v>
      </c>
      <c r="M19" s="51">
        <f>K19*(SQRT(5)-1)/2</f>
        <v>1631.6097302997225</v>
      </c>
      <c r="N19" s="51">
        <f>L19/2</f>
        <v>2135.8048651498611</v>
      </c>
      <c r="O19" s="51">
        <f>M19/2</f>
        <v>815.80486514986126</v>
      </c>
      <c r="P19" s="7">
        <f>K19*SQRT(2)</f>
        <v>3733.5238046649711</v>
      </c>
      <c r="Q19" s="7">
        <f>K19*SQRT(3)</f>
        <v>4572.6141319818362</v>
      </c>
      <c r="R19" s="7">
        <f>K19*SQRT(5)</f>
        <v>5903.2194605994455</v>
      </c>
      <c r="S19" s="7">
        <f>Q19/2</f>
        <v>2286.3070659909181</v>
      </c>
      <c r="T19" s="51">
        <f t="shared" ref="T19:T26" si="9">K19*0.5</f>
        <v>1320</v>
      </c>
    </row>
    <row r="20" spans="1:20">
      <c r="B20" s="52">
        <v>1</v>
      </c>
      <c r="C20" s="52">
        <f>(1+SQRT(5))/2</f>
        <v>1.6180339887498949</v>
      </c>
      <c r="D20" s="52">
        <f>(SQRT(5)-1)/2</f>
        <v>0.6180339887498949</v>
      </c>
      <c r="E20" s="52">
        <v>0.5</v>
      </c>
      <c r="F20" s="52">
        <f>C20/2</f>
        <v>0.80901699437494745</v>
      </c>
      <c r="G20" s="52">
        <f>D20/2</f>
        <v>0.30901699437494745</v>
      </c>
      <c r="I20" s="49"/>
      <c r="J20" s="50">
        <f>1/3</f>
        <v>0.33333333333333331</v>
      </c>
      <c r="K20" s="51">
        <f t="shared" ref="K20:K26" si="10">J20*5280</f>
        <v>1760</v>
      </c>
      <c r="L20" s="51">
        <f t="shared" ref="L20:L26" si="11">K20*(1+SQRT(5))/2</f>
        <v>2847.7398201998149</v>
      </c>
      <c r="M20" s="51">
        <f t="shared" ref="M20:M26" si="12">K20*(SQRT(5)-1)/2</f>
        <v>1087.7398201998151</v>
      </c>
      <c r="N20" s="51">
        <f t="shared" ref="N20:O26" si="13">L20/2</f>
        <v>1423.8699100999074</v>
      </c>
      <c r="O20" s="51">
        <f t="shared" si="13"/>
        <v>543.86991009990754</v>
      </c>
      <c r="P20" s="7">
        <f t="shared" ref="P20:P26" si="14">K20*SQRT(2)</f>
        <v>2489.0158697766474</v>
      </c>
      <c r="Q20" s="7">
        <f t="shared" ref="Q20:Q26" si="15">K20*SQRT(3)</f>
        <v>3048.4094213212238</v>
      </c>
      <c r="R20" s="7">
        <f t="shared" ref="R20:R26" si="16">K20*SQRT(5)</f>
        <v>3935.4796403996302</v>
      </c>
      <c r="S20" s="7">
        <f t="shared" ref="S20:S26" si="17">Q20/2</f>
        <v>1524.2047106606119</v>
      </c>
      <c r="T20" s="51">
        <f t="shared" si="9"/>
        <v>880</v>
      </c>
    </row>
    <row r="21" spans="1:20" ht="14.1">
      <c r="A21" s="53" t="s">
        <v>215</v>
      </c>
      <c r="B21" s="52">
        <f>SQRT(2)</f>
        <v>1.4142135623730951</v>
      </c>
      <c r="C21" s="54">
        <f>B21*C20</f>
        <v>2.2882456112707374</v>
      </c>
      <c r="D21" s="54">
        <f>B21*D20</f>
        <v>0.8740320488976423</v>
      </c>
      <c r="E21" s="52">
        <f>B21*E20</f>
        <v>0.70710678118654757</v>
      </c>
      <c r="F21" s="52">
        <f>E21*C20</f>
        <v>1.1441228056353687</v>
      </c>
      <c r="G21" s="52">
        <f>E21*D20</f>
        <v>0.43701602444882115</v>
      </c>
      <c r="I21" s="49"/>
      <c r="J21" s="50">
        <f>1/4</f>
        <v>0.25</v>
      </c>
      <c r="K21" s="51">
        <f t="shared" si="10"/>
        <v>1320</v>
      </c>
      <c r="L21" s="51">
        <f t="shared" si="11"/>
        <v>2135.8048651498611</v>
      </c>
      <c r="M21" s="51">
        <f t="shared" si="12"/>
        <v>815.80486514986126</v>
      </c>
      <c r="N21" s="51">
        <f t="shared" si="13"/>
        <v>1067.9024325749306</v>
      </c>
      <c r="O21" s="51">
        <f t="shared" si="13"/>
        <v>407.90243257493063</v>
      </c>
      <c r="P21" s="7">
        <f t="shared" si="14"/>
        <v>1866.7619023324855</v>
      </c>
      <c r="Q21" s="7">
        <f t="shared" si="15"/>
        <v>2286.3070659909181</v>
      </c>
      <c r="R21" s="7">
        <f t="shared" si="16"/>
        <v>2951.6097302997227</v>
      </c>
      <c r="S21" s="7">
        <f t="shared" si="17"/>
        <v>1143.153532995459</v>
      </c>
      <c r="T21" s="51">
        <f t="shared" si="9"/>
        <v>660</v>
      </c>
    </row>
    <row r="22" spans="1:20">
      <c r="A22" s="53" t="s">
        <v>216</v>
      </c>
      <c r="B22" s="52">
        <f>SQRT(3)</f>
        <v>1.7320508075688772</v>
      </c>
      <c r="C22" s="52">
        <f>B22*C20</f>
        <v>2.8025170768881469</v>
      </c>
      <c r="D22" s="52">
        <f>B22*D20</f>
        <v>1.0704662693192699</v>
      </c>
      <c r="E22" s="52">
        <f>E20*B22</f>
        <v>0.8660254037844386</v>
      </c>
      <c r="F22" s="52">
        <f>E22*C20</f>
        <v>1.4012585384440734</v>
      </c>
      <c r="G22" s="52">
        <f>E22*D20</f>
        <v>0.53523313465963496</v>
      </c>
      <c r="I22" s="49"/>
      <c r="J22" s="50">
        <f>1/5</f>
        <v>0.2</v>
      </c>
      <c r="K22" s="51">
        <f t="shared" si="10"/>
        <v>1056</v>
      </c>
      <c r="L22" s="51">
        <f t="shared" si="11"/>
        <v>1708.643892119889</v>
      </c>
      <c r="M22" s="51">
        <f t="shared" si="12"/>
        <v>652.64389211988896</v>
      </c>
      <c r="N22" s="51">
        <f t="shared" si="13"/>
        <v>854.32194605994448</v>
      </c>
      <c r="O22" s="51">
        <f t="shared" si="13"/>
        <v>326.32194605994448</v>
      </c>
      <c r="P22" s="7">
        <f t="shared" si="14"/>
        <v>1493.4095218659884</v>
      </c>
      <c r="Q22" s="7">
        <f t="shared" si="15"/>
        <v>1829.0456527927342</v>
      </c>
      <c r="R22" s="7">
        <f t="shared" si="16"/>
        <v>2361.2877842397779</v>
      </c>
      <c r="S22" s="7">
        <f t="shared" si="17"/>
        <v>914.52282639636712</v>
      </c>
      <c r="T22" s="51">
        <f t="shared" si="9"/>
        <v>528</v>
      </c>
    </row>
    <row r="23" spans="1:20">
      <c r="A23" s="53" t="s">
        <v>217</v>
      </c>
      <c r="B23" s="52">
        <f>SQRT(5)</f>
        <v>2.2360679774997898</v>
      </c>
      <c r="C23" s="52">
        <f>B23*C22</f>
        <v>6.2666186920259017</v>
      </c>
      <c r="D23" s="52">
        <f>B23*D22</f>
        <v>2.3936353458184851</v>
      </c>
      <c r="E23" s="52">
        <f>B23*E22</f>
        <v>1.9364916731037085</v>
      </c>
      <c r="F23" s="52">
        <f>E23*C22</f>
        <v>5.4270509831248424</v>
      </c>
      <c r="G23" s="52">
        <f>E23*D22</f>
        <v>2.0729490168751581</v>
      </c>
      <c r="I23" s="49"/>
      <c r="J23" s="50">
        <f>1/6</f>
        <v>0.16666666666666666</v>
      </c>
      <c r="K23" s="51">
        <f t="shared" si="10"/>
        <v>880</v>
      </c>
      <c r="L23" s="51">
        <f t="shared" si="11"/>
        <v>1423.8699100999074</v>
      </c>
      <c r="M23" s="51">
        <f t="shared" si="12"/>
        <v>543.86991009990754</v>
      </c>
      <c r="N23" s="51">
        <f t="shared" si="13"/>
        <v>711.93495504995371</v>
      </c>
      <c r="O23" s="51">
        <f t="shared" si="13"/>
        <v>271.93495504995377</v>
      </c>
      <c r="P23" s="7">
        <f t="shared" si="14"/>
        <v>1244.5079348883237</v>
      </c>
      <c r="Q23" s="7">
        <f t="shared" si="15"/>
        <v>1524.2047106606119</v>
      </c>
      <c r="R23" s="7">
        <f t="shared" si="16"/>
        <v>1967.7398201998151</v>
      </c>
      <c r="S23" s="7">
        <f t="shared" si="17"/>
        <v>762.10235533030595</v>
      </c>
      <c r="T23" s="51">
        <f t="shared" si="9"/>
        <v>440</v>
      </c>
    </row>
    <row r="24" spans="1:20" ht="14.1">
      <c r="A24" s="46" t="s">
        <v>220</v>
      </c>
      <c r="H24" s="3"/>
      <c r="I24" s="49"/>
      <c r="J24" s="50">
        <f>1/7</f>
        <v>0.14285714285714285</v>
      </c>
      <c r="K24" s="51">
        <f t="shared" si="10"/>
        <v>754.28571428571422</v>
      </c>
      <c r="L24" s="51">
        <f t="shared" si="11"/>
        <v>1220.4599229427777</v>
      </c>
      <c r="M24" s="51">
        <f t="shared" si="12"/>
        <v>466.17420865706356</v>
      </c>
      <c r="N24" s="51">
        <f t="shared" si="13"/>
        <v>610.22996147138883</v>
      </c>
      <c r="O24" s="51">
        <f t="shared" si="13"/>
        <v>233.08710432853178</v>
      </c>
      <c r="P24" s="7">
        <f t="shared" si="14"/>
        <v>1066.7210870471345</v>
      </c>
      <c r="Q24" s="7">
        <f t="shared" si="15"/>
        <v>1306.4611805662387</v>
      </c>
      <c r="R24" s="7">
        <f t="shared" si="16"/>
        <v>1686.6341315998413</v>
      </c>
      <c r="S24" s="7">
        <f t="shared" si="17"/>
        <v>653.23059028311934</v>
      </c>
      <c r="T24" s="51">
        <f t="shared" si="9"/>
        <v>377.14285714285711</v>
      </c>
    </row>
    <row r="25" spans="1:20">
      <c r="A25" s="49"/>
      <c r="B25" s="55">
        <f>CONVERT(B20,"mi","ft")</f>
        <v>5280</v>
      </c>
      <c r="C25" s="55">
        <f t="shared" ref="C25:G28" si="18">CONVERT(C20,"mi","ft")</f>
        <v>8543.2194605994446</v>
      </c>
      <c r="D25" s="55">
        <f t="shared" si="18"/>
        <v>3263.2194605994455</v>
      </c>
      <c r="E25" s="55">
        <f t="shared" si="18"/>
        <v>2640</v>
      </c>
      <c r="F25" s="55">
        <f t="shared" si="18"/>
        <v>4271.6097302997223</v>
      </c>
      <c r="G25" s="55">
        <f t="shared" si="18"/>
        <v>1631.6097302997227</v>
      </c>
      <c r="I25" s="49"/>
      <c r="J25" s="50">
        <f>1/8</f>
        <v>0.125</v>
      </c>
      <c r="K25" s="51">
        <f t="shared" si="10"/>
        <v>660</v>
      </c>
      <c r="L25" s="51">
        <f t="shared" si="11"/>
        <v>1067.9024325749306</v>
      </c>
      <c r="M25" s="51">
        <f t="shared" si="12"/>
        <v>407.90243257493063</v>
      </c>
      <c r="N25" s="51">
        <f t="shared" si="13"/>
        <v>533.95121628746529</v>
      </c>
      <c r="O25" s="51">
        <f t="shared" si="13"/>
        <v>203.95121628746531</v>
      </c>
      <c r="P25" s="7">
        <f t="shared" si="14"/>
        <v>933.38095116624277</v>
      </c>
      <c r="Q25" s="7">
        <f t="shared" si="15"/>
        <v>1143.153532995459</v>
      </c>
      <c r="R25" s="7">
        <f t="shared" si="16"/>
        <v>1475.8048651498614</v>
      </c>
      <c r="S25" s="7">
        <f t="shared" si="17"/>
        <v>571.57676649772952</v>
      </c>
      <c r="T25" s="51">
        <f t="shared" si="9"/>
        <v>330</v>
      </c>
    </row>
    <row r="26" spans="1:20">
      <c r="A26" s="49"/>
      <c r="B26" s="55">
        <f>CONVERT(B21,"mi","ft")</f>
        <v>7467.0476093299421</v>
      </c>
      <c r="C26" s="55">
        <f t="shared" si="18"/>
        <v>12081.936827509495</v>
      </c>
      <c r="D26" s="55">
        <f t="shared" si="18"/>
        <v>4614.8892181795518</v>
      </c>
      <c r="E26" s="55">
        <f t="shared" si="18"/>
        <v>3733.5238046649711</v>
      </c>
      <c r="F26" s="55">
        <f t="shared" si="18"/>
        <v>6040.9684137547474</v>
      </c>
      <c r="G26" s="55">
        <f t="shared" si="18"/>
        <v>2307.4446090897759</v>
      </c>
      <c r="H26" s="3"/>
      <c r="I26" s="49"/>
      <c r="J26" s="50">
        <f>1/9</f>
        <v>0.1111111111111111</v>
      </c>
      <c r="K26" s="51">
        <f t="shared" si="10"/>
        <v>586.66666666666663</v>
      </c>
      <c r="L26" s="51">
        <f t="shared" si="11"/>
        <v>949.24660673327162</v>
      </c>
      <c r="M26" s="51">
        <f t="shared" si="12"/>
        <v>362.57994006660499</v>
      </c>
      <c r="N26" s="51">
        <f t="shared" si="13"/>
        <v>474.62330336663581</v>
      </c>
      <c r="O26" s="51">
        <f t="shared" si="13"/>
        <v>181.2899700333025</v>
      </c>
      <c r="P26" s="7">
        <f t="shared" si="14"/>
        <v>829.67195659221579</v>
      </c>
      <c r="Q26" s="7">
        <f t="shared" si="15"/>
        <v>1016.1364737737413</v>
      </c>
      <c r="R26" s="7">
        <f t="shared" si="16"/>
        <v>1311.8265467998765</v>
      </c>
      <c r="S26" s="7">
        <f t="shared" si="17"/>
        <v>508.06823688687064</v>
      </c>
      <c r="T26" s="51">
        <f t="shared" si="9"/>
        <v>293.33333333333331</v>
      </c>
    </row>
    <row r="27" spans="1:20" ht="14.1">
      <c r="A27" s="49"/>
      <c r="B27" s="55">
        <f>CONVERT(B22,"mi","ft")</f>
        <v>9145.2282639636705</v>
      </c>
      <c r="C27" s="56">
        <f t="shared" si="18"/>
        <v>14797.290165969416</v>
      </c>
      <c r="D27" s="56">
        <f t="shared" si="18"/>
        <v>5652.0619020057457</v>
      </c>
      <c r="E27" s="55">
        <f t="shared" si="18"/>
        <v>4572.6141319818353</v>
      </c>
      <c r="F27" s="55">
        <f t="shared" si="18"/>
        <v>7398.6450829847081</v>
      </c>
      <c r="G27" s="55">
        <f t="shared" si="18"/>
        <v>2826.0309510028728</v>
      </c>
      <c r="I27" s="57" t="s">
        <v>221</v>
      </c>
      <c r="J27" s="57" t="s">
        <v>209</v>
      </c>
      <c r="K27" s="57" t="s">
        <v>210</v>
      </c>
      <c r="L27" s="57" t="s">
        <v>211</v>
      </c>
      <c r="M27" s="57" t="s">
        <v>212</v>
      </c>
      <c r="N27" s="57" t="s">
        <v>213</v>
      </c>
      <c r="O27" s="57" t="s">
        <v>214</v>
      </c>
      <c r="P27" s="57" t="s">
        <v>215</v>
      </c>
      <c r="Q27" s="57" t="s">
        <v>216</v>
      </c>
      <c r="R27" s="57" t="s">
        <v>217</v>
      </c>
      <c r="S27" s="57" t="s">
        <v>218</v>
      </c>
      <c r="T27" s="57" t="str">
        <f>"/2"</f>
        <v>/2</v>
      </c>
    </row>
    <row r="28" spans="1:20">
      <c r="A28" s="49"/>
      <c r="B28" s="55">
        <f>CONVERT(B23,"mi","ft")</f>
        <v>11806.438921198891</v>
      </c>
      <c r="C28" s="55">
        <f t="shared" si="18"/>
        <v>33087.746693896763</v>
      </c>
      <c r="D28" s="55">
        <f t="shared" si="18"/>
        <v>12638.394625921601</v>
      </c>
      <c r="E28" s="55">
        <f t="shared" si="18"/>
        <v>10224.676033987582</v>
      </c>
      <c r="F28" s="55">
        <f t="shared" si="18"/>
        <v>28654.829190899167</v>
      </c>
      <c r="G28" s="55">
        <f t="shared" si="18"/>
        <v>10945.170809100835</v>
      </c>
      <c r="I28" s="58"/>
      <c r="J28" s="59">
        <v>0.5</v>
      </c>
      <c r="K28" s="60">
        <f>J28*320</f>
        <v>160</v>
      </c>
      <c r="L28" s="60">
        <f>K28*(1+SQRT(5))/2</f>
        <v>258.88543819998318</v>
      </c>
      <c r="M28" s="60">
        <f>K28*(SQRT(5)-1)/2</f>
        <v>98.885438199983184</v>
      </c>
      <c r="N28" s="60">
        <f>L28/2</f>
        <v>129.44271909999159</v>
      </c>
      <c r="O28" s="60">
        <f>M28/2</f>
        <v>49.442719099991592</v>
      </c>
      <c r="P28" s="60">
        <f>K28*SQRT(2)</f>
        <v>226.27416997969522</v>
      </c>
      <c r="Q28" s="60">
        <f>K28*SQRT(3)</f>
        <v>277.12812921102034</v>
      </c>
      <c r="R28" s="60">
        <f>K28*SQRT(5)</f>
        <v>357.77087639996637</v>
      </c>
      <c r="S28" s="60">
        <f t="shared" ref="S28:S35" si="19">Q28/2</f>
        <v>138.56406460551017</v>
      </c>
      <c r="T28" s="60">
        <f t="shared" ref="T28:T35" si="20">K28*0.5</f>
        <v>80</v>
      </c>
    </row>
    <row r="29" spans="1:20" ht="14.1">
      <c r="A29" s="57" t="s">
        <v>222</v>
      </c>
      <c r="B29" s="58"/>
      <c r="C29" s="58"/>
      <c r="D29" s="58"/>
      <c r="E29" s="58"/>
      <c r="F29" s="58"/>
      <c r="I29" s="58"/>
      <c r="J29" s="59">
        <f>1/3</f>
        <v>0.33333333333333331</v>
      </c>
      <c r="K29" s="60">
        <f t="shared" ref="K29:K35" si="21">J29*320</f>
        <v>106.66666666666666</v>
      </c>
      <c r="L29" s="60">
        <f t="shared" ref="L29:L35" si="22">K29*(1+SQRT(5))/2</f>
        <v>172.59029213332209</v>
      </c>
      <c r="M29" s="60">
        <f t="shared" ref="M29:M35" si="23">K29*(SQRT(5)-1)/2</f>
        <v>65.923625466655452</v>
      </c>
      <c r="N29" s="60">
        <f t="shared" ref="N29:O35" si="24">L29/2</f>
        <v>86.295146066661047</v>
      </c>
      <c r="O29" s="60">
        <f t="shared" si="24"/>
        <v>32.961812733327726</v>
      </c>
      <c r="P29" s="60">
        <f t="shared" ref="P29:P35" si="25">K29*SQRT(2)</f>
        <v>150.84944665313014</v>
      </c>
      <c r="Q29" s="60">
        <f t="shared" ref="Q29:Q35" si="26">K29*SQRT(3)</f>
        <v>184.75208614068021</v>
      </c>
      <c r="R29" s="60">
        <f t="shared" ref="R29:R35" si="27">K29*SQRT(5)</f>
        <v>238.51391759997756</v>
      </c>
      <c r="S29" s="60">
        <f t="shared" si="19"/>
        <v>92.376043070340103</v>
      </c>
      <c r="T29" s="60">
        <f t="shared" si="20"/>
        <v>53.333333333333329</v>
      </c>
    </row>
    <row r="30" spans="1:20" ht="14.1">
      <c r="A30" s="57"/>
      <c r="B30" s="61">
        <f t="shared" ref="B30:G30" si="28">B20*320</f>
        <v>320</v>
      </c>
      <c r="C30" s="61">
        <f t="shared" si="28"/>
        <v>517.77087639996637</v>
      </c>
      <c r="D30" s="61">
        <f t="shared" si="28"/>
        <v>197.77087639996637</v>
      </c>
      <c r="E30" s="61">
        <f t="shared" si="28"/>
        <v>160</v>
      </c>
      <c r="F30" s="61">
        <f t="shared" si="28"/>
        <v>258.88543819998318</v>
      </c>
      <c r="G30" s="61">
        <f t="shared" si="28"/>
        <v>98.885438199983184</v>
      </c>
      <c r="I30" s="58"/>
      <c r="J30" s="59">
        <f>1/4</f>
        <v>0.25</v>
      </c>
      <c r="K30" s="60">
        <f t="shared" si="21"/>
        <v>80</v>
      </c>
      <c r="L30" s="60">
        <f t="shared" si="22"/>
        <v>129.44271909999159</v>
      </c>
      <c r="M30" s="60">
        <f t="shared" si="23"/>
        <v>49.442719099991592</v>
      </c>
      <c r="N30" s="60">
        <f t="shared" si="24"/>
        <v>64.721359549995796</v>
      </c>
      <c r="O30" s="60">
        <f t="shared" si="24"/>
        <v>24.721359549995796</v>
      </c>
      <c r="P30" s="60">
        <f t="shared" si="25"/>
        <v>113.13708498984761</v>
      </c>
      <c r="Q30" s="60">
        <f t="shared" si="26"/>
        <v>138.56406460551017</v>
      </c>
      <c r="R30" s="60">
        <f t="shared" si="27"/>
        <v>178.88543819998318</v>
      </c>
      <c r="S30" s="60">
        <f t="shared" si="19"/>
        <v>69.282032302755084</v>
      </c>
      <c r="T30" s="60">
        <f t="shared" si="20"/>
        <v>40</v>
      </c>
    </row>
    <row r="31" spans="1:20" ht="14.1">
      <c r="A31" s="57"/>
      <c r="B31" s="61">
        <f t="shared" ref="B31:G31" si="29">B22*320</f>
        <v>554.25625842204067</v>
      </c>
      <c r="C31" s="61">
        <f t="shared" si="29"/>
        <v>896.80546460420703</v>
      </c>
      <c r="D31" s="61">
        <f t="shared" si="29"/>
        <v>342.54920618216636</v>
      </c>
      <c r="E31" s="61">
        <f t="shared" si="29"/>
        <v>277.12812921102034</v>
      </c>
      <c r="F31" s="61">
        <f t="shared" si="29"/>
        <v>448.40273230210352</v>
      </c>
      <c r="G31" s="61">
        <f t="shared" si="29"/>
        <v>171.27460309108318</v>
      </c>
      <c r="I31" s="58"/>
      <c r="J31" s="59">
        <f>1/5</f>
        <v>0.2</v>
      </c>
      <c r="K31" s="60">
        <f t="shared" si="21"/>
        <v>64</v>
      </c>
      <c r="L31" s="60">
        <f t="shared" si="22"/>
        <v>103.55417527999327</v>
      </c>
      <c r="M31" s="60">
        <f t="shared" si="23"/>
        <v>39.554175279993274</v>
      </c>
      <c r="N31" s="60">
        <f t="shared" si="24"/>
        <v>51.777087639996637</v>
      </c>
      <c r="O31" s="60">
        <f t="shared" si="24"/>
        <v>19.777087639996637</v>
      </c>
      <c r="P31" s="60">
        <f t="shared" si="25"/>
        <v>90.509667991878089</v>
      </c>
      <c r="Q31" s="60">
        <f t="shared" si="26"/>
        <v>110.85125168440814</v>
      </c>
      <c r="R31" s="60">
        <f t="shared" si="27"/>
        <v>143.10835055998655</v>
      </c>
      <c r="S31" s="60">
        <f t="shared" si="19"/>
        <v>55.42562584220407</v>
      </c>
      <c r="T31" s="60">
        <f t="shared" si="20"/>
        <v>32</v>
      </c>
    </row>
    <row r="32" spans="1:20" ht="14.1">
      <c r="A32" s="57"/>
      <c r="B32" s="61">
        <f t="shared" ref="B32:G32" si="30">B21*320</f>
        <v>452.54833995939043</v>
      </c>
      <c r="C32" s="61">
        <f t="shared" si="30"/>
        <v>732.23859560663595</v>
      </c>
      <c r="D32" s="61">
        <f t="shared" si="30"/>
        <v>279.69025564724552</v>
      </c>
      <c r="E32" s="61">
        <f t="shared" si="30"/>
        <v>226.27416997969522</v>
      </c>
      <c r="F32" s="61">
        <f t="shared" si="30"/>
        <v>366.11929780331798</v>
      </c>
      <c r="G32" s="61">
        <f t="shared" si="30"/>
        <v>139.84512782362276</v>
      </c>
      <c r="I32" s="58"/>
      <c r="J32" s="59">
        <f>1/6</f>
        <v>0.16666666666666666</v>
      </c>
      <c r="K32" s="60">
        <f t="shared" si="21"/>
        <v>53.333333333333329</v>
      </c>
      <c r="L32" s="60">
        <f t="shared" si="22"/>
        <v>86.295146066661047</v>
      </c>
      <c r="M32" s="60">
        <f t="shared" si="23"/>
        <v>32.961812733327726</v>
      </c>
      <c r="N32" s="60">
        <f t="shared" si="24"/>
        <v>43.147573033330524</v>
      </c>
      <c r="O32" s="60">
        <f t="shared" si="24"/>
        <v>16.480906366663863</v>
      </c>
      <c r="P32" s="60">
        <f t="shared" si="25"/>
        <v>75.424723326565072</v>
      </c>
      <c r="Q32" s="60">
        <f t="shared" si="26"/>
        <v>92.376043070340103</v>
      </c>
      <c r="R32" s="60">
        <f t="shared" si="27"/>
        <v>119.25695879998878</v>
      </c>
      <c r="S32" s="60">
        <f t="shared" si="19"/>
        <v>46.188021535170051</v>
      </c>
      <c r="T32" s="60">
        <f t="shared" si="20"/>
        <v>26.666666666666664</v>
      </c>
    </row>
    <row r="33" spans="1:24">
      <c r="B33" s="61">
        <f t="shared" ref="B33:G33" si="31">B23*320</f>
        <v>715.54175279993274</v>
      </c>
      <c r="C33" s="61">
        <f t="shared" si="31"/>
        <v>2005.3179814482885</v>
      </c>
      <c r="D33" s="61">
        <f t="shared" si="31"/>
        <v>765.96331066191522</v>
      </c>
      <c r="E33" s="61">
        <f t="shared" si="31"/>
        <v>619.6773353931867</v>
      </c>
      <c r="F33" s="61">
        <f t="shared" si="31"/>
        <v>1736.6563145999496</v>
      </c>
      <c r="G33" s="61">
        <f t="shared" si="31"/>
        <v>663.34368540005062</v>
      </c>
      <c r="I33" s="58"/>
      <c r="J33" s="59">
        <f>1/7</f>
        <v>0.14285714285714285</v>
      </c>
      <c r="K33" s="60">
        <f t="shared" si="21"/>
        <v>45.714285714285708</v>
      </c>
      <c r="L33" s="60">
        <f t="shared" si="22"/>
        <v>73.967268057138043</v>
      </c>
      <c r="M33" s="60">
        <f t="shared" si="23"/>
        <v>28.252982342852334</v>
      </c>
      <c r="N33" s="60">
        <f t="shared" si="24"/>
        <v>36.983634028569021</v>
      </c>
      <c r="O33" s="60">
        <f t="shared" si="24"/>
        <v>14.126491171426167</v>
      </c>
      <c r="P33" s="60">
        <f t="shared" si="25"/>
        <v>64.649762851341478</v>
      </c>
      <c r="Q33" s="60">
        <f t="shared" si="26"/>
        <v>79.179465488862945</v>
      </c>
      <c r="R33" s="60">
        <f t="shared" si="27"/>
        <v>102.22025039999038</v>
      </c>
      <c r="S33" s="60">
        <f t="shared" si="19"/>
        <v>39.589732744431473</v>
      </c>
      <c r="T33" s="60">
        <f t="shared" si="20"/>
        <v>22.857142857142854</v>
      </c>
    </row>
    <row r="34" spans="1:24" ht="14.1">
      <c r="A34" s="62" t="s">
        <v>223</v>
      </c>
      <c r="B34" s="63"/>
      <c r="C34" s="64"/>
      <c r="D34" s="64"/>
      <c r="E34" s="64"/>
      <c r="F34" s="64"/>
      <c r="G34" s="64"/>
      <c r="I34" s="58"/>
      <c r="J34" s="59">
        <f>1/8</f>
        <v>0.125</v>
      </c>
      <c r="K34" s="60">
        <f t="shared" si="21"/>
        <v>40</v>
      </c>
      <c r="L34" s="60">
        <f t="shared" si="22"/>
        <v>64.721359549995796</v>
      </c>
      <c r="M34" s="60">
        <f t="shared" si="23"/>
        <v>24.721359549995796</v>
      </c>
      <c r="N34" s="60">
        <f t="shared" si="24"/>
        <v>32.360679774997898</v>
      </c>
      <c r="O34" s="60">
        <f t="shared" si="24"/>
        <v>12.360679774997898</v>
      </c>
      <c r="P34" s="60">
        <f t="shared" si="25"/>
        <v>56.568542494923804</v>
      </c>
      <c r="Q34" s="60">
        <f t="shared" si="26"/>
        <v>69.282032302755084</v>
      </c>
      <c r="R34" s="60">
        <f t="shared" si="27"/>
        <v>89.442719099991592</v>
      </c>
      <c r="S34" s="60">
        <f t="shared" si="19"/>
        <v>34.641016151377542</v>
      </c>
      <c r="T34" s="60">
        <f t="shared" si="20"/>
        <v>20</v>
      </c>
    </row>
    <row r="35" spans="1:24" ht="14.1">
      <c r="A35" s="62"/>
      <c r="B35" s="65">
        <f t="shared" ref="B35:G35" si="32">B20*80</f>
        <v>80</v>
      </c>
      <c r="C35" s="65">
        <f t="shared" si="32"/>
        <v>129.44271909999159</v>
      </c>
      <c r="D35" s="65">
        <f t="shared" si="32"/>
        <v>49.442719099991592</v>
      </c>
      <c r="E35" s="65">
        <f t="shared" si="32"/>
        <v>40</v>
      </c>
      <c r="F35" s="65">
        <f t="shared" si="32"/>
        <v>64.721359549995796</v>
      </c>
      <c r="G35" s="65">
        <f t="shared" si="32"/>
        <v>24.721359549995796</v>
      </c>
      <c r="I35" s="58"/>
      <c r="J35" s="59">
        <f>1/9</f>
        <v>0.1111111111111111</v>
      </c>
      <c r="K35" s="60">
        <f t="shared" si="21"/>
        <v>35.555555555555557</v>
      </c>
      <c r="L35" s="60">
        <f t="shared" si="22"/>
        <v>57.530097377774041</v>
      </c>
      <c r="M35" s="60">
        <f t="shared" si="23"/>
        <v>21.974541822218487</v>
      </c>
      <c r="N35" s="60">
        <f t="shared" si="24"/>
        <v>28.76504868888702</v>
      </c>
      <c r="O35" s="60">
        <f t="shared" si="24"/>
        <v>10.987270911109244</v>
      </c>
      <c r="P35" s="60">
        <f t="shared" si="25"/>
        <v>50.283148884376722</v>
      </c>
      <c r="Q35" s="60">
        <f t="shared" si="26"/>
        <v>61.58402871356008</v>
      </c>
      <c r="R35" s="60">
        <f t="shared" si="27"/>
        <v>79.504639199992525</v>
      </c>
      <c r="S35" s="60">
        <f t="shared" si="19"/>
        <v>30.79201435678004</v>
      </c>
      <c r="T35" s="60">
        <f t="shared" si="20"/>
        <v>17.777777777777779</v>
      </c>
    </row>
    <row r="36" spans="1:24" ht="14.1">
      <c r="A36" s="62"/>
      <c r="B36" s="65">
        <f t="shared" ref="B36:G36" si="33">B22*80</f>
        <v>138.56406460551017</v>
      </c>
      <c r="C36" s="65">
        <f t="shared" si="33"/>
        <v>224.20136615105176</v>
      </c>
      <c r="D36" s="65">
        <f t="shared" si="33"/>
        <v>85.63730154554159</v>
      </c>
      <c r="E36" s="65">
        <f t="shared" si="33"/>
        <v>69.282032302755084</v>
      </c>
      <c r="F36" s="65">
        <f t="shared" si="33"/>
        <v>112.10068307552588</v>
      </c>
      <c r="G36" s="65">
        <f t="shared" si="33"/>
        <v>42.818650772770795</v>
      </c>
      <c r="I36" s="62" t="s">
        <v>224</v>
      </c>
      <c r="J36" s="62" t="s">
        <v>209</v>
      </c>
      <c r="K36" s="62" t="s">
        <v>210</v>
      </c>
      <c r="L36" s="62" t="s">
        <v>211</v>
      </c>
      <c r="M36" s="62" t="s">
        <v>212</v>
      </c>
      <c r="N36" s="62" t="s">
        <v>213</v>
      </c>
      <c r="O36" s="62" t="s">
        <v>214</v>
      </c>
      <c r="P36" s="62" t="s">
        <v>215</v>
      </c>
      <c r="Q36" s="62" t="s">
        <v>216</v>
      </c>
      <c r="R36" s="62" t="s">
        <v>217</v>
      </c>
      <c r="S36" s="62" t="s">
        <v>218</v>
      </c>
      <c r="T36" s="62" t="str">
        <f>"/2"</f>
        <v>/2</v>
      </c>
    </row>
    <row r="37" spans="1:24" ht="14.1">
      <c r="A37" s="62"/>
      <c r="B37" s="65">
        <f t="shared" ref="B37:G37" si="34">B21*80</f>
        <v>113.13708498984761</v>
      </c>
      <c r="C37" s="65">
        <f t="shared" si="34"/>
        <v>183.05964890165899</v>
      </c>
      <c r="D37" s="65">
        <f t="shared" si="34"/>
        <v>69.92256391181138</v>
      </c>
      <c r="E37" s="65">
        <f t="shared" si="34"/>
        <v>56.568542494923804</v>
      </c>
      <c r="F37" s="65">
        <f t="shared" si="34"/>
        <v>91.529824450829494</v>
      </c>
      <c r="G37" s="65">
        <f t="shared" si="34"/>
        <v>34.96128195590569</v>
      </c>
      <c r="I37" s="62" t="str">
        <f>"1/2"</f>
        <v>1/2</v>
      </c>
      <c r="J37" s="66">
        <v>0.5</v>
      </c>
      <c r="K37" s="67">
        <f>J37*80</f>
        <v>40</v>
      </c>
      <c r="L37" s="67">
        <f>K37*(1+SQRT(5))/2</f>
        <v>64.721359549995796</v>
      </c>
      <c r="M37" s="67">
        <f>K37*(SQRT(5)-1)/2</f>
        <v>24.721359549995796</v>
      </c>
      <c r="N37" s="67">
        <f>L37/2</f>
        <v>32.360679774997898</v>
      </c>
      <c r="O37" s="67">
        <f>M37/2</f>
        <v>12.360679774997898</v>
      </c>
      <c r="P37" s="67">
        <f>K37*SQRT(2)</f>
        <v>56.568542494923804</v>
      </c>
      <c r="Q37" s="67">
        <f>K37*SQRT(3)</f>
        <v>69.282032302755084</v>
      </c>
      <c r="R37" s="67">
        <f>K37*SQRT(5)</f>
        <v>89.442719099991592</v>
      </c>
      <c r="S37" s="67">
        <f t="shared" ref="S37:S44" si="35">Q37/2</f>
        <v>34.641016151377542</v>
      </c>
      <c r="T37" s="67">
        <f t="shared" ref="T37:T44" si="36">K37*0.5</f>
        <v>20</v>
      </c>
    </row>
    <row r="38" spans="1:24" ht="14.1">
      <c r="B38" s="65">
        <f t="shared" ref="B38:G38" si="37">B23*80</f>
        <v>178.88543819998318</v>
      </c>
      <c r="C38" s="65">
        <f t="shared" si="37"/>
        <v>501.32949536207212</v>
      </c>
      <c r="D38" s="65">
        <f t="shared" si="37"/>
        <v>191.4908276654788</v>
      </c>
      <c r="E38" s="65">
        <f t="shared" si="37"/>
        <v>154.91933384829667</v>
      </c>
      <c r="F38" s="65">
        <f t="shared" si="37"/>
        <v>434.1640786499874</v>
      </c>
      <c r="G38" s="65">
        <f t="shared" si="37"/>
        <v>165.83592135001265</v>
      </c>
      <c r="I38" s="62" t="str">
        <f>"1/3"</f>
        <v>1/3</v>
      </c>
      <c r="J38" s="66">
        <f>1/3</f>
        <v>0.33333333333333331</v>
      </c>
      <c r="K38" s="67">
        <f t="shared" ref="K38:K44" si="38">J38*80</f>
        <v>26.666666666666664</v>
      </c>
      <c r="L38" s="67">
        <f t="shared" ref="L38:L44" si="39">K38*(1+SQRT(5))/2</f>
        <v>43.147573033330524</v>
      </c>
      <c r="M38" s="67">
        <f t="shared" ref="M38:M44" si="40">K38*(SQRT(5)-1)/2</f>
        <v>16.480906366663863</v>
      </c>
      <c r="N38" s="67">
        <f t="shared" ref="N38:O44" si="41">L38/2</f>
        <v>21.573786516665262</v>
      </c>
      <c r="O38" s="67">
        <f t="shared" si="41"/>
        <v>8.2404531833319314</v>
      </c>
      <c r="P38" s="67">
        <f t="shared" ref="P38:P44" si="42">K38*SQRT(2)</f>
        <v>37.712361663282536</v>
      </c>
      <c r="Q38" s="67">
        <f t="shared" ref="Q38:Q44" si="43">K38*SQRT(3)</f>
        <v>46.188021535170051</v>
      </c>
      <c r="R38" s="67">
        <f t="shared" ref="R38:R44" si="44">K38*SQRT(5)</f>
        <v>59.62847939999439</v>
      </c>
      <c r="S38" s="67">
        <f t="shared" si="35"/>
        <v>23.094010767585026</v>
      </c>
      <c r="T38" s="67">
        <f t="shared" si="36"/>
        <v>13.333333333333332</v>
      </c>
    </row>
    <row r="39" spans="1:24" ht="14.1">
      <c r="I39" s="62" t="str">
        <f>"1/4"</f>
        <v>1/4</v>
      </c>
      <c r="J39" s="66">
        <f>1/4</f>
        <v>0.25</v>
      </c>
      <c r="K39" s="67">
        <f t="shared" si="38"/>
        <v>20</v>
      </c>
      <c r="L39" s="67">
        <f t="shared" si="39"/>
        <v>32.360679774997898</v>
      </c>
      <c r="M39" s="67">
        <f t="shared" si="40"/>
        <v>12.360679774997898</v>
      </c>
      <c r="N39" s="67">
        <f t="shared" si="41"/>
        <v>16.180339887498949</v>
      </c>
      <c r="O39" s="67">
        <f t="shared" si="41"/>
        <v>6.180339887498949</v>
      </c>
      <c r="P39" s="67">
        <f t="shared" si="42"/>
        <v>28.284271247461902</v>
      </c>
      <c r="Q39" s="67">
        <f t="shared" si="43"/>
        <v>34.641016151377542</v>
      </c>
      <c r="R39" s="67">
        <f t="shared" si="44"/>
        <v>44.721359549995796</v>
      </c>
      <c r="S39" s="67">
        <f t="shared" si="35"/>
        <v>17.320508075688771</v>
      </c>
      <c r="T39" s="67">
        <f t="shared" si="36"/>
        <v>10</v>
      </c>
    </row>
    <row r="40" spans="1:24" ht="14.1">
      <c r="A40" s="6">
        <f>2.0868/14</f>
        <v>0.14905714285714286</v>
      </c>
      <c r="B40">
        <f>A40/0.14908</f>
        <v>0.99984667867683708</v>
      </c>
      <c r="I40" s="62" t="str">
        <f>"1/5"</f>
        <v>1/5</v>
      </c>
      <c r="J40" s="66">
        <f>1/5</f>
        <v>0.2</v>
      </c>
      <c r="K40" s="67">
        <f t="shared" si="38"/>
        <v>16</v>
      </c>
      <c r="L40" s="67">
        <f t="shared" si="39"/>
        <v>25.888543819998318</v>
      </c>
      <c r="M40" s="67">
        <f t="shared" si="40"/>
        <v>9.8885438199983184</v>
      </c>
      <c r="N40" s="67">
        <f t="shared" si="41"/>
        <v>12.944271909999159</v>
      </c>
      <c r="O40" s="67">
        <f t="shared" si="41"/>
        <v>4.9442719099991592</v>
      </c>
      <c r="P40" s="67">
        <f t="shared" si="42"/>
        <v>22.627416997969522</v>
      </c>
      <c r="Q40" s="67">
        <f t="shared" si="43"/>
        <v>27.712812921102035</v>
      </c>
      <c r="R40" s="67">
        <f t="shared" si="44"/>
        <v>35.777087639996637</v>
      </c>
      <c r="S40" s="67">
        <f t="shared" si="35"/>
        <v>13.856406460551018</v>
      </c>
      <c r="T40" s="67">
        <f t="shared" si="36"/>
        <v>8</v>
      </c>
    </row>
    <row r="41" spans="1:24" ht="14.1">
      <c r="B41">
        <f>5280*0.14908</f>
        <v>787.14239999999995</v>
      </c>
      <c r="I41" s="62" t="str">
        <f>"1/6"</f>
        <v>1/6</v>
      </c>
      <c r="J41" s="66">
        <f>1/6</f>
        <v>0.16666666666666666</v>
      </c>
      <c r="K41" s="67">
        <f t="shared" si="38"/>
        <v>13.333333333333332</v>
      </c>
      <c r="L41" s="67">
        <f t="shared" si="39"/>
        <v>21.573786516665262</v>
      </c>
      <c r="M41" s="67">
        <f t="shared" si="40"/>
        <v>8.2404531833319314</v>
      </c>
      <c r="N41" s="67">
        <f t="shared" si="41"/>
        <v>10.786893258332631</v>
      </c>
      <c r="O41" s="67">
        <f t="shared" si="41"/>
        <v>4.1202265916659657</v>
      </c>
      <c r="P41" s="67">
        <f t="shared" si="42"/>
        <v>18.856180831641268</v>
      </c>
      <c r="Q41" s="67">
        <f t="shared" si="43"/>
        <v>23.094010767585026</v>
      </c>
      <c r="R41" s="67">
        <f t="shared" si="44"/>
        <v>29.814239699997195</v>
      </c>
      <c r="S41" s="67">
        <f t="shared" si="35"/>
        <v>11.547005383792513</v>
      </c>
      <c r="T41" s="67">
        <f t="shared" si="36"/>
        <v>6.6666666666666661</v>
      </c>
      <c r="X41">
        <v>18</v>
      </c>
    </row>
    <row r="42" spans="1:24" ht="14.1">
      <c r="I42" s="62" t="str">
        <f>"1/7"</f>
        <v>1/7</v>
      </c>
      <c r="J42" s="66">
        <f>1/7</f>
        <v>0.14285714285714285</v>
      </c>
      <c r="K42" s="67">
        <f t="shared" si="38"/>
        <v>11.428571428571427</v>
      </c>
      <c r="L42" s="67">
        <f t="shared" si="39"/>
        <v>18.491817014284511</v>
      </c>
      <c r="M42" s="67">
        <f t="shared" si="40"/>
        <v>7.0632455857130836</v>
      </c>
      <c r="N42" s="67">
        <f t="shared" si="41"/>
        <v>9.2459085071422553</v>
      </c>
      <c r="O42" s="67">
        <f t="shared" si="41"/>
        <v>3.5316227928565418</v>
      </c>
      <c r="P42" s="67">
        <f t="shared" si="42"/>
        <v>16.16244071283537</v>
      </c>
      <c r="Q42" s="67">
        <f t="shared" si="43"/>
        <v>19.794866372215736</v>
      </c>
      <c r="R42" s="67">
        <f t="shared" si="44"/>
        <v>25.555062599997594</v>
      </c>
      <c r="S42" s="67">
        <f t="shared" si="35"/>
        <v>9.8974331861078682</v>
      </c>
      <c r="T42" s="67">
        <f t="shared" si="36"/>
        <v>5.7142857142857135</v>
      </c>
      <c r="X42">
        <v>16.363636363636363</v>
      </c>
    </row>
    <row r="43" spans="1:24" ht="14.1">
      <c r="I43" s="62" t="str">
        <f>"1/8"</f>
        <v>1/8</v>
      </c>
      <c r="J43" s="66">
        <f>1/8</f>
        <v>0.125</v>
      </c>
      <c r="K43" s="67">
        <f t="shared" si="38"/>
        <v>10</v>
      </c>
      <c r="L43" s="67">
        <f t="shared" si="39"/>
        <v>16.180339887498949</v>
      </c>
      <c r="M43" s="67">
        <f t="shared" si="40"/>
        <v>6.180339887498949</v>
      </c>
      <c r="N43" s="67">
        <f t="shared" si="41"/>
        <v>8.0901699437494745</v>
      </c>
      <c r="O43" s="67">
        <f t="shared" si="41"/>
        <v>3.0901699437494745</v>
      </c>
      <c r="P43" s="67">
        <f t="shared" si="42"/>
        <v>14.142135623730951</v>
      </c>
      <c r="Q43" s="67">
        <f t="shared" si="43"/>
        <v>17.320508075688771</v>
      </c>
      <c r="R43" s="67">
        <f t="shared" si="44"/>
        <v>22.360679774997898</v>
      </c>
      <c r="S43" s="67">
        <f t="shared" si="35"/>
        <v>8.6602540378443855</v>
      </c>
      <c r="T43" s="67">
        <f t="shared" si="36"/>
        <v>5</v>
      </c>
      <c r="X43">
        <v>14.999999999999998</v>
      </c>
    </row>
    <row r="44" spans="1:24" ht="14.1">
      <c r="I44" s="62" t="str">
        <f>"1/9"</f>
        <v>1/9</v>
      </c>
      <c r="J44" s="66">
        <f>1/9</f>
        <v>0.1111111111111111</v>
      </c>
      <c r="K44" s="67">
        <f t="shared" si="38"/>
        <v>8.8888888888888893</v>
      </c>
      <c r="L44" s="67">
        <f t="shared" si="39"/>
        <v>14.38252434444351</v>
      </c>
      <c r="M44" s="67">
        <f t="shared" si="40"/>
        <v>5.4936354555546218</v>
      </c>
      <c r="N44" s="67">
        <f t="shared" si="41"/>
        <v>7.1912621722217551</v>
      </c>
      <c r="O44" s="67">
        <f t="shared" si="41"/>
        <v>2.7468177277773109</v>
      </c>
      <c r="P44" s="67">
        <f t="shared" si="42"/>
        <v>12.57078722109418</v>
      </c>
      <c r="Q44" s="67">
        <f t="shared" si="43"/>
        <v>15.39600717839002</v>
      </c>
      <c r="R44" s="67">
        <f t="shared" si="44"/>
        <v>19.876159799998131</v>
      </c>
      <c r="S44" s="67">
        <f t="shared" si="35"/>
        <v>7.69800358919501</v>
      </c>
      <c r="T44" s="67">
        <f t="shared" si="36"/>
        <v>4.4444444444444446</v>
      </c>
      <c r="X44">
        <v>13.846153846153847</v>
      </c>
    </row>
    <row r="45" spans="1:24">
      <c r="X45">
        <v>12.857142857142858</v>
      </c>
    </row>
    <row r="46" spans="1:24">
      <c r="X46">
        <v>12</v>
      </c>
    </row>
    <row r="47" spans="1:24">
      <c r="A47" s="68"/>
      <c r="C47" s="6"/>
      <c r="D47" s="6"/>
      <c r="E47"/>
      <c r="F47"/>
    </row>
    <row r="48" spans="1:24" ht="14.1">
      <c r="A48" s="68"/>
      <c r="E48"/>
      <c r="F48" s="6" t="s">
        <v>225</v>
      </c>
      <c r="R48" s="69" t="s">
        <v>221</v>
      </c>
    </row>
    <row r="49" spans="1:18" ht="14.4" thickBot="1">
      <c r="A49" s="70"/>
      <c r="B49" s="71" t="s">
        <v>67</v>
      </c>
      <c r="C49" s="71" t="s">
        <v>226</v>
      </c>
      <c r="D49" s="71" t="s">
        <v>84</v>
      </c>
      <c r="E49" s="71" t="s">
        <v>227</v>
      </c>
      <c r="F49" s="70" t="s">
        <v>228</v>
      </c>
      <c r="G49" s="71"/>
      <c r="H49" s="71" t="s">
        <v>67</v>
      </c>
      <c r="I49" s="71" t="s">
        <v>226</v>
      </c>
      <c r="J49" s="71" t="s">
        <v>84</v>
      </c>
      <c r="K49" s="71" t="s">
        <v>227</v>
      </c>
      <c r="L49" s="70" t="s">
        <v>228</v>
      </c>
      <c r="M49" s="72"/>
      <c r="N49" s="73" t="s">
        <v>67</v>
      </c>
      <c r="O49" s="73" t="s">
        <v>226</v>
      </c>
      <c r="P49" s="73" t="s">
        <v>84</v>
      </c>
      <c r="Q49" s="73" t="s">
        <v>227</v>
      </c>
      <c r="R49" s="74" t="s">
        <v>228</v>
      </c>
    </row>
    <row r="50" spans="1:18" ht="14.4" thickTop="1">
      <c r="A50" s="75" t="s">
        <v>67</v>
      </c>
      <c r="B50" s="45"/>
      <c r="C50" s="76">
        <f>B51/5280</f>
        <v>0.42140151515151514</v>
      </c>
      <c r="D50" s="77">
        <f>B52/5280</f>
        <v>1.571969696969697</v>
      </c>
      <c r="E50" s="78">
        <f>B53/5280</f>
        <v>0.87405303030303028</v>
      </c>
      <c r="F50" s="79">
        <f>B54/5280</f>
        <v>0.54545454545454541</v>
      </c>
      <c r="G50" s="80" t="s">
        <v>67</v>
      </c>
      <c r="H50" s="45"/>
      <c r="I50" s="76"/>
      <c r="J50" s="76"/>
      <c r="K50" s="81" t="s">
        <v>229</v>
      </c>
      <c r="L50" s="82"/>
      <c r="M50" s="83" t="s">
        <v>67</v>
      </c>
      <c r="N50" s="76"/>
      <c r="O50" s="76">
        <f>B51/320</f>
        <v>6.953125</v>
      </c>
      <c r="P50" s="76">
        <f>B52/320</f>
        <v>25.9375</v>
      </c>
      <c r="Q50" s="84">
        <f>B53/320</f>
        <v>14.421875</v>
      </c>
      <c r="R50" s="85">
        <f>B54/320</f>
        <v>9</v>
      </c>
    </row>
    <row r="51" spans="1:18" ht="14.1">
      <c r="A51" s="75" t="s">
        <v>226</v>
      </c>
      <c r="B51" s="45">
        <v>2225</v>
      </c>
      <c r="C51" s="45"/>
      <c r="D51" s="86">
        <f>C52/5280</f>
        <v>1.7320075757575757</v>
      </c>
      <c r="E51" s="87">
        <f>C53/5280</f>
        <v>0.55965909090909094</v>
      </c>
      <c r="F51" s="8"/>
      <c r="G51" s="80" t="s">
        <v>226</v>
      </c>
      <c r="H51" s="45"/>
      <c r="I51" s="45"/>
      <c r="J51" s="88" t="s">
        <v>230</v>
      </c>
      <c r="K51" s="89"/>
      <c r="L51" s="68"/>
      <c r="M51" s="83" t="s">
        <v>226</v>
      </c>
      <c r="N51" s="76">
        <f>B51/80</f>
        <v>27.8125</v>
      </c>
      <c r="O51" s="76"/>
      <c r="P51" s="90">
        <f>C52/320</f>
        <v>28.578125</v>
      </c>
      <c r="Q51" s="91">
        <f>C53/320</f>
        <v>9.234375</v>
      </c>
      <c r="R51" s="92"/>
    </row>
    <row r="52" spans="1:18" ht="14.1">
      <c r="A52" s="75" t="s">
        <v>84</v>
      </c>
      <c r="B52" s="45">
        <v>8300</v>
      </c>
      <c r="C52" s="93">
        <v>9145</v>
      </c>
      <c r="D52" s="76"/>
      <c r="E52" s="94">
        <f>D53/5280</f>
        <v>2.2882575757575756</v>
      </c>
      <c r="F52" s="95">
        <f>D54/5280</f>
        <v>1.481060606060606</v>
      </c>
      <c r="G52" s="80" t="s">
        <v>84</v>
      </c>
      <c r="H52" s="45"/>
      <c r="I52" s="93" t="s">
        <v>216</v>
      </c>
      <c r="J52" s="76"/>
      <c r="K52" s="96" t="s">
        <v>231</v>
      </c>
      <c r="L52" s="9"/>
      <c r="M52" s="83" t="s">
        <v>84</v>
      </c>
      <c r="N52" s="76">
        <f>B52/80</f>
        <v>103.75</v>
      </c>
      <c r="O52" s="90">
        <f>C52/80</f>
        <v>114.3125</v>
      </c>
      <c r="P52" s="76"/>
      <c r="Q52" s="97">
        <f>D53/320</f>
        <v>37.756250000000001</v>
      </c>
      <c r="R52" s="98">
        <f>D54/320</f>
        <v>24.4375</v>
      </c>
    </row>
    <row r="53" spans="1:18" ht="14.1">
      <c r="A53" s="75" t="s">
        <v>227</v>
      </c>
      <c r="B53" s="99">
        <v>4615</v>
      </c>
      <c r="C53" s="100">
        <v>2955</v>
      </c>
      <c r="D53" s="101">
        <v>12082</v>
      </c>
      <c r="F53" s="68"/>
      <c r="G53" s="80" t="s">
        <v>227</v>
      </c>
      <c r="H53" s="99" t="s">
        <v>232</v>
      </c>
      <c r="I53" s="100"/>
      <c r="J53" s="101" t="s">
        <v>233</v>
      </c>
      <c r="K53" s="45"/>
      <c r="L53" s="68"/>
      <c r="M53" s="83" t="s">
        <v>227</v>
      </c>
      <c r="N53" s="84">
        <f>B53/80</f>
        <v>57.6875</v>
      </c>
      <c r="O53" s="91">
        <f>C53/80</f>
        <v>36.9375</v>
      </c>
      <c r="P53" s="97">
        <f>D53/80</f>
        <v>151.02500000000001</v>
      </c>
      <c r="Q53" s="76"/>
      <c r="R53" s="102"/>
    </row>
    <row r="54" spans="1:18" ht="14.4" thickBot="1">
      <c r="A54" s="75" t="s">
        <v>234</v>
      </c>
      <c r="B54" s="103">
        <v>2880</v>
      </c>
      <c r="C54" s="45"/>
      <c r="D54" s="104">
        <v>7820</v>
      </c>
      <c r="F54" s="68"/>
      <c r="G54" s="80" t="s">
        <v>228</v>
      </c>
      <c r="H54" s="45"/>
      <c r="I54" s="45"/>
      <c r="J54" s="45"/>
      <c r="K54" s="45"/>
      <c r="L54" s="68"/>
      <c r="M54" s="105" t="s">
        <v>228</v>
      </c>
      <c r="N54" s="106">
        <f>B54/80</f>
        <v>36</v>
      </c>
      <c r="O54" s="107"/>
      <c r="P54" s="107">
        <f>D54/80</f>
        <v>97.75</v>
      </c>
      <c r="Q54" s="107"/>
      <c r="R54" s="108"/>
    </row>
    <row r="55" spans="1:18" ht="14.4" thickTop="1">
      <c r="A55" s="75" t="s">
        <v>67</v>
      </c>
      <c r="B55" s="45"/>
      <c r="C55" s="76"/>
      <c r="D55" s="77"/>
      <c r="E55" s="78">
        <f>B58/5280</f>
        <v>0.86344696969696966</v>
      </c>
      <c r="F55" s="79"/>
      <c r="G55" s="80" t="s">
        <v>67</v>
      </c>
      <c r="H55" s="45"/>
      <c r="I55" s="76"/>
      <c r="J55" s="77"/>
      <c r="K55" s="78">
        <f>(SQRT(5)-1)/SQRT(2)</f>
        <v>0.87403204889764219</v>
      </c>
      <c r="L55" s="82"/>
      <c r="M55" s="109" t="s">
        <v>224</v>
      </c>
      <c r="N55" s="110"/>
      <c r="O55" s="110">
        <f>MOD(B51,320)</f>
        <v>305</v>
      </c>
      <c r="P55" s="110">
        <f>MOD(B52,320)</f>
        <v>300</v>
      </c>
      <c r="Q55" s="111">
        <f>MOD(B53,320)</f>
        <v>135</v>
      </c>
      <c r="R55" s="112">
        <f>MOD(B54,320)</f>
        <v>0</v>
      </c>
    </row>
    <row r="56" spans="1:18" ht="14.1">
      <c r="A56" s="75" t="s">
        <v>226</v>
      </c>
      <c r="B56" s="45"/>
      <c r="C56" s="45"/>
      <c r="D56" s="86">
        <f>C57/5280</f>
        <v>1.7124999999999999</v>
      </c>
      <c r="E56" s="87"/>
      <c r="F56" s="8"/>
      <c r="G56" s="80" t="s">
        <v>226</v>
      </c>
      <c r="H56" s="45"/>
      <c r="I56" s="45"/>
      <c r="J56" s="86">
        <f>SQRT(3)</f>
        <v>1.7320508075688772</v>
      </c>
      <c r="K56" s="89"/>
      <c r="L56" s="68"/>
      <c r="N56" s="110">
        <f>MOD(B51,80)</f>
        <v>65</v>
      </c>
      <c r="O56" s="110"/>
      <c r="P56" s="113">
        <f>MOD(C52,320)</f>
        <v>185</v>
      </c>
      <c r="Q56" s="114">
        <f>MOD(C53,320)</f>
        <v>75</v>
      </c>
      <c r="R56" s="115"/>
    </row>
    <row r="57" spans="1:18" ht="14.1">
      <c r="A57" s="75" t="s">
        <v>84</v>
      </c>
      <c r="B57" s="45"/>
      <c r="C57" s="93">
        <v>9042</v>
      </c>
      <c r="D57" s="76"/>
      <c r="E57" s="94">
        <f>D58/5280</f>
        <v>2.2799242424242423</v>
      </c>
      <c r="F57" s="95"/>
      <c r="G57" s="80" t="s">
        <v>84</v>
      </c>
      <c r="H57" s="45"/>
      <c r="I57" s="116">
        <f>J56*5280</f>
        <v>9145.2282639636724</v>
      </c>
      <c r="J57" s="77"/>
      <c r="K57" s="94">
        <f>(SQRT(5)+1)/SQRT(2)</f>
        <v>2.288245611270737</v>
      </c>
      <c r="L57" s="9"/>
      <c r="N57" s="110">
        <f>MOD(B52,80)</f>
        <v>60</v>
      </c>
      <c r="O57" s="113">
        <f>MOD(C52,80)</f>
        <v>25</v>
      </c>
      <c r="P57" s="110"/>
      <c r="Q57" s="117">
        <f>MOD(D53,320)</f>
        <v>242</v>
      </c>
      <c r="R57" s="118">
        <f>MOD(D54,320)</f>
        <v>140</v>
      </c>
    </row>
    <row r="58" spans="1:18" ht="14.1">
      <c r="A58" s="75" t="s">
        <v>227</v>
      </c>
      <c r="B58" s="99">
        <v>4559</v>
      </c>
      <c r="C58" s="100"/>
      <c r="D58" s="101">
        <v>12038</v>
      </c>
      <c r="F58" s="68"/>
      <c r="G58" s="80" t="s">
        <v>227</v>
      </c>
      <c r="H58" s="119">
        <f>K55*5280</f>
        <v>4614.8892181795509</v>
      </c>
      <c r="I58" s="100"/>
      <c r="J58" s="120">
        <f>K57*5280</f>
        <v>12081.936827509491</v>
      </c>
      <c r="K58" s="45"/>
      <c r="L58" s="68"/>
      <c r="N58" s="111">
        <f>MOD(B53,80)</f>
        <v>55</v>
      </c>
      <c r="O58" s="114">
        <f>MOD(C53,80)</f>
        <v>75</v>
      </c>
      <c r="P58" s="117">
        <f>MOD(D53,80)</f>
        <v>2</v>
      </c>
      <c r="Q58" s="110"/>
      <c r="R58" s="115"/>
    </row>
    <row r="59" spans="1:18" ht="14.1">
      <c r="A59" s="75" t="s">
        <v>234</v>
      </c>
      <c r="B59" s="103">
        <v>2780</v>
      </c>
      <c r="C59" s="45"/>
      <c r="D59" s="104">
        <v>7760</v>
      </c>
      <c r="F59" s="68"/>
      <c r="G59" s="80" t="s">
        <v>228</v>
      </c>
      <c r="H59" s="45"/>
      <c r="I59" s="45"/>
      <c r="J59" s="45"/>
      <c r="K59" s="45"/>
      <c r="L59" s="68"/>
      <c r="N59" s="121">
        <f>MOD(B54,80)</f>
        <v>0</v>
      </c>
      <c r="O59" s="110"/>
      <c r="P59" s="110">
        <f>MOD(D54,80)</f>
        <v>60</v>
      </c>
      <c r="Q59" s="110"/>
      <c r="R59" s="115"/>
    </row>
    <row r="60" spans="1:18" ht="14.1">
      <c r="A60" s="75" t="s">
        <v>67</v>
      </c>
      <c r="B60" s="45"/>
      <c r="C60" s="76"/>
      <c r="D60" s="77"/>
      <c r="E60" s="122">
        <f>E50-E55</f>
        <v>1.0606060606060619E-2</v>
      </c>
      <c r="F60" s="79"/>
    </row>
    <row r="61" spans="1:18" ht="14.1">
      <c r="A61" s="75" t="s">
        <v>226</v>
      </c>
      <c r="B61" s="45"/>
      <c r="C61" s="45"/>
      <c r="D61" s="123">
        <f>D51-D56</f>
        <v>1.9507575757575779E-2</v>
      </c>
      <c r="E61" s="87"/>
      <c r="F61" s="8"/>
    </row>
    <row r="62" spans="1:18" ht="14.1">
      <c r="A62" s="75" t="s">
        <v>84</v>
      </c>
      <c r="B62" s="45"/>
      <c r="C62" s="93">
        <f>C52-C57</f>
        <v>103</v>
      </c>
      <c r="D62" s="76"/>
      <c r="E62" s="124">
        <f>E52-E57</f>
        <v>8.3333333333333037E-3</v>
      </c>
      <c r="F62" s="95"/>
    </row>
    <row r="63" spans="1:18" ht="14.1">
      <c r="A63" s="75" t="s">
        <v>227</v>
      </c>
      <c r="B63" s="99">
        <f>B53-B58</f>
        <v>56</v>
      </c>
      <c r="C63" s="100"/>
      <c r="D63" s="101">
        <f>D53-D58</f>
        <v>44</v>
      </c>
      <c r="F63" s="68"/>
    </row>
    <row r="64" spans="1:18" ht="14.1">
      <c r="A64" s="75" t="s">
        <v>234</v>
      </c>
      <c r="B64" s="103">
        <f>B54-B59</f>
        <v>100</v>
      </c>
      <c r="C64" s="45"/>
      <c r="D64" s="103">
        <f>D54-D59</f>
        <v>60</v>
      </c>
      <c r="F64" s="68"/>
      <c r="N64">
        <f>5280*N54/320</f>
        <v>594</v>
      </c>
    </row>
    <row r="65" spans="1:8">
      <c r="A65" s="68"/>
      <c r="E65"/>
      <c r="F65"/>
    </row>
    <row r="67" spans="1:8" ht="14.1" thickBot="1"/>
    <row r="68" spans="1:8" ht="14.1">
      <c r="A68" s="198" t="s">
        <v>338</v>
      </c>
      <c r="B68" s="199"/>
      <c r="C68" s="200"/>
      <c r="D68" s="201"/>
      <c r="E68" s="202"/>
      <c r="F68" s="63"/>
      <c r="G68" s="63"/>
      <c r="H68" s="63"/>
    </row>
    <row r="69" spans="1:8">
      <c r="A69" s="203" t="s">
        <v>339</v>
      </c>
      <c r="C69" s="197">
        <v>0.14954000000000001</v>
      </c>
      <c r="D69" s="195">
        <f>C69*5280</f>
        <v>789.57120000000009</v>
      </c>
      <c r="E69" s="204" t="s">
        <v>341</v>
      </c>
      <c r="F69" s="194"/>
      <c r="G69" s="195">
        <f>D69*1.618</f>
        <v>1277.5262016000001</v>
      </c>
      <c r="H69" s="195">
        <f>D69*0.618</f>
        <v>487.95500160000006</v>
      </c>
    </row>
    <row r="70" spans="1:8">
      <c r="A70" s="203" t="s">
        <v>340</v>
      </c>
      <c r="C70" s="197">
        <v>0.17485999999999999</v>
      </c>
      <c r="D70" s="195">
        <f>C70*5280</f>
        <v>923.2607999999999</v>
      </c>
      <c r="E70" s="204" t="s">
        <v>342</v>
      </c>
      <c r="F70" s="194"/>
      <c r="G70" s="195">
        <f t="shared" ref="G70:G72" si="45">D70*1.618</f>
        <v>1493.8359743999999</v>
      </c>
      <c r="H70" s="195">
        <f t="shared" ref="H70:H72" si="46">D70*0.618</f>
        <v>570.57517439999992</v>
      </c>
    </row>
    <row r="71" spans="1:8">
      <c r="A71" s="203" t="s">
        <v>345</v>
      </c>
      <c r="C71" s="197">
        <v>0.28444333234813057</v>
      </c>
      <c r="D71" s="195">
        <v>1501.8312978947781</v>
      </c>
      <c r="E71" s="204" t="s">
        <v>343</v>
      </c>
      <c r="F71" s="194"/>
      <c r="G71" s="195">
        <f t="shared" si="45"/>
        <v>2429.963039993751</v>
      </c>
      <c r="H71" s="195">
        <f t="shared" si="46"/>
        <v>928.13174209897284</v>
      </c>
    </row>
    <row r="72" spans="1:8" ht="14.1" thickBot="1">
      <c r="A72" s="205" t="s">
        <v>346</v>
      </c>
      <c r="B72" s="143"/>
      <c r="C72" s="206">
        <v>0.27047388569667263</v>
      </c>
      <c r="D72" s="207">
        <v>1428.3564465838388</v>
      </c>
      <c r="E72" s="208" t="s">
        <v>344</v>
      </c>
      <c r="F72" s="194"/>
      <c r="G72" s="195">
        <f t="shared" si="45"/>
        <v>2311.0807305726512</v>
      </c>
      <c r="H72" s="195">
        <f t="shared" si="46"/>
        <v>882.72428398881232</v>
      </c>
    </row>
    <row r="73" spans="1:8">
      <c r="A73" s="170"/>
      <c r="C73" s="197"/>
      <c r="D73" s="195"/>
      <c r="E73" s="194"/>
      <c r="F73" s="194"/>
      <c r="G73" s="194"/>
      <c r="H73" s="63"/>
    </row>
    <row r="74" spans="1:8">
      <c r="A74" s="170"/>
      <c r="C74" s="162"/>
      <c r="D74" s="5"/>
      <c r="E74" s="76"/>
      <c r="F74" s="76"/>
      <c r="G74" s="1"/>
    </row>
    <row r="75" spans="1:8">
      <c r="C75" s="162"/>
      <c r="D75" s="5"/>
      <c r="E75" s="76"/>
      <c r="F75" s="76"/>
      <c r="G75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0E7F-9B62-4DE7-9D14-865B5B23D163}">
  <dimension ref="A1:V58"/>
  <sheetViews>
    <sheetView tabSelected="1" topLeftCell="A24" workbookViewId="0">
      <selection activeCell="C40" sqref="C40"/>
    </sheetView>
  </sheetViews>
  <sheetFormatPr defaultRowHeight="13.8"/>
  <cols>
    <col min="3" max="3" width="10.1875" bestFit="1" customWidth="1"/>
    <col min="4" max="4" width="10.85546875" customWidth="1"/>
  </cols>
  <sheetData>
    <row r="1" spans="1:22" ht="14.1">
      <c r="A1" s="125" t="s">
        <v>209</v>
      </c>
      <c r="B1" s="125" t="str">
        <f>"pi/div rads"</f>
        <v>pi/div rads</v>
      </c>
      <c r="C1" s="153" t="s">
        <v>235</v>
      </c>
      <c r="D1" s="126" t="str">
        <f>"degrees"</f>
        <v>degrees</v>
      </c>
      <c r="E1" s="127">
        <v>135</v>
      </c>
      <c r="F1" s="127">
        <v>120</v>
      </c>
      <c r="G1" s="127">
        <v>108</v>
      </c>
      <c r="H1" s="127">
        <v>90</v>
      </c>
      <c r="I1" s="127">
        <v>72</v>
      </c>
      <c r="J1" s="127">
        <v>59.999999999999993</v>
      </c>
      <c r="K1" s="127">
        <v>45</v>
      </c>
      <c r="L1" s="127">
        <v>36</v>
      </c>
      <c r="M1" s="127">
        <v>29.999999999999996</v>
      </c>
      <c r="N1" s="127">
        <v>25.714285714285715</v>
      </c>
      <c r="O1" s="127">
        <v>22.5</v>
      </c>
      <c r="P1" s="128" t="str">
        <f>"20.0"</f>
        <v>20.0</v>
      </c>
      <c r="Q1" s="127">
        <v>18</v>
      </c>
      <c r="R1" s="127">
        <v>16.363636363636363</v>
      </c>
      <c r="S1" s="127">
        <v>14.999999999999998</v>
      </c>
      <c r="T1" s="127">
        <v>13.846153846153847</v>
      </c>
      <c r="U1" s="127">
        <v>12.857142857142858</v>
      </c>
      <c r="V1" s="127">
        <v>12</v>
      </c>
    </row>
    <row r="2" spans="1:22" ht="14.1">
      <c r="A2" s="2">
        <f>3/4</f>
        <v>0.75</v>
      </c>
      <c r="B2" s="2">
        <f t="shared" ref="B2:B19" si="0">PI()*A2</f>
        <v>2.3561944901923448</v>
      </c>
      <c r="C2" s="154">
        <f t="shared" ref="C2:C13" si="1">1/A2</f>
        <v>1.3333333333333333</v>
      </c>
      <c r="D2" s="127">
        <f t="shared" ref="D2:D19" si="2">DEGREES(B2)</f>
        <v>135</v>
      </c>
      <c r="E2" s="129"/>
      <c r="F2" s="129">
        <f>135-F1</f>
        <v>15</v>
      </c>
      <c r="G2" s="129">
        <f t="shared" ref="G2:V2" si="3">G1-135</f>
        <v>-27</v>
      </c>
      <c r="H2" s="129">
        <f t="shared" si="3"/>
        <v>-45</v>
      </c>
      <c r="I2" s="129">
        <f t="shared" si="3"/>
        <v>-63</v>
      </c>
      <c r="J2" s="129">
        <f t="shared" si="3"/>
        <v>-75</v>
      </c>
      <c r="K2" s="129">
        <f t="shared" si="3"/>
        <v>-90</v>
      </c>
      <c r="L2" s="129">
        <f t="shared" si="3"/>
        <v>-99</v>
      </c>
      <c r="M2" s="129">
        <f t="shared" si="3"/>
        <v>-105</v>
      </c>
      <c r="N2" s="129">
        <f t="shared" si="3"/>
        <v>-109.28571428571428</v>
      </c>
      <c r="O2" s="129">
        <f t="shared" si="3"/>
        <v>-112.5</v>
      </c>
      <c r="P2" s="129">
        <f t="shared" si="3"/>
        <v>-115</v>
      </c>
      <c r="Q2" s="129">
        <f t="shared" si="3"/>
        <v>-117</v>
      </c>
      <c r="R2" s="129">
        <f t="shared" si="3"/>
        <v>-118.63636363636364</v>
      </c>
      <c r="S2" s="129">
        <f t="shared" si="3"/>
        <v>-120</v>
      </c>
      <c r="T2" s="129">
        <f t="shared" si="3"/>
        <v>-121.15384615384616</v>
      </c>
      <c r="U2" s="129">
        <f t="shared" si="3"/>
        <v>-122.14285714285714</v>
      </c>
      <c r="V2" s="129">
        <f t="shared" si="3"/>
        <v>-123</v>
      </c>
    </row>
    <row r="3" spans="1:22" ht="14.1">
      <c r="A3" s="2">
        <f>2/3</f>
        <v>0.66666666666666663</v>
      </c>
      <c r="B3" s="2">
        <f t="shared" si="0"/>
        <v>2.0943951023931953</v>
      </c>
      <c r="C3" s="154">
        <f t="shared" si="1"/>
        <v>1.5</v>
      </c>
      <c r="D3" s="127">
        <f t="shared" si="2"/>
        <v>119.99999999999999</v>
      </c>
      <c r="E3" s="130">
        <f>E1-120</f>
        <v>15</v>
      </c>
      <c r="F3" s="129"/>
      <c r="G3" s="129">
        <f t="shared" ref="G3:V3" si="4">G1-120</f>
        <v>-12</v>
      </c>
      <c r="H3" s="129">
        <f t="shared" si="4"/>
        <v>-30</v>
      </c>
      <c r="I3" s="129">
        <f t="shared" si="4"/>
        <v>-48</v>
      </c>
      <c r="J3" s="129">
        <f t="shared" si="4"/>
        <v>-60.000000000000007</v>
      </c>
      <c r="K3" s="129">
        <f t="shared" si="4"/>
        <v>-75</v>
      </c>
      <c r="L3" s="129">
        <f t="shared" si="4"/>
        <v>-84</v>
      </c>
      <c r="M3" s="129">
        <f t="shared" si="4"/>
        <v>-90</v>
      </c>
      <c r="N3" s="129">
        <f t="shared" si="4"/>
        <v>-94.285714285714278</v>
      </c>
      <c r="O3" s="129">
        <f t="shared" si="4"/>
        <v>-97.5</v>
      </c>
      <c r="P3" s="129">
        <f t="shared" si="4"/>
        <v>-100</v>
      </c>
      <c r="Q3" s="129">
        <f t="shared" si="4"/>
        <v>-102</v>
      </c>
      <c r="R3" s="129">
        <f t="shared" si="4"/>
        <v>-103.63636363636364</v>
      </c>
      <c r="S3" s="129">
        <f t="shared" si="4"/>
        <v>-105</v>
      </c>
      <c r="T3" s="129">
        <f t="shared" si="4"/>
        <v>-106.15384615384616</v>
      </c>
      <c r="U3" s="129">
        <f t="shared" si="4"/>
        <v>-107.14285714285714</v>
      </c>
      <c r="V3" s="129">
        <f t="shared" si="4"/>
        <v>-108</v>
      </c>
    </row>
    <row r="4" spans="1:22" ht="14.1">
      <c r="A4">
        <f>3/5</f>
        <v>0.6</v>
      </c>
      <c r="B4" s="2">
        <f t="shared" si="0"/>
        <v>1.8849555921538759</v>
      </c>
      <c r="C4" s="154">
        <f t="shared" si="1"/>
        <v>1.6666666666666667</v>
      </c>
      <c r="D4" s="127">
        <f t="shared" si="2"/>
        <v>108</v>
      </c>
      <c r="E4" s="130">
        <f>E1-108</f>
        <v>27</v>
      </c>
      <c r="F4" s="130">
        <f>F1-108</f>
        <v>12</v>
      </c>
      <c r="G4" s="129"/>
      <c r="H4" s="129">
        <f t="shared" ref="H4:V4" si="5">H1-108</f>
        <v>-18</v>
      </c>
      <c r="I4" s="129">
        <f t="shared" si="5"/>
        <v>-36</v>
      </c>
      <c r="J4" s="129">
        <f t="shared" si="5"/>
        <v>-48.000000000000007</v>
      </c>
      <c r="K4" s="129">
        <f t="shared" si="5"/>
        <v>-63</v>
      </c>
      <c r="L4" s="129">
        <f t="shared" si="5"/>
        <v>-72</v>
      </c>
      <c r="M4" s="129">
        <f t="shared" si="5"/>
        <v>-78</v>
      </c>
      <c r="N4" s="129">
        <f t="shared" si="5"/>
        <v>-82.285714285714278</v>
      </c>
      <c r="O4" s="129">
        <f t="shared" si="5"/>
        <v>-85.5</v>
      </c>
      <c r="P4" s="129">
        <f t="shared" si="5"/>
        <v>-88</v>
      </c>
      <c r="Q4" s="129">
        <f t="shared" si="5"/>
        <v>-90</v>
      </c>
      <c r="R4" s="129">
        <f t="shared" si="5"/>
        <v>-91.63636363636364</v>
      </c>
      <c r="S4" s="129">
        <f t="shared" si="5"/>
        <v>-93</v>
      </c>
      <c r="T4" s="129">
        <f t="shared" si="5"/>
        <v>-94.15384615384616</v>
      </c>
      <c r="U4" s="129">
        <f t="shared" si="5"/>
        <v>-95.142857142857139</v>
      </c>
      <c r="V4" s="129">
        <f t="shared" si="5"/>
        <v>-96</v>
      </c>
    </row>
    <row r="5" spans="1:22" ht="14.1">
      <c r="A5" s="2">
        <v>0.5</v>
      </c>
      <c r="B5" s="2">
        <f t="shared" si="0"/>
        <v>1.5707963267948966</v>
      </c>
      <c r="C5" s="155">
        <f t="shared" si="1"/>
        <v>2</v>
      </c>
      <c r="D5" s="127">
        <f t="shared" si="2"/>
        <v>90</v>
      </c>
      <c r="E5" s="130">
        <f>E1-90</f>
        <v>45</v>
      </c>
      <c r="F5" s="130">
        <f>F1-90</f>
        <v>30</v>
      </c>
      <c r="G5" s="130">
        <f>G1-90</f>
        <v>18</v>
      </c>
      <c r="H5" s="129"/>
      <c r="I5" s="129">
        <f t="shared" ref="I5:V5" si="6">I1-90</f>
        <v>-18</v>
      </c>
      <c r="J5" s="129">
        <f t="shared" si="6"/>
        <v>-30.000000000000007</v>
      </c>
      <c r="K5" s="129">
        <f t="shared" si="6"/>
        <v>-45</v>
      </c>
      <c r="L5" s="129">
        <f t="shared" si="6"/>
        <v>-54</v>
      </c>
      <c r="M5" s="129">
        <f t="shared" si="6"/>
        <v>-60</v>
      </c>
      <c r="N5" s="129">
        <f t="shared" si="6"/>
        <v>-64.285714285714278</v>
      </c>
      <c r="O5" s="129">
        <f t="shared" si="6"/>
        <v>-67.5</v>
      </c>
      <c r="P5" s="129">
        <f t="shared" si="6"/>
        <v>-70</v>
      </c>
      <c r="Q5" s="129">
        <f t="shared" si="6"/>
        <v>-72</v>
      </c>
      <c r="R5" s="129">
        <f t="shared" si="6"/>
        <v>-73.63636363636364</v>
      </c>
      <c r="S5" s="129">
        <f t="shared" si="6"/>
        <v>-75</v>
      </c>
      <c r="T5" s="129">
        <f t="shared" si="6"/>
        <v>-76.15384615384616</v>
      </c>
      <c r="U5" s="129">
        <f t="shared" si="6"/>
        <v>-77.142857142857139</v>
      </c>
      <c r="V5" s="129">
        <f t="shared" si="6"/>
        <v>-78</v>
      </c>
    </row>
    <row r="6" spans="1:22" ht="14.1">
      <c r="A6">
        <f>2/5</f>
        <v>0.4</v>
      </c>
      <c r="B6" s="2">
        <f t="shared" si="0"/>
        <v>1.2566370614359172</v>
      </c>
      <c r="C6" s="155">
        <f t="shared" si="1"/>
        <v>2.5</v>
      </c>
      <c r="D6" s="127">
        <f t="shared" si="2"/>
        <v>72</v>
      </c>
      <c r="E6" s="130">
        <f>E1-72</f>
        <v>63</v>
      </c>
      <c r="F6" s="130">
        <f>F1-72</f>
        <v>48</v>
      </c>
      <c r="G6" s="130">
        <f>G1-72</f>
        <v>36</v>
      </c>
      <c r="H6" s="130">
        <f>H1-72</f>
        <v>18</v>
      </c>
      <c r="I6" s="130"/>
      <c r="J6" s="129">
        <f t="shared" ref="J6:V6" si="7">360-J1-72</f>
        <v>228</v>
      </c>
      <c r="K6" s="129">
        <f t="shared" si="7"/>
        <v>243</v>
      </c>
      <c r="L6" s="129">
        <f t="shared" si="7"/>
        <v>252</v>
      </c>
      <c r="M6" s="129">
        <f t="shared" si="7"/>
        <v>258</v>
      </c>
      <c r="N6" s="129">
        <f t="shared" si="7"/>
        <v>262.28571428571428</v>
      </c>
      <c r="O6" s="129">
        <f t="shared" si="7"/>
        <v>265.5</v>
      </c>
      <c r="P6" s="129">
        <f t="shared" si="7"/>
        <v>268</v>
      </c>
      <c r="Q6" s="129">
        <f t="shared" si="7"/>
        <v>270</v>
      </c>
      <c r="R6" s="129">
        <f t="shared" si="7"/>
        <v>271.63636363636363</v>
      </c>
      <c r="S6" s="129">
        <f t="shared" si="7"/>
        <v>273</v>
      </c>
      <c r="T6" s="129">
        <f t="shared" si="7"/>
        <v>274.15384615384613</v>
      </c>
      <c r="U6" s="129">
        <f t="shared" si="7"/>
        <v>275.14285714285717</v>
      </c>
      <c r="V6" s="129">
        <f t="shared" si="7"/>
        <v>276</v>
      </c>
    </row>
    <row r="7" spans="1:22" ht="14.1">
      <c r="A7" s="2">
        <f>1/3</f>
        <v>0.33333333333333331</v>
      </c>
      <c r="B7" s="2">
        <f t="shared" si="0"/>
        <v>1.0471975511965976</v>
      </c>
      <c r="C7" s="155">
        <f t="shared" si="1"/>
        <v>3</v>
      </c>
      <c r="D7" s="127">
        <f t="shared" si="2"/>
        <v>59.999999999999993</v>
      </c>
      <c r="E7" s="130">
        <f>E1-60</f>
        <v>75</v>
      </c>
      <c r="F7" s="130">
        <f>F1-60</f>
        <v>60</v>
      </c>
      <c r="G7" s="130">
        <f>G1-60</f>
        <v>48</v>
      </c>
      <c r="H7" s="130">
        <f>H1-60</f>
        <v>30</v>
      </c>
      <c r="I7" s="130">
        <f>I1-60</f>
        <v>12</v>
      </c>
      <c r="J7" s="130"/>
      <c r="K7" s="129">
        <f t="shared" ref="K7:V7" si="8">K1-60</f>
        <v>-15</v>
      </c>
      <c r="L7" s="129">
        <f t="shared" si="8"/>
        <v>-24</v>
      </c>
      <c r="M7" s="129">
        <f t="shared" si="8"/>
        <v>-30.000000000000004</v>
      </c>
      <c r="N7" s="129">
        <f t="shared" si="8"/>
        <v>-34.285714285714285</v>
      </c>
      <c r="O7" s="129">
        <f t="shared" si="8"/>
        <v>-37.5</v>
      </c>
      <c r="P7" s="129">
        <f t="shared" si="8"/>
        <v>-40</v>
      </c>
      <c r="Q7" s="129">
        <f t="shared" si="8"/>
        <v>-42</v>
      </c>
      <c r="R7" s="129">
        <f t="shared" si="8"/>
        <v>-43.63636363636364</v>
      </c>
      <c r="S7" s="129">
        <f t="shared" si="8"/>
        <v>-45</v>
      </c>
      <c r="T7" s="129">
        <f t="shared" si="8"/>
        <v>-46.153846153846153</v>
      </c>
      <c r="U7" s="129">
        <f t="shared" si="8"/>
        <v>-47.142857142857139</v>
      </c>
      <c r="V7" s="129">
        <f t="shared" si="8"/>
        <v>-48</v>
      </c>
    </row>
    <row r="8" spans="1:22" ht="14.1">
      <c r="A8" s="2">
        <f>1/4</f>
        <v>0.25</v>
      </c>
      <c r="B8" s="2">
        <f t="shared" si="0"/>
        <v>0.78539816339744828</v>
      </c>
      <c r="C8" s="155">
        <f t="shared" si="1"/>
        <v>4</v>
      </c>
      <c r="D8" s="127">
        <f t="shared" si="2"/>
        <v>45</v>
      </c>
      <c r="E8" s="130">
        <f t="shared" ref="E8:J8" si="9">E1-45</f>
        <v>90</v>
      </c>
      <c r="F8" s="130">
        <f t="shared" si="9"/>
        <v>75</v>
      </c>
      <c r="G8" s="130">
        <f t="shared" si="9"/>
        <v>63</v>
      </c>
      <c r="H8" s="130">
        <f t="shared" si="9"/>
        <v>45</v>
      </c>
      <c r="I8" s="130">
        <f t="shared" si="9"/>
        <v>27</v>
      </c>
      <c r="J8" s="130">
        <f t="shared" si="9"/>
        <v>14.999999999999993</v>
      </c>
      <c r="K8" s="4"/>
      <c r="L8" s="129">
        <f t="shared" ref="L8:V8" si="10">L1-45</f>
        <v>-9</v>
      </c>
      <c r="M8" s="129">
        <f t="shared" si="10"/>
        <v>-15.000000000000004</v>
      </c>
      <c r="N8" s="129">
        <f t="shared" si="10"/>
        <v>-19.285714285714285</v>
      </c>
      <c r="O8" s="129">
        <f t="shared" si="10"/>
        <v>-22.5</v>
      </c>
      <c r="P8" s="129">
        <f t="shared" si="10"/>
        <v>-25</v>
      </c>
      <c r="Q8" s="129">
        <f t="shared" si="10"/>
        <v>-27</v>
      </c>
      <c r="R8" s="129">
        <f t="shared" si="10"/>
        <v>-28.636363636363637</v>
      </c>
      <c r="S8" s="129">
        <f t="shared" si="10"/>
        <v>-30</v>
      </c>
      <c r="T8" s="129">
        <f t="shared" si="10"/>
        <v>-31.153846153846153</v>
      </c>
      <c r="U8" s="129">
        <f t="shared" si="10"/>
        <v>-32.142857142857139</v>
      </c>
      <c r="V8" s="129">
        <f t="shared" si="10"/>
        <v>-33</v>
      </c>
    </row>
    <row r="9" spans="1:22" ht="14.1">
      <c r="A9" s="2">
        <f>1/5</f>
        <v>0.2</v>
      </c>
      <c r="B9" s="2">
        <f t="shared" si="0"/>
        <v>0.62831853071795862</v>
      </c>
      <c r="C9" s="155">
        <f t="shared" si="1"/>
        <v>5</v>
      </c>
      <c r="D9" s="127">
        <f t="shared" si="2"/>
        <v>36</v>
      </c>
      <c r="E9" s="130">
        <f t="shared" ref="E9:K9" si="11">E1-36</f>
        <v>99</v>
      </c>
      <c r="F9" s="130">
        <f t="shared" si="11"/>
        <v>84</v>
      </c>
      <c r="G9" s="130">
        <f t="shared" si="11"/>
        <v>72</v>
      </c>
      <c r="H9" s="130">
        <f t="shared" si="11"/>
        <v>54</v>
      </c>
      <c r="I9" s="130">
        <f t="shared" si="11"/>
        <v>36</v>
      </c>
      <c r="J9" s="130">
        <f t="shared" si="11"/>
        <v>23.999999999999993</v>
      </c>
      <c r="K9" s="130">
        <f t="shared" si="11"/>
        <v>9</v>
      </c>
      <c r="L9" s="4"/>
      <c r="M9" s="129">
        <f t="shared" ref="M9:V9" si="12">M1-36</f>
        <v>-6.0000000000000036</v>
      </c>
      <c r="N9" s="129">
        <f t="shared" si="12"/>
        <v>-10.285714285714285</v>
      </c>
      <c r="O9" s="129">
        <f t="shared" si="12"/>
        <v>-13.5</v>
      </c>
      <c r="P9" s="129">
        <f t="shared" si="12"/>
        <v>-16</v>
      </c>
      <c r="Q9" s="129">
        <f t="shared" si="12"/>
        <v>-18</v>
      </c>
      <c r="R9" s="129">
        <f t="shared" si="12"/>
        <v>-19.636363636363637</v>
      </c>
      <c r="S9" s="129">
        <f t="shared" si="12"/>
        <v>-21</v>
      </c>
      <c r="T9" s="129">
        <f t="shared" si="12"/>
        <v>-22.153846153846153</v>
      </c>
      <c r="U9" s="129">
        <f t="shared" si="12"/>
        <v>-23.142857142857142</v>
      </c>
      <c r="V9" s="129">
        <f t="shared" si="12"/>
        <v>-24</v>
      </c>
    </row>
    <row r="10" spans="1:22" ht="14.1">
      <c r="A10" s="2">
        <f>1/6</f>
        <v>0.16666666666666666</v>
      </c>
      <c r="B10" s="2">
        <f t="shared" si="0"/>
        <v>0.52359877559829882</v>
      </c>
      <c r="C10" s="155">
        <f t="shared" si="1"/>
        <v>6</v>
      </c>
      <c r="D10" s="127">
        <f t="shared" si="2"/>
        <v>29.999999999999996</v>
      </c>
      <c r="E10" s="130">
        <f t="shared" ref="E10:L10" si="13">E1-30</f>
        <v>105</v>
      </c>
      <c r="F10" s="130">
        <f t="shared" si="13"/>
        <v>90</v>
      </c>
      <c r="G10" s="130">
        <f t="shared" si="13"/>
        <v>78</v>
      </c>
      <c r="H10" s="130">
        <f t="shared" si="13"/>
        <v>60</v>
      </c>
      <c r="I10" s="130">
        <f t="shared" si="13"/>
        <v>42</v>
      </c>
      <c r="J10" s="130">
        <f t="shared" si="13"/>
        <v>29.999999999999993</v>
      </c>
      <c r="K10" s="130">
        <f t="shared" si="13"/>
        <v>15</v>
      </c>
      <c r="L10" s="130">
        <f t="shared" si="13"/>
        <v>6</v>
      </c>
      <c r="M10" s="4"/>
      <c r="N10" s="129">
        <f t="shared" ref="N10:V10" si="14">N1-30</f>
        <v>-4.2857142857142847</v>
      </c>
      <c r="O10" s="129">
        <f t="shared" si="14"/>
        <v>-7.5</v>
      </c>
      <c r="P10" s="129">
        <f t="shared" si="14"/>
        <v>-10</v>
      </c>
      <c r="Q10" s="129">
        <f t="shared" si="14"/>
        <v>-12</v>
      </c>
      <c r="R10" s="129">
        <f t="shared" si="14"/>
        <v>-13.636363636363637</v>
      </c>
      <c r="S10" s="129">
        <f t="shared" si="14"/>
        <v>-15.000000000000002</v>
      </c>
      <c r="T10" s="129">
        <f t="shared" si="14"/>
        <v>-16.153846153846153</v>
      </c>
      <c r="U10" s="129">
        <f t="shared" si="14"/>
        <v>-17.142857142857142</v>
      </c>
      <c r="V10" s="129">
        <f t="shared" si="14"/>
        <v>-18</v>
      </c>
    </row>
    <row r="11" spans="1:22" ht="14.1">
      <c r="A11" s="2">
        <f>1/7</f>
        <v>0.14285714285714285</v>
      </c>
      <c r="B11" s="2">
        <f t="shared" si="0"/>
        <v>0.44879895051282759</v>
      </c>
      <c r="C11" s="155">
        <f t="shared" si="1"/>
        <v>7</v>
      </c>
      <c r="D11" s="127">
        <f t="shared" si="2"/>
        <v>25.714285714285715</v>
      </c>
      <c r="E11" s="130">
        <f t="shared" ref="E11:M11" si="15">E1-25.7142857142857</f>
        <v>109.28571428571431</v>
      </c>
      <c r="F11" s="130">
        <f t="shared" si="15"/>
        <v>94.285714285714306</v>
      </c>
      <c r="G11" s="130">
        <f t="shared" si="15"/>
        <v>82.285714285714306</v>
      </c>
      <c r="H11" s="130">
        <f t="shared" si="15"/>
        <v>64.285714285714306</v>
      </c>
      <c r="I11" s="130">
        <f t="shared" si="15"/>
        <v>46.285714285714299</v>
      </c>
      <c r="J11" s="130">
        <f t="shared" si="15"/>
        <v>34.285714285714292</v>
      </c>
      <c r="K11" s="130">
        <f t="shared" si="15"/>
        <v>19.285714285714299</v>
      </c>
      <c r="L11" s="130">
        <f t="shared" si="15"/>
        <v>10.285714285714299</v>
      </c>
      <c r="M11" s="130">
        <f t="shared" si="15"/>
        <v>4.2857142857142954</v>
      </c>
      <c r="N11" s="4"/>
      <c r="O11" s="129">
        <f t="shared" ref="O11:V11" si="16">O1-25.7142857142857</f>
        <v>-3.2142857142857011</v>
      </c>
      <c r="P11" s="129">
        <f t="shared" si="16"/>
        <v>-5.7142857142857011</v>
      </c>
      <c r="Q11" s="129">
        <f t="shared" si="16"/>
        <v>-7.7142857142857011</v>
      </c>
      <c r="R11" s="129">
        <f t="shared" si="16"/>
        <v>-9.3506493506493378</v>
      </c>
      <c r="S11" s="129">
        <f t="shared" si="16"/>
        <v>-10.714285714285703</v>
      </c>
      <c r="T11" s="129">
        <f t="shared" si="16"/>
        <v>-11.868131868131854</v>
      </c>
      <c r="U11" s="129">
        <f t="shared" si="16"/>
        <v>-12.857142857142843</v>
      </c>
      <c r="V11" s="129">
        <f t="shared" si="16"/>
        <v>-13.714285714285701</v>
      </c>
    </row>
    <row r="12" spans="1:22" ht="14.1">
      <c r="A12" s="2">
        <f>1/8</f>
        <v>0.125</v>
      </c>
      <c r="B12" s="2">
        <f t="shared" si="0"/>
        <v>0.39269908169872414</v>
      </c>
      <c r="C12" s="155">
        <f t="shared" si="1"/>
        <v>8</v>
      </c>
      <c r="D12" s="127">
        <f t="shared" si="2"/>
        <v>22.5</v>
      </c>
      <c r="E12" s="130">
        <f t="shared" ref="E12:N12" si="17">E1-22.5</f>
        <v>112.5</v>
      </c>
      <c r="F12" s="130">
        <f t="shared" si="17"/>
        <v>97.5</v>
      </c>
      <c r="G12" s="130">
        <f t="shared" si="17"/>
        <v>85.5</v>
      </c>
      <c r="H12" s="130">
        <f t="shared" si="17"/>
        <v>67.5</v>
      </c>
      <c r="I12" s="130">
        <f t="shared" si="17"/>
        <v>49.5</v>
      </c>
      <c r="J12" s="130">
        <f t="shared" si="17"/>
        <v>37.499999999999993</v>
      </c>
      <c r="K12" s="130">
        <f t="shared" si="17"/>
        <v>22.5</v>
      </c>
      <c r="L12" s="130">
        <f t="shared" si="17"/>
        <v>13.5</v>
      </c>
      <c r="M12" s="130">
        <f t="shared" si="17"/>
        <v>7.4999999999999964</v>
      </c>
      <c r="N12" s="130">
        <f t="shared" si="17"/>
        <v>3.2142857142857153</v>
      </c>
      <c r="O12" s="4"/>
      <c r="P12" s="129">
        <f t="shared" ref="P12:V12" si="18">P1-22.5</f>
        <v>-2.5</v>
      </c>
      <c r="Q12" s="129">
        <f t="shared" si="18"/>
        <v>-4.5</v>
      </c>
      <c r="R12" s="129">
        <f t="shared" si="18"/>
        <v>-6.1363636363636367</v>
      </c>
      <c r="S12" s="129">
        <f t="shared" si="18"/>
        <v>-7.5000000000000018</v>
      </c>
      <c r="T12" s="129">
        <f t="shared" si="18"/>
        <v>-8.6538461538461533</v>
      </c>
      <c r="U12" s="129">
        <f t="shared" si="18"/>
        <v>-9.6428571428571423</v>
      </c>
      <c r="V12" s="129">
        <f t="shared" si="18"/>
        <v>-10.5</v>
      </c>
    </row>
    <row r="13" spans="1:22" ht="14.1">
      <c r="A13" s="2">
        <f>1/9</f>
        <v>0.1111111111111111</v>
      </c>
      <c r="B13" s="2">
        <f t="shared" si="0"/>
        <v>0.3490658503988659</v>
      </c>
      <c r="C13" s="155">
        <f t="shared" si="1"/>
        <v>9</v>
      </c>
      <c r="D13" s="127">
        <f t="shared" si="2"/>
        <v>20</v>
      </c>
      <c r="E13" s="130">
        <f t="shared" ref="E13:O13" si="19">E1-20</f>
        <v>115</v>
      </c>
      <c r="F13" s="130">
        <f t="shared" si="19"/>
        <v>100</v>
      </c>
      <c r="G13" s="130">
        <f t="shared" si="19"/>
        <v>88</v>
      </c>
      <c r="H13" s="130">
        <f t="shared" si="19"/>
        <v>70</v>
      </c>
      <c r="I13" s="130">
        <f t="shared" si="19"/>
        <v>52</v>
      </c>
      <c r="J13" s="130">
        <f t="shared" si="19"/>
        <v>39.999999999999993</v>
      </c>
      <c r="K13" s="130">
        <f t="shared" si="19"/>
        <v>25</v>
      </c>
      <c r="L13" s="130">
        <f t="shared" si="19"/>
        <v>16</v>
      </c>
      <c r="M13" s="130">
        <f t="shared" si="19"/>
        <v>9.9999999999999964</v>
      </c>
      <c r="N13" s="130">
        <f t="shared" si="19"/>
        <v>5.7142857142857153</v>
      </c>
      <c r="O13" s="130">
        <f t="shared" si="19"/>
        <v>2.5</v>
      </c>
      <c r="P13" s="4"/>
      <c r="Q13" s="129">
        <f t="shared" ref="Q13:V13" si="20">Q1-20</f>
        <v>-2</v>
      </c>
      <c r="R13" s="129">
        <f t="shared" si="20"/>
        <v>-3.6363636363636367</v>
      </c>
      <c r="S13" s="129">
        <f t="shared" si="20"/>
        <v>-5.0000000000000018</v>
      </c>
      <c r="T13" s="129">
        <f t="shared" si="20"/>
        <v>-6.1538461538461533</v>
      </c>
      <c r="U13" s="129">
        <f t="shared" si="20"/>
        <v>-7.1428571428571423</v>
      </c>
      <c r="V13" s="129">
        <f t="shared" si="20"/>
        <v>-8</v>
      </c>
    </row>
    <row r="14" spans="1:22" ht="14.1">
      <c r="A14" s="2">
        <f t="shared" ref="A14:A19" si="21">1/C14</f>
        <v>0.1</v>
      </c>
      <c r="B14" s="2">
        <f t="shared" si="0"/>
        <v>0.31415926535897931</v>
      </c>
      <c r="C14" s="156">
        <v>10</v>
      </c>
      <c r="D14" s="127">
        <f t="shared" si="2"/>
        <v>18</v>
      </c>
      <c r="E14" s="130">
        <f t="shared" ref="E14:P14" si="22">E1-18</f>
        <v>117</v>
      </c>
      <c r="F14" s="130">
        <f t="shared" si="22"/>
        <v>102</v>
      </c>
      <c r="G14" s="130">
        <f t="shared" si="22"/>
        <v>90</v>
      </c>
      <c r="H14" s="130">
        <f t="shared" si="22"/>
        <v>72</v>
      </c>
      <c r="I14" s="130">
        <f t="shared" si="22"/>
        <v>54</v>
      </c>
      <c r="J14" s="130">
        <f t="shared" si="22"/>
        <v>41.999999999999993</v>
      </c>
      <c r="K14" s="130">
        <f t="shared" si="22"/>
        <v>27</v>
      </c>
      <c r="L14" s="130">
        <f t="shared" si="22"/>
        <v>18</v>
      </c>
      <c r="M14" s="130">
        <f t="shared" si="22"/>
        <v>11.999999999999996</v>
      </c>
      <c r="N14" s="130">
        <f t="shared" si="22"/>
        <v>7.7142857142857153</v>
      </c>
      <c r="O14" s="130">
        <f t="shared" si="22"/>
        <v>4.5</v>
      </c>
      <c r="P14" s="130">
        <f t="shared" si="22"/>
        <v>2</v>
      </c>
      <c r="Q14" s="129"/>
      <c r="R14" s="129">
        <f>R1-18</f>
        <v>-1.6363636363636367</v>
      </c>
      <c r="S14" s="129">
        <f>S1-18</f>
        <v>-3.0000000000000018</v>
      </c>
      <c r="T14" s="129">
        <f>T1-18</f>
        <v>-4.1538461538461533</v>
      </c>
      <c r="U14" s="129">
        <f>U1-18</f>
        <v>-5.1428571428571423</v>
      </c>
      <c r="V14" s="129">
        <f>V1-18</f>
        <v>-6</v>
      </c>
    </row>
    <row r="15" spans="1:22" ht="14.1">
      <c r="A15" s="2">
        <f t="shared" si="21"/>
        <v>9.0909090909090912E-2</v>
      </c>
      <c r="B15" s="2">
        <f t="shared" si="0"/>
        <v>0.28559933214452665</v>
      </c>
      <c r="C15" s="156">
        <v>11</v>
      </c>
      <c r="D15" s="127">
        <f t="shared" si="2"/>
        <v>16.363636363636363</v>
      </c>
      <c r="E15" s="130">
        <f t="shared" ref="E15:Q15" si="23">E1-16.3636363636364</f>
        <v>118.6363636363636</v>
      </c>
      <c r="F15" s="130">
        <f t="shared" si="23"/>
        <v>103.6363636363636</v>
      </c>
      <c r="G15" s="130">
        <f t="shared" si="23"/>
        <v>91.636363636363598</v>
      </c>
      <c r="H15" s="130">
        <f t="shared" si="23"/>
        <v>73.636363636363598</v>
      </c>
      <c r="I15" s="130">
        <f t="shared" si="23"/>
        <v>55.636363636363598</v>
      </c>
      <c r="J15" s="130">
        <f t="shared" si="23"/>
        <v>43.636363636363598</v>
      </c>
      <c r="K15" s="130">
        <f t="shared" si="23"/>
        <v>28.636363636363601</v>
      </c>
      <c r="L15" s="130">
        <f t="shared" si="23"/>
        <v>19.636363636363601</v>
      </c>
      <c r="M15" s="130">
        <f t="shared" si="23"/>
        <v>13.636363636363598</v>
      </c>
      <c r="N15" s="130">
        <f t="shared" si="23"/>
        <v>9.3506493506493165</v>
      </c>
      <c r="O15" s="130">
        <f t="shared" si="23"/>
        <v>6.1363636363636012</v>
      </c>
      <c r="P15" s="130">
        <f t="shared" si="23"/>
        <v>3.6363636363636012</v>
      </c>
      <c r="Q15" s="130">
        <f t="shared" si="23"/>
        <v>1.6363636363636012</v>
      </c>
      <c r="R15" s="130"/>
      <c r="S15" s="129">
        <f>S1-16.3636363636364</f>
        <v>-1.3636363636364006</v>
      </c>
      <c r="T15" s="129">
        <f>T1-16.3636363636364</f>
        <v>-2.5174825174825521</v>
      </c>
      <c r="U15" s="129">
        <f>U1-16.3636363636364</f>
        <v>-3.5064935064935412</v>
      </c>
      <c r="V15" s="129">
        <f>V1-16.3636363636364</f>
        <v>-4.3636363636363988</v>
      </c>
    </row>
    <row r="16" spans="1:22" ht="14.1">
      <c r="A16" s="2">
        <f t="shared" si="21"/>
        <v>8.3333333333333329E-2</v>
      </c>
      <c r="B16" s="2">
        <f t="shared" si="0"/>
        <v>0.26179938779914941</v>
      </c>
      <c r="C16" s="156">
        <v>12</v>
      </c>
      <c r="D16" s="127">
        <f t="shared" si="2"/>
        <v>14.999999999999998</v>
      </c>
      <c r="E16" s="130">
        <f t="shared" ref="E16:R16" si="24">E1-15</f>
        <v>120</v>
      </c>
      <c r="F16" s="130">
        <f t="shared" si="24"/>
        <v>105</v>
      </c>
      <c r="G16" s="130">
        <f t="shared" si="24"/>
        <v>93</v>
      </c>
      <c r="H16" s="130">
        <f t="shared" si="24"/>
        <v>75</v>
      </c>
      <c r="I16" s="130">
        <f t="shared" si="24"/>
        <v>57</v>
      </c>
      <c r="J16" s="130">
        <f t="shared" si="24"/>
        <v>44.999999999999993</v>
      </c>
      <c r="K16" s="130">
        <f t="shared" si="24"/>
        <v>30</v>
      </c>
      <c r="L16" s="130">
        <f t="shared" si="24"/>
        <v>21</v>
      </c>
      <c r="M16" s="130">
        <f t="shared" si="24"/>
        <v>14.999999999999996</v>
      </c>
      <c r="N16" s="130">
        <f t="shared" si="24"/>
        <v>10.714285714285715</v>
      </c>
      <c r="O16" s="130">
        <f t="shared" si="24"/>
        <v>7.5</v>
      </c>
      <c r="P16" s="130">
        <f t="shared" si="24"/>
        <v>5</v>
      </c>
      <c r="Q16" s="130">
        <f t="shared" si="24"/>
        <v>3</v>
      </c>
      <c r="R16" s="130">
        <f t="shared" si="24"/>
        <v>1.3636363636363633</v>
      </c>
      <c r="S16" s="129"/>
      <c r="T16" s="129">
        <f>T1-15</f>
        <v>-1.1538461538461533</v>
      </c>
      <c r="U16" s="129">
        <f>U1-15</f>
        <v>-2.1428571428571423</v>
      </c>
      <c r="V16" s="129">
        <f>V1-15</f>
        <v>-3</v>
      </c>
    </row>
    <row r="17" spans="1:22" ht="14.1">
      <c r="A17" s="2">
        <f t="shared" si="21"/>
        <v>7.6923076923076927E-2</v>
      </c>
      <c r="B17" s="2">
        <f t="shared" si="0"/>
        <v>0.24166097335306103</v>
      </c>
      <c r="C17" s="156">
        <v>13</v>
      </c>
      <c r="D17" s="127">
        <f t="shared" si="2"/>
        <v>13.846153846153847</v>
      </c>
      <c r="E17" s="130">
        <f t="shared" ref="E17:S17" si="25">E1-13.8461538461538</f>
        <v>121.1538461538462</v>
      </c>
      <c r="F17" s="130">
        <f t="shared" si="25"/>
        <v>106.1538461538462</v>
      </c>
      <c r="G17" s="130">
        <f t="shared" si="25"/>
        <v>94.153846153846203</v>
      </c>
      <c r="H17" s="130">
        <f t="shared" si="25"/>
        <v>76.153846153846203</v>
      </c>
      <c r="I17" s="130">
        <f t="shared" si="25"/>
        <v>58.153846153846203</v>
      </c>
      <c r="J17" s="130">
        <f t="shared" si="25"/>
        <v>46.153846153846189</v>
      </c>
      <c r="K17" s="130">
        <f t="shared" si="25"/>
        <v>31.153846153846199</v>
      </c>
      <c r="L17" s="130">
        <f t="shared" si="25"/>
        <v>22.153846153846199</v>
      </c>
      <c r="M17" s="130">
        <f t="shared" si="25"/>
        <v>16.153846153846196</v>
      </c>
      <c r="N17" s="130">
        <f t="shared" si="25"/>
        <v>11.868131868131915</v>
      </c>
      <c r="O17" s="130">
        <f t="shared" si="25"/>
        <v>8.6538461538461995</v>
      </c>
      <c r="P17" s="130">
        <f t="shared" si="25"/>
        <v>6.1538461538461995</v>
      </c>
      <c r="Q17" s="130">
        <f t="shared" si="25"/>
        <v>4.1538461538461995</v>
      </c>
      <c r="R17" s="130">
        <f t="shared" si="25"/>
        <v>2.5174825174825628</v>
      </c>
      <c r="S17" s="130">
        <f t="shared" si="25"/>
        <v>1.1538461538461977</v>
      </c>
      <c r="T17" s="130"/>
      <c r="U17" s="129">
        <f>U1-13.8461538461538</f>
        <v>-0.98901098901094286</v>
      </c>
      <c r="V17" s="129">
        <f>V1-13.8461538461538</f>
        <v>-1.8461538461538005</v>
      </c>
    </row>
    <row r="18" spans="1:22" ht="14.1">
      <c r="A18" s="2">
        <f t="shared" si="21"/>
        <v>7.1428571428571425E-2</v>
      </c>
      <c r="B18" s="2">
        <f t="shared" si="0"/>
        <v>0.22439947525641379</v>
      </c>
      <c r="C18" s="156">
        <v>14</v>
      </c>
      <c r="D18" s="127">
        <f t="shared" si="2"/>
        <v>12.857142857142858</v>
      </c>
      <c r="E18" s="130">
        <f t="shared" ref="E18:T18" si="26">E1-12.8571428571429</f>
        <v>122.1428571428571</v>
      </c>
      <c r="F18" s="130">
        <f t="shared" si="26"/>
        <v>107.1428571428571</v>
      </c>
      <c r="G18" s="130">
        <f t="shared" si="26"/>
        <v>95.142857142857096</v>
      </c>
      <c r="H18" s="130">
        <f t="shared" si="26"/>
        <v>77.142857142857096</v>
      </c>
      <c r="I18" s="130">
        <f t="shared" si="26"/>
        <v>59.142857142857096</v>
      </c>
      <c r="J18" s="130">
        <f t="shared" si="26"/>
        <v>47.142857142857096</v>
      </c>
      <c r="K18" s="130">
        <f t="shared" si="26"/>
        <v>32.142857142857096</v>
      </c>
      <c r="L18" s="130">
        <f t="shared" si="26"/>
        <v>23.1428571428571</v>
      </c>
      <c r="M18" s="130">
        <f t="shared" si="26"/>
        <v>17.142857142857096</v>
      </c>
      <c r="N18" s="130">
        <f t="shared" si="26"/>
        <v>12.857142857142815</v>
      </c>
      <c r="O18" s="130">
        <f t="shared" si="26"/>
        <v>9.6428571428570997</v>
      </c>
      <c r="P18" s="130">
        <f t="shared" si="26"/>
        <v>7.1428571428570997</v>
      </c>
      <c r="Q18" s="130">
        <f t="shared" si="26"/>
        <v>5.1428571428570997</v>
      </c>
      <c r="R18" s="130">
        <f t="shared" si="26"/>
        <v>3.506493506493463</v>
      </c>
      <c r="S18" s="130">
        <f t="shared" si="26"/>
        <v>2.1428571428570979</v>
      </c>
      <c r="T18" s="130">
        <f t="shared" si="26"/>
        <v>0.98901098901094642</v>
      </c>
      <c r="U18" s="130"/>
      <c r="V18" s="129">
        <f>V1-12.8571428571429</f>
        <v>-0.85714285714290028</v>
      </c>
    </row>
    <row r="19" spans="1:22" ht="14.1">
      <c r="A19" s="2">
        <f t="shared" si="21"/>
        <v>6.6666666666666666E-2</v>
      </c>
      <c r="B19" s="2">
        <f t="shared" si="0"/>
        <v>0.20943951023931953</v>
      </c>
      <c r="C19" s="156">
        <v>15</v>
      </c>
      <c r="D19" s="127">
        <f t="shared" si="2"/>
        <v>12</v>
      </c>
      <c r="E19" s="130">
        <f t="shared" ref="E19:U19" si="27">E1-12</f>
        <v>123</v>
      </c>
      <c r="F19" s="130">
        <f t="shared" si="27"/>
        <v>108</v>
      </c>
      <c r="G19" s="130">
        <f t="shared" si="27"/>
        <v>96</v>
      </c>
      <c r="H19" s="130">
        <f t="shared" si="27"/>
        <v>78</v>
      </c>
      <c r="I19" s="130">
        <f t="shared" si="27"/>
        <v>60</v>
      </c>
      <c r="J19" s="130">
        <f t="shared" si="27"/>
        <v>47.999999999999993</v>
      </c>
      <c r="K19" s="130">
        <f t="shared" si="27"/>
        <v>33</v>
      </c>
      <c r="L19" s="130">
        <f t="shared" si="27"/>
        <v>24</v>
      </c>
      <c r="M19" s="130">
        <f t="shared" si="27"/>
        <v>17.999999999999996</v>
      </c>
      <c r="N19" s="130">
        <f t="shared" si="27"/>
        <v>13.714285714285715</v>
      </c>
      <c r="O19" s="130">
        <f t="shared" si="27"/>
        <v>10.5</v>
      </c>
      <c r="P19" s="130">
        <f t="shared" si="27"/>
        <v>8</v>
      </c>
      <c r="Q19" s="130">
        <f t="shared" si="27"/>
        <v>6</v>
      </c>
      <c r="R19" s="130">
        <f t="shared" si="27"/>
        <v>4.3636363636363633</v>
      </c>
      <c r="S19" s="130">
        <f t="shared" si="27"/>
        <v>2.9999999999999982</v>
      </c>
      <c r="T19" s="130">
        <f t="shared" si="27"/>
        <v>1.8461538461538467</v>
      </c>
      <c r="U19" s="130">
        <f t="shared" si="27"/>
        <v>0.85714285714285765</v>
      </c>
      <c r="V19" s="130"/>
    </row>
    <row r="20" spans="1:22" ht="14.1">
      <c r="B20" s="131" t="s">
        <v>236</v>
      </c>
      <c r="C20" s="132" t="str">
        <f>"2*pi/phi^2"</f>
        <v>2*pi/phi^2</v>
      </c>
      <c r="D20" s="132">
        <v>222.5</v>
      </c>
      <c r="E20" s="133">
        <f t="shared" ref="E20:V20" si="28">222.5-E1</f>
        <v>87.5</v>
      </c>
      <c r="F20" s="133">
        <f t="shared" si="28"/>
        <v>102.5</v>
      </c>
      <c r="G20" s="133">
        <f t="shared" si="28"/>
        <v>114.5</v>
      </c>
      <c r="H20" s="133">
        <f t="shared" si="28"/>
        <v>132.5</v>
      </c>
      <c r="I20" s="133">
        <f t="shared" si="28"/>
        <v>150.5</v>
      </c>
      <c r="J20" s="133">
        <f t="shared" si="28"/>
        <v>162.5</v>
      </c>
      <c r="K20" s="133">
        <f t="shared" si="28"/>
        <v>177.5</v>
      </c>
      <c r="L20" s="133">
        <f t="shared" si="28"/>
        <v>186.5</v>
      </c>
      <c r="M20" s="133">
        <f t="shared" si="28"/>
        <v>192.5</v>
      </c>
      <c r="N20" s="133">
        <f t="shared" si="28"/>
        <v>196.78571428571428</v>
      </c>
      <c r="O20" s="134">
        <f t="shared" si="28"/>
        <v>200</v>
      </c>
      <c r="P20" s="133">
        <f t="shared" si="28"/>
        <v>202.5</v>
      </c>
      <c r="Q20" s="133">
        <f t="shared" si="28"/>
        <v>204.5</v>
      </c>
      <c r="R20" s="133">
        <f t="shared" si="28"/>
        <v>206.13636363636363</v>
      </c>
      <c r="S20" s="133">
        <f t="shared" si="28"/>
        <v>207.5</v>
      </c>
      <c r="T20" s="133">
        <f t="shared" si="28"/>
        <v>208.65384615384616</v>
      </c>
      <c r="U20" s="133">
        <f t="shared" si="28"/>
        <v>209.64285714285714</v>
      </c>
      <c r="V20" s="133">
        <f t="shared" si="28"/>
        <v>210.5</v>
      </c>
    </row>
    <row r="21" spans="1:22" ht="14.1">
      <c r="C21" s="132" t="str">
        <f>"2*pi/phi"</f>
        <v>2*pi/phi</v>
      </c>
      <c r="D21" s="132">
        <v>137.5</v>
      </c>
      <c r="E21" s="133">
        <f t="shared" ref="E21:V21" si="29">137.5-E1</f>
        <v>2.5</v>
      </c>
      <c r="F21" s="133">
        <f t="shared" si="29"/>
        <v>17.5</v>
      </c>
      <c r="G21" s="133">
        <f t="shared" si="29"/>
        <v>29.5</v>
      </c>
      <c r="H21" s="133">
        <f t="shared" si="29"/>
        <v>47.5</v>
      </c>
      <c r="I21" s="133">
        <f t="shared" si="29"/>
        <v>65.5</v>
      </c>
      <c r="J21" s="133">
        <f t="shared" si="29"/>
        <v>77.5</v>
      </c>
      <c r="K21" s="133">
        <f t="shared" si="29"/>
        <v>92.5</v>
      </c>
      <c r="L21" s="133">
        <f t="shared" si="29"/>
        <v>101.5</v>
      </c>
      <c r="M21" s="133">
        <f t="shared" si="29"/>
        <v>107.5</v>
      </c>
      <c r="N21" s="133">
        <f t="shared" si="29"/>
        <v>111.78571428571428</v>
      </c>
      <c r="O21" s="134">
        <f t="shared" si="29"/>
        <v>115</v>
      </c>
      <c r="P21" s="133">
        <f t="shared" si="29"/>
        <v>117.5</v>
      </c>
      <c r="Q21" s="133">
        <f t="shared" si="29"/>
        <v>119.5</v>
      </c>
      <c r="R21" s="133">
        <f t="shared" si="29"/>
        <v>121.13636363636364</v>
      </c>
      <c r="S21" s="133">
        <f t="shared" si="29"/>
        <v>122.5</v>
      </c>
      <c r="T21" s="133">
        <f t="shared" si="29"/>
        <v>123.65384615384616</v>
      </c>
      <c r="U21" s="133">
        <f t="shared" si="29"/>
        <v>124.64285714285714</v>
      </c>
      <c r="V21" s="133">
        <f t="shared" si="29"/>
        <v>125.5</v>
      </c>
    </row>
    <row r="23" spans="1:22" ht="14.1">
      <c r="A23" s="125" t="s">
        <v>237</v>
      </c>
    </row>
    <row r="24" spans="1:22" ht="14.1">
      <c r="B24" s="125" t="s">
        <v>238</v>
      </c>
      <c r="C24" s="125" t="s">
        <v>239</v>
      </c>
      <c r="D24" s="125" t="s">
        <v>240</v>
      </c>
      <c r="E24" s="125" t="s">
        <v>241</v>
      </c>
      <c r="F24" s="135">
        <v>1.61803398874989</v>
      </c>
      <c r="G24" s="136"/>
      <c r="M24" s="45"/>
    </row>
    <row r="25" spans="1:22" ht="14.1">
      <c r="A25" s="137" t="s">
        <v>242</v>
      </c>
      <c r="B25" t="s">
        <v>243</v>
      </c>
      <c r="C25" s="138">
        <f>SQRT(2)</f>
        <v>1.4142135623730951</v>
      </c>
      <c r="D25" s="139">
        <f>SQRT(3)</f>
        <v>1.7320508075688772</v>
      </c>
      <c r="E25" s="140">
        <f>SQRT(5)</f>
        <v>2.2360679774997898</v>
      </c>
      <c r="F25" s="141" t="s">
        <v>244</v>
      </c>
      <c r="G25" s="136"/>
      <c r="H25" t="s">
        <v>245</v>
      </c>
      <c r="K25" t="str">
        <f>"pi/rads"</f>
        <v>pi/rads</v>
      </c>
    </row>
    <row r="26" spans="1:22" ht="14.4" thickBot="1">
      <c r="A26" s="142" t="s">
        <v>246</v>
      </c>
      <c r="B26" s="143"/>
      <c r="C26" s="144">
        <f>DEGREES(ASIN(C25/E25))</f>
        <v>39.231520483592263</v>
      </c>
      <c r="D26" s="144">
        <f>DEGREES(ASIN(D25/E25))</f>
        <v>50.768479516407737</v>
      </c>
      <c r="E26" s="145">
        <v>90</v>
      </c>
      <c r="F26" s="146" t="s">
        <v>239</v>
      </c>
      <c r="G26" s="136"/>
      <c r="H26" s="2">
        <f>RADIANS(C26)/PI()</f>
        <v>0.21795289157551259</v>
      </c>
      <c r="I26" s="2">
        <f>RADIANS(D26)/PI()</f>
        <v>0.28204710842448744</v>
      </c>
      <c r="J26" s="147">
        <f>RADIANS(E26)/PI()</f>
        <v>0.5</v>
      </c>
      <c r="K26" s="1">
        <f>1/H26</f>
        <v>4.5881474330132352</v>
      </c>
      <c r="L26" s="1">
        <f t="shared" ref="L26" si="30">1/I26</f>
        <v>3.5455070097544725</v>
      </c>
      <c r="M26">
        <f>1/J26</f>
        <v>2</v>
      </c>
    </row>
    <row r="27" spans="1:22">
      <c r="B27" t="s">
        <v>247</v>
      </c>
      <c r="C27" s="148">
        <v>1</v>
      </c>
      <c r="D27" s="139">
        <f>SQRT(3)</f>
        <v>1.7320508075688772</v>
      </c>
      <c r="E27" s="148">
        <v>2</v>
      </c>
      <c r="F27" s="141" t="s">
        <v>244</v>
      </c>
      <c r="G27" s="136"/>
      <c r="J27" s="68"/>
    </row>
    <row r="28" spans="1:22" ht="14.1" thickBot="1">
      <c r="B28" s="143"/>
      <c r="C28" s="144">
        <f>DEGREES(ASIN(C27/E27))</f>
        <v>30.000000000000004</v>
      </c>
      <c r="D28" s="145">
        <v>60</v>
      </c>
      <c r="E28" s="145">
        <v>90</v>
      </c>
      <c r="F28" s="146" t="s">
        <v>239</v>
      </c>
      <c r="G28" s="136"/>
      <c r="H28" s="2">
        <f>RADIANS(C28)/PI()</f>
        <v>0.16666666666666669</v>
      </c>
      <c r="I28" s="2">
        <f>RADIANS(D28)/PI()</f>
        <v>0.33333333333333331</v>
      </c>
      <c r="J28" s="147">
        <f>RADIANS(E28)/PI()</f>
        <v>0.5</v>
      </c>
      <c r="K28">
        <f>1/H28</f>
        <v>5.9999999999999991</v>
      </c>
      <c r="L28">
        <f t="shared" ref="L28:M28" si="31">1/I28</f>
        <v>3</v>
      </c>
      <c r="M28">
        <f t="shared" si="31"/>
        <v>2</v>
      </c>
    </row>
    <row r="29" spans="1:22">
      <c r="B29" t="s">
        <v>248</v>
      </c>
      <c r="C29" s="138">
        <f>SQRT(2)</f>
        <v>1.4142135623730951</v>
      </c>
      <c r="D29" s="138">
        <f>SQRT(2)</f>
        <v>1.4142135623730951</v>
      </c>
      <c r="E29" s="148">
        <v>1</v>
      </c>
      <c r="F29" s="141" t="s">
        <v>244</v>
      </c>
      <c r="G29" s="136">
        <f>5*D29</f>
        <v>7.0710678118654755</v>
      </c>
      <c r="J29" s="68"/>
    </row>
    <row r="30" spans="1:22" ht="14.1" thickBot="1">
      <c r="B30" s="143"/>
      <c r="C30" s="145">
        <v>45</v>
      </c>
      <c r="D30" s="145">
        <v>45</v>
      </c>
      <c r="E30" s="145">
        <v>90</v>
      </c>
      <c r="F30" s="146" t="s">
        <v>239</v>
      </c>
      <c r="G30" s="136"/>
      <c r="H30" s="2">
        <f>RADIANS(C30)/PI()</f>
        <v>0.25</v>
      </c>
      <c r="I30" s="2">
        <f>RADIANS(D30)/PI()</f>
        <v>0.25</v>
      </c>
      <c r="J30" s="147">
        <f>RADIANS(E30)/PI()</f>
        <v>0.5</v>
      </c>
      <c r="K30">
        <f>1/H30</f>
        <v>4</v>
      </c>
      <c r="L30">
        <f t="shared" ref="L30:M30" si="32">1/I30</f>
        <v>4</v>
      </c>
      <c r="M30">
        <f t="shared" si="32"/>
        <v>2</v>
      </c>
    </row>
    <row r="31" spans="1:22">
      <c r="B31" s="149" t="str">
        <f>"3 - 4 - 5"</f>
        <v>3 - 4 - 5</v>
      </c>
      <c r="C31" s="148">
        <v>3</v>
      </c>
      <c r="D31" s="148">
        <v>4</v>
      </c>
      <c r="E31" s="148">
        <v>5</v>
      </c>
      <c r="F31" s="141" t="s">
        <v>244</v>
      </c>
      <c r="G31" s="136"/>
      <c r="J31" s="68"/>
    </row>
    <row r="32" spans="1:22" ht="14.1" thickBot="1">
      <c r="B32" s="143"/>
      <c r="C32" s="157">
        <f>DEGREES(ASIN(C31/E31))</f>
        <v>36.86989764584402</v>
      </c>
      <c r="D32" s="157">
        <f>DEGREES(ASIN(D31/E31))</f>
        <v>53.130102354155987</v>
      </c>
      <c r="E32" s="145">
        <v>90</v>
      </c>
      <c r="F32" s="146" t="s">
        <v>239</v>
      </c>
      <c r="G32" s="136"/>
      <c r="H32" s="2">
        <f>RADIANS(C32)/PI()</f>
        <v>0.20483276469913345</v>
      </c>
      <c r="I32" s="2">
        <f>RADIANS(D32)/PI()</f>
        <v>0.29516723530086664</v>
      </c>
      <c r="J32" s="147">
        <f>RADIANS(E32)/PI()</f>
        <v>0.5</v>
      </c>
      <c r="K32" s="1">
        <f>1/H32</f>
        <v>4.8820314536536182</v>
      </c>
      <c r="L32" s="1">
        <f t="shared" ref="L32:M32" si="33">1/I32</f>
        <v>3.3879099046365728</v>
      </c>
      <c r="M32">
        <f t="shared" si="33"/>
        <v>2</v>
      </c>
    </row>
    <row r="33" spans="2:13">
      <c r="B33" t="s">
        <v>347</v>
      </c>
      <c r="C33" s="148">
        <v>1</v>
      </c>
      <c r="D33" s="148">
        <v>2</v>
      </c>
      <c r="E33" s="140">
        <f>SQRT(5)</f>
        <v>2.2360679774997898</v>
      </c>
      <c r="F33" s="141" t="s">
        <v>244</v>
      </c>
      <c r="G33" s="136"/>
      <c r="J33" s="68"/>
      <c r="K33" s="1"/>
      <c r="L33" s="1"/>
    </row>
    <row r="34" spans="2:13" ht="14.1" thickBot="1">
      <c r="B34" s="143"/>
      <c r="C34" s="144">
        <f>DEGREES(ASIN(C33/E33))</f>
        <v>26.56505117707799</v>
      </c>
      <c r="D34" s="144">
        <f>DEGREES(ASIN(D33/E33))</f>
        <v>63.43494882292201</v>
      </c>
      <c r="E34" s="145">
        <v>90</v>
      </c>
      <c r="F34" s="146" t="s">
        <v>239</v>
      </c>
      <c r="G34" s="136"/>
      <c r="H34" s="2">
        <f>RADIANS(C34)/PI()</f>
        <v>0.14758361765043326</v>
      </c>
      <c r="I34" s="2">
        <f>RADIANS(D34)/PI()</f>
        <v>0.35241638234956674</v>
      </c>
      <c r="J34" s="147">
        <f>RADIANS(E34)/PI()</f>
        <v>0.5</v>
      </c>
      <c r="K34" s="1">
        <f>1/H34</f>
        <v>6.7758198092731483</v>
      </c>
      <c r="L34" s="1">
        <f t="shared" ref="L34:M34" si="34">1/I34</f>
        <v>2.8375525375210451</v>
      </c>
      <c r="M34">
        <f t="shared" si="34"/>
        <v>2</v>
      </c>
    </row>
    <row r="35" spans="2:13">
      <c r="B35" t="s">
        <v>249</v>
      </c>
      <c r="C35" s="148">
        <f>E35*SIN(RADIANS(C36))</f>
        <v>0.47552825814757532</v>
      </c>
      <c r="D35" s="150">
        <v>1.61803398874989</v>
      </c>
      <c r="E35" s="148">
        <f>D35*SIN(RADIANS(D36))</f>
        <v>1.5388417685876221</v>
      </c>
      <c r="F35" s="141" t="s">
        <v>244</v>
      </c>
      <c r="G35" s="151">
        <f>E35^4</f>
        <v>5.6075849718746698</v>
      </c>
      <c r="J35" s="68"/>
    </row>
    <row r="36" spans="2:13" ht="14.1" thickBot="1">
      <c r="B36" s="143"/>
      <c r="C36" s="145">
        <v>18</v>
      </c>
      <c r="D36" s="145">
        <v>72</v>
      </c>
      <c r="E36" s="145">
        <v>90</v>
      </c>
      <c r="F36" s="146" t="s">
        <v>239</v>
      </c>
      <c r="G36" s="136"/>
      <c r="H36" s="2">
        <f>RADIANS(C36)/PI()</f>
        <v>0.1</v>
      </c>
      <c r="I36" s="2">
        <f>RADIANS(D36)/PI()</f>
        <v>0.4</v>
      </c>
      <c r="J36" s="147">
        <f>RADIANS(E36)/PI()</f>
        <v>0.5</v>
      </c>
      <c r="K36">
        <f>1/H36</f>
        <v>10</v>
      </c>
      <c r="L36">
        <f t="shared" ref="L36:M36" si="35">1/I36</f>
        <v>2.5</v>
      </c>
      <c r="M36">
        <f t="shared" si="35"/>
        <v>2</v>
      </c>
    </row>
    <row r="37" spans="2:13">
      <c r="B37" t="s">
        <v>250</v>
      </c>
      <c r="C37" s="148">
        <f>E37*SIN(RADIANS(C38))</f>
        <v>1.3143277802978341</v>
      </c>
      <c r="D37" s="148">
        <v>2</v>
      </c>
      <c r="E37" s="140">
        <f>SQRT(5)</f>
        <v>2.2360679774997898</v>
      </c>
      <c r="F37" s="141" t="s">
        <v>244</v>
      </c>
      <c r="G37" s="136"/>
      <c r="J37" s="68"/>
    </row>
    <row r="38" spans="2:13" ht="14.1" thickBot="1">
      <c r="C38" s="152">
        <v>36</v>
      </c>
      <c r="D38" s="152">
        <v>54</v>
      </c>
      <c r="E38" s="145">
        <v>90</v>
      </c>
      <c r="F38" s="146" t="s">
        <v>239</v>
      </c>
      <c r="G38" s="136"/>
      <c r="H38" s="2">
        <f>RADIANS(C38)/PI()</f>
        <v>0.2</v>
      </c>
      <c r="I38" s="2">
        <f>RADIANS(D38)/PI()</f>
        <v>0.3</v>
      </c>
      <c r="J38" s="147">
        <f>RADIANS(E38)/PI()</f>
        <v>0.5</v>
      </c>
      <c r="K38">
        <f>1/H38</f>
        <v>5</v>
      </c>
      <c r="L38" s="1">
        <f t="shared" ref="L38:M38" si="36">1/I38</f>
        <v>3.3333333333333335</v>
      </c>
      <c r="M38">
        <f t="shared" si="36"/>
        <v>2</v>
      </c>
    </row>
    <row r="39" spans="2:13">
      <c r="B39" t="s">
        <v>348</v>
      </c>
      <c r="C39" s="148">
        <v>1</v>
      </c>
      <c r="D39" s="150">
        <v>1.61803398874989</v>
      </c>
      <c r="E39" s="140">
        <f>1.61803398874989^2</f>
        <v>2.6180339887498794</v>
      </c>
      <c r="F39" s="141" t="s">
        <v>244</v>
      </c>
      <c r="G39" s="136"/>
      <c r="J39" s="68"/>
    </row>
    <row r="40" spans="2:13" ht="14.1" thickBot="1">
      <c r="C40" s="144">
        <f>DEGREES(ASIN(1/1.61803398874989))</f>
        <v>38.172707627012386</v>
      </c>
      <c r="D40" s="144">
        <f>DEGREES(ACOS(1/1.61803398874989))</f>
        <v>51.827292372987614</v>
      </c>
      <c r="E40" s="145">
        <v>90</v>
      </c>
      <c r="F40" s="146" t="s">
        <v>239</v>
      </c>
      <c r="G40" s="136"/>
      <c r="H40" s="2">
        <f>RADIANS(C40)/PI()</f>
        <v>0.2120705979278466</v>
      </c>
      <c r="I40" s="2">
        <f>RADIANS(D40)/PI()</f>
        <v>0.28792940207215345</v>
      </c>
      <c r="J40" s="147">
        <f>RADIANS(E40)/PI()</f>
        <v>0.5</v>
      </c>
      <c r="K40" s="1">
        <f>1/H40</f>
        <v>4.7154108573798279</v>
      </c>
      <c r="L40" s="1">
        <f t="shared" ref="L40:M40" si="37">1/I40</f>
        <v>3.4730735826326127</v>
      </c>
      <c r="M40">
        <f t="shared" si="37"/>
        <v>2</v>
      </c>
    </row>
    <row r="41" spans="2:13">
      <c r="G41" s="136"/>
    </row>
    <row r="42" spans="2:13">
      <c r="E42" s="162"/>
      <c r="F42" s="162"/>
      <c r="G42" s="136"/>
    </row>
    <row r="43" spans="2:13">
      <c r="B43" t="str">
        <f>B25</f>
        <v>r2 r3 r5</v>
      </c>
      <c r="C43" s="2">
        <f>90+C26</f>
        <v>129.23152048359225</v>
      </c>
      <c r="D43" s="2">
        <f>90+D26</f>
        <v>140.76847951640775</v>
      </c>
      <c r="E43" s="162"/>
      <c r="F43" s="162"/>
    </row>
    <row r="44" spans="2:13">
      <c r="C44" s="2">
        <f>90-C26</f>
        <v>50.768479516407737</v>
      </c>
      <c r="D44" s="2">
        <f>90-D26</f>
        <v>39.231520483592263</v>
      </c>
      <c r="E44" s="162"/>
      <c r="F44" s="162"/>
    </row>
    <row r="45" spans="2:13">
      <c r="E45" s="162"/>
      <c r="F45" s="162"/>
    </row>
    <row r="46" spans="2:13">
      <c r="B46" t="str">
        <f>"3 - 4 - 5"</f>
        <v>3 - 4 - 5</v>
      </c>
      <c r="C46" s="162">
        <f>90-C32</f>
        <v>53.13010235415598</v>
      </c>
      <c r="D46" s="162">
        <f>90-D32</f>
        <v>36.869897645844013</v>
      </c>
    </row>
    <row r="47" spans="2:13">
      <c r="C47" s="162">
        <f>90+C32</f>
        <v>126.86989764584402</v>
      </c>
      <c r="D47" s="162">
        <f>90+D32</f>
        <v>143.13010235415598</v>
      </c>
      <c r="E47" s="162"/>
      <c r="F47" s="162"/>
    </row>
    <row r="48" spans="2:13">
      <c r="C48" s="162"/>
      <c r="D48" s="162"/>
      <c r="E48" s="162"/>
      <c r="F48" s="162"/>
    </row>
    <row r="49" spans="2:6">
      <c r="B49" t="str">
        <f>B33</f>
        <v>1 - 2 - r5</v>
      </c>
      <c r="C49" s="162">
        <f>90-C34</f>
        <v>63.43494882292201</v>
      </c>
      <c r="D49" s="162">
        <f>90-D34</f>
        <v>26.56505117707799</v>
      </c>
    </row>
    <row r="50" spans="2:6">
      <c r="C50" s="162">
        <f>90+C34</f>
        <v>116.56505117707799</v>
      </c>
      <c r="D50" s="162">
        <f>90+D34</f>
        <v>153.43494882292202</v>
      </c>
      <c r="E50" s="162"/>
      <c r="F50" s="162"/>
    </row>
    <row r="51" spans="2:6">
      <c r="C51" s="162"/>
      <c r="D51" s="162"/>
      <c r="E51" s="162"/>
      <c r="F51" s="162"/>
    </row>
    <row r="52" spans="2:6">
      <c r="B52" t="str">
        <f>B35</f>
        <v>18 72 90</v>
      </c>
    </row>
    <row r="53" spans="2:6">
      <c r="B53" t="str">
        <f>B37</f>
        <v>36 54 90</v>
      </c>
      <c r="E53" s="162"/>
      <c r="F53" s="162"/>
    </row>
    <row r="54" spans="2:6">
      <c r="C54" s="162"/>
      <c r="D54" s="162"/>
      <c r="E54" s="162"/>
      <c r="F54" s="162"/>
    </row>
    <row r="55" spans="2:6">
      <c r="B55" t="str">
        <f xml:space="preserve"> B39</f>
        <v>1 - phi - phi^2</v>
      </c>
      <c r="C55" s="162">
        <f>90-C40</f>
        <v>51.827292372987614</v>
      </c>
      <c r="D55" s="162">
        <f>90-D40</f>
        <v>38.172707627012386</v>
      </c>
      <c r="E55" s="162"/>
      <c r="F55" s="162"/>
    </row>
    <row r="56" spans="2:6">
      <c r="C56" s="162">
        <f>90+C40</f>
        <v>128.17270762701239</v>
      </c>
      <c r="D56" s="162">
        <f>90+D40</f>
        <v>141.82729237298761</v>
      </c>
      <c r="E56" s="162"/>
      <c r="F56" s="162"/>
    </row>
    <row r="57" spans="2:6">
      <c r="C57" s="162"/>
      <c r="D57" s="162"/>
      <c r="E57" s="162"/>
      <c r="F57" s="162"/>
    </row>
    <row r="58" spans="2:6">
      <c r="C58" s="162"/>
      <c r="D58" s="162"/>
      <c r="E58" s="162"/>
      <c r="F58" s="16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4EE6-24D7-4EC7-A4A7-E8BD6EBCA42A}">
  <dimension ref="A2:K8"/>
  <sheetViews>
    <sheetView workbookViewId="0">
      <selection activeCell="C3" sqref="C3"/>
    </sheetView>
  </sheetViews>
  <sheetFormatPr defaultRowHeight="13.8"/>
  <sheetData>
    <row r="2" spans="1:11">
      <c r="A2" s="171" t="s">
        <v>109</v>
      </c>
      <c r="B2" s="172">
        <v>38.872552231854002</v>
      </c>
      <c r="C2" s="172">
        <v>-77.057900286673885</v>
      </c>
      <c r="D2" s="172" t="s">
        <v>62</v>
      </c>
      <c r="E2" s="172">
        <v>38.892750999999997</v>
      </c>
      <c r="F2" s="172">
        <v>-77.051444000000004</v>
      </c>
      <c r="G2" s="173">
        <v>1.4361445899825396</v>
      </c>
      <c r="H2" s="174">
        <v>7582.8434351078085</v>
      </c>
      <c r="I2" s="175">
        <v>14.025195160136219</v>
      </c>
      <c r="J2" s="176">
        <v>194.02924794816812</v>
      </c>
    </row>
    <row r="3" spans="1:11">
      <c r="A3" s="171" t="s">
        <v>109</v>
      </c>
      <c r="B3" s="172">
        <v>38.872552231854002</v>
      </c>
      <c r="C3" s="172">
        <v>-77.057900286673885</v>
      </c>
      <c r="D3" s="172" t="s">
        <v>66</v>
      </c>
      <c r="E3" s="172">
        <v>38.889801299593749</v>
      </c>
      <c r="F3" s="172">
        <v>-77.036569080803147</v>
      </c>
      <c r="G3" s="173">
        <v>1.6548427931651291</v>
      </c>
      <c r="H3" s="174">
        <v>8737.5699479118812</v>
      </c>
      <c r="I3" s="175">
        <v>44.020535711620354</v>
      </c>
      <c r="J3" s="176">
        <v>224.03392546656653</v>
      </c>
      <c r="K3" s="176">
        <v>30</v>
      </c>
    </row>
    <row r="4" spans="1:11">
      <c r="A4" s="177" t="s">
        <v>109</v>
      </c>
      <c r="B4" s="178">
        <v>38.872552231854002</v>
      </c>
      <c r="C4" s="178">
        <v>-77.057900286673885</v>
      </c>
      <c r="D4" s="178" t="s">
        <v>136</v>
      </c>
      <c r="E4" s="178">
        <v>38.89317136999999</v>
      </c>
      <c r="F4" s="178">
        <v>-77.040786249999996</v>
      </c>
      <c r="G4" s="179">
        <v>1.6954032661733511</v>
      </c>
      <c r="H4" s="180">
        <v>8951.7292453952941</v>
      </c>
      <c r="I4" s="181">
        <v>32.967797365601903</v>
      </c>
      <c r="J4" s="182">
        <v>212.97854036422532</v>
      </c>
    </row>
    <row r="5" spans="1:11">
      <c r="A5" s="177" t="s">
        <v>109</v>
      </c>
      <c r="B5" s="178">
        <v>38.872552231854002</v>
      </c>
      <c r="C5" s="178">
        <v>-77.057900286673885</v>
      </c>
      <c r="D5" s="178" t="s">
        <v>70</v>
      </c>
      <c r="E5" s="178">
        <v>38.91858289999999</v>
      </c>
      <c r="F5" s="178">
        <v>-76.941921800000017</v>
      </c>
      <c r="G5" s="179">
        <v>7.012061461466109</v>
      </c>
      <c r="H5" s="180">
        <v>99999</v>
      </c>
      <c r="I5" s="181">
        <v>63.038653865987712</v>
      </c>
      <c r="J5" s="182">
        <v>243.11147710937445</v>
      </c>
      <c r="K5" s="182">
        <v>30</v>
      </c>
    </row>
    <row r="6" spans="1:11" ht="14.1">
      <c r="A6" s="183" t="s">
        <v>203</v>
      </c>
      <c r="B6" s="184">
        <v>38.872918166579353</v>
      </c>
      <c r="C6" s="184">
        <v>-77.054669457877239</v>
      </c>
      <c r="D6" s="184" t="s">
        <v>71</v>
      </c>
      <c r="E6" s="184">
        <v>38.889484000000003</v>
      </c>
      <c r="F6" s="184">
        <v>-77.035278000000005</v>
      </c>
      <c r="G6" s="185">
        <v>1.5488504718811262</v>
      </c>
      <c r="H6" s="186">
        <v>923.28758964183055</v>
      </c>
      <c r="I6" s="187">
        <v>42.450875661508519</v>
      </c>
      <c r="J6" s="188">
        <v>222.46304782874165</v>
      </c>
      <c r="K6" s="188" t="s">
        <v>274</v>
      </c>
    </row>
    <row r="7" spans="1:11">
      <c r="A7" s="189" t="s">
        <v>86</v>
      </c>
      <c r="B7" s="158">
        <v>38.87100323118176</v>
      </c>
      <c r="C7" s="158">
        <v>-77.055968546982868</v>
      </c>
      <c r="D7" s="158" t="s">
        <v>72</v>
      </c>
      <c r="E7" s="158">
        <v>38.870628217218183</v>
      </c>
      <c r="F7" s="158">
        <v>-77.053238771071065</v>
      </c>
      <c r="G7" s="190">
        <v>0.14945859028292274</v>
      </c>
      <c r="H7" s="191" t="e">
        <f>IF(#REF!&lt;3,#REF!*5280,99999)</f>
        <v>#REF!</v>
      </c>
      <c r="I7" s="192">
        <v>99.966197520821922</v>
      </c>
      <c r="J7" s="193">
        <v>279.96791063692513</v>
      </c>
      <c r="K7">
        <v>10</v>
      </c>
    </row>
    <row r="8" spans="1:11">
      <c r="A8" s="189" t="s">
        <v>135</v>
      </c>
      <c r="B8" s="158">
        <v>38.893596140000007</v>
      </c>
      <c r="C8" s="158">
        <v>-77.040985579999997</v>
      </c>
      <c r="D8" s="158" t="s">
        <v>70</v>
      </c>
      <c r="E8" s="158">
        <v>38.91858289999999</v>
      </c>
      <c r="F8" s="158">
        <v>-76.941921800000017</v>
      </c>
      <c r="G8" s="158">
        <v>5.5980767580262745</v>
      </c>
      <c r="H8" s="196">
        <v>72.009917687827851</v>
      </c>
      <c r="I8" s="196">
        <v>252.07213428643098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0F9B-DDE4-4A85-B7D9-2F380501F4CD}">
  <dimension ref="A1:F32"/>
  <sheetViews>
    <sheetView topLeftCell="A9" workbookViewId="0">
      <selection activeCell="E18" sqref="E18:E32"/>
    </sheetView>
  </sheetViews>
  <sheetFormatPr defaultRowHeight="13.8"/>
  <cols>
    <col min="4" max="4" width="10.046875" customWidth="1"/>
  </cols>
  <sheetData>
    <row r="1" spans="1:6">
      <c r="A1" t="s">
        <v>353</v>
      </c>
      <c r="B1" t="s">
        <v>354</v>
      </c>
      <c r="C1" t="s">
        <v>355</v>
      </c>
      <c r="D1" t="s">
        <v>356</v>
      </c>
      <c r="E1" t="str">
        <f>A1&amp;B1&amp;C1&amp;D1</f>
        <v>AABBGGRR</v>
      </c>
      <c r="F1" s="6"/>
    </row>
    <row r="2" spans="1:6">
      <c r="A2" t="s">
        <v>352</v>
      </c>
      <c r="B2" t="str">
        <f>"00"</f>
        <v>00</v>
      </c>
      <c r="C2" t="str">
        <f t="shared" ref="B2:C6" si="0">"00"</f>
        <v>00</v>
      </c>
      <c r="D2" t="s">
        <v>352</v>
      </c>
      <c r="E2" t="str">
        <f t="shared" ref="E2:E32" si="1">A2&amp;B2&amp;C2&amp;D2</f>
        <v>FF0000FF</v>
      </c>
      <c r="F2" s="6"/>
    </row>
    <row r="3" spans="1:6">
      <c r="A3" t="s">
        <v>352</v>
      </c>
      <c r="B3" t="str">
        <f t="shared" si="0"/>
        <v>00</v>
      </c>
      <c r="C3" t="str">
        <f>"55"</f>
        <v>55</v>
      </c>
      <c r="D3" t="s">
        <v>352</v>
      </c>
      <c r="E3" t="str">
        <f t="shared" si="1"/>
        <v>FF0055FF</v>
      </c>
      <c r="F3" s="6"/>
    </row>
    <row r="4" spans="1:6">
      <c r="A4" t="s">
        <v>352</v>
      </c>
      <c r="B4" t="str">
        <f t="shared" si="0"/>
        <v>00</v>
      </c>
      <c r="C4" t="str">
        <f>"99"</f>
        <v>99</v>
      </c>
      <c r="D4" t="s">
        <v>352</v>
      </c>
      <c r="E4" t="str">
        <f t="shared" si="1"/>
        <v>FF0099FF</v>
      </c>
      <c r="F4" s="6"/>
    </row>
    <row r="5" spans="1:6">
      <c r="A5" t="s">
        <v>352</v>
      </c>
      <c r="B5" t="str">
        <f>"00"</f>
        <v>00</v>
      </c>
      <c r="C5" t="s">
        <v>352</v>
      </c>
      <c r="D5" t="s">
        <v>352</v>
      </c>
      <c r="E5" t="str">
        <f t="shared" si="1"/>
        <v>FF00FFFF</v>
      </c>
      <c r="F5" s="6"/>
    </row>
    <row r="6" spans="1:6">
      <c r="A6" t="s">
        <v>352</v>
      </c>
      <c r="B6" t="str">
        <f>"55"</f>
        <v>55</v>
      </c>
      <c r="C6" t="str">
        <f t="shared" si="0"/>
        <v>00</v>
      </c>
      <c r="D6" t="s">
        <v>352</v>
      </c>
      <c r="E6" t="str">
        <f t="shared" si="1"/>
        <v>FF5500FF</v>
      </c>
      <c r="F6" s="6"/>
    </row>
    <row r="7" spans="1:6">
      <c r="A7" t="s">
        <v>352</v>
      </c>
      <c r="B7" t="str">
        <f>"55"</f>
        <v>55</v>
      </c>
      <c r="C7" t="str">
        <f>"55"</f>
        <v>55</v>
      </c>
      <c r="D7" t="s">
        <v>352</v>
      </c>
      <c r="E7" t="str">
        <f t="shared" si="1"/>
        <v>FF5555FF</v>
      </c>
      <c r="F7" s="6"/>
    </row>
    <row r="8" spans="1:6">
      <c r="A8" t="s">
        <v>352</v>
      </c>
      <c r="B8" t="str">
        <f>"55"</f>
        <v>55</v>
      </c>
      <c r="C8" t="str">
        <f>"99"</f>
        <v>99</v>
      </c>
      <c r="D8" t="s">
        <v>352</v>
      </c>
      <c r="E8" t="str">
        <f t="shared" si="1"/>
        <v>FF5599FF</v>
      </c>
      <c r="F8" s="6"/>
    </row>
    <row r="9" spans="1:6">
      <c r="A9" t="s">
        <v>352</v>
      </c>
      <c r="B9" t="str">
        <f>"55"</f>
        <v>55</v>
      </c>
      <c r="C9" t="s">
        <v>352</v>
      </c>
      <c r="D9" t="s">
        <v>352</v>
      </c>
      <c r="E9" t="str">
        <f t="shared" si="1"/>
        <v>FF55FFFF</v>
      </c>
      <c r="F9" s="6"/>
    </row>
    <row r="10" spans="1:6">
      <c r="A10" t="s">
        <v>352</v>
      </c>
      <c r="B10" t="str">
        <f>"99"</f>
        <v>99</v>
      </c>
      <c r="C10" t="str">
        <f t="shared" ref="C10" si="2">"00"</f>
        <v>00</v>
      </c>
      <c r="D10" t="s">
        <v>352</v>
      </c>
      <c r="E10" t="str">
        <f t="shared" si="1"/>
        <v>FF9900FF</v>
      </c>
      <c r="F10" s="6"/>
    </row>
    <row r="11" spans="1:6">
      <c r="A11" t="s">
        <v>352</v>
      </c>
      <c r="B11" t="str">
        <f>"99"</f>
        <v>99</v>
      </c>
      <c r="C11" t="str">
        <f>"55"</f>
        <v>55</v>
      </c>
      <c r="D11" t="s">
        <v>352</v>
      </c>
      <c r="E11" t="str">
        <f t="shared" si="1"/>
        <v>FF9955FF</v>
      </c>
      <c r="F11" s="6"/>
    </row>
    <row r="12" spans="1:6">
      <c r="A12" t="s">
        <v>352</v>
      </c>
      <c r="B12" t="str">
        <f>"99"</f>
        <v>99</v>
      </c>
      <c r="C12" t="str">
        <f>"99"</f>
        <v>99</v>
      </c>
      <c r="D12" t="s">
        <v>352</v>
      </c>
      <c r="E12" t="str">
        <f t="shared" si="1"/>
        <v>FF9999FF</v>
      </c>
      <c r="F12" s="6"/>
    </row>
    <row r="13" spans="1:6">
      <c r="A13" t="s">
        <v>352</v>
      </c>
      <c r="B13" t="str">
        <f>"99"</f>
        <v>99</v>
      </c>
      <c r="C13" t="s">
        <v>352</v>
      </c>
      <c r="D13" t="s">
        <v>352</v>
      </c>
      <c r="E13" t="str">
        <f t="shared" si="1"/>
        <v>FF99FFFF</v>
      </c>
      <c r="F13" s="6"/>
    </row>
    <row r="14" spans="1:6">
      <c r="A14" t="s">
        <v>352</v>
      </c>
      <c r="B14" t="s">
        <v>352</v>
      </c>
      <c r="C14" t="str">
        <f t="shared" ref="C14" si="3">"00"</f>
        <v>00</v>
      </c>
      <c r="D14" t="s">
        <v>352</v>
      </c>
      <c r="E14" t="str">
        <f t="shared" si="1"/>
        <v>FFFF00FF</v>
      </c>
      <c r="F14" s="6"/>
    </row>
    <row r="15" spans="1:6">
      <c r="A15" t="s">
        <v>352</v>
      </c>
      <c r="B15" t="s">
        <v>352</v>
      </c>
      <c r="C15" t="str">
        <f>"55"</f>
        <v>55</v>
      </c>
      <c r="D15" t="s">
        <v>352</v>
      </c>
      <c r="E15" t="str">
        <f t="shared" si="1"/>
        <v>FFFF55FF</v>
      </c>
      <c r="F15" s="6"/>
    </row>
    <row r="16" spans="1:6">
      <c r="A16" t="s">
        <v>352</v>
      </c>
      <c r="B16" t="s">
        <v>352</v>
      </c>
      <c r="C16" t="str">
        <f>"99"</f>
        <v>99</v>
      </c>
      <c r="D16" t="s">
        <v>352</v>
      </c>
      <c r="E16" t="str">
        <f t="shared" si="1"/>
        <v>FFFF99FF</v>
      </c>
      <c r="F16" s="6"/>
    </row>
    <row r="17" spans="1:6">
      <c r="A17" t="s">
        <v>352</v>
      </c>
      <c r="B17" t="s">
        <v>352</v>
      </c>
      <c r="C17" t="s">
        <v>352</v>
      </c>
      <c r="D17" t="s">
        <v>352</v>
      </c>
      <c r="E17" t="str">
        <f t="shared" si="1"/>
        <v>FFFFFFFF</v>
      </c>
      <c r="F17" s="6"/>
    </row>
    <row r="18" spans="1:6">
      <c r="A18" t="s">
        <v>352</v>
      </c>
      <c r="B18" t="s">
        <v>352</v>
      </c>
      <c r="C18" t="str">
        <f t="shared" ref="C18:C22" si="4">"00"</f>
        <v>00</v>
      </c>
      <c r="D18" t="str">
        <f>"00"</f>
        <v>00</v>
      </c>
      <c r="E18" t="str">
        <f t="shared" si="1"/>
        <v>FFFF0000</v>
      </c>
      <c r="F18" s="6"/>
    </row>
    <row r="19" spans="1:6">
      <c r="A19" t="s">
        <v>352</v>
      </c>
      <c r="B19" t="s">
        <v>352</v>
      </c>
      <c r="C19" t="str">
        <f>"55"</f>
        <v>55</v>
      </c>
      <c r="D19" t="str">
        <f t="shared" ref="D19:D20" si="5">"00"</f>
        <v>00</v>
      </c>
      <c r="E19" t="str">
        <f t="shared" si="1"/>
        <v>FFFF5500</v>
      </c>
      <c r="F19" s="6"/>
    </row>
    <row r="20" spans="1:6">
      <c r="A20" t="s">
        <v>352</v>
      </c>
      <c r="B20" t="s">
        <v>352</v>
      </c>
      <c r="C20" t="str">
        <f>"99"</f>
        <v>99</v>
      </c>
      <c r="D20" t="str">
        <f t="shared" si="5"/>
        <v>00</v>
      </c>
      <c r="E20" t="str">
        <f t="shared" si="1"/>
        <v>FFFF9900</v>
      </c>
    </row>
    <row r="21" spans="1:6">
      <c r="A21" t="s">
        <v>352</v>
      </c>
      <c r="B21" t="s">
        <v>352</v>
      </c>
      <c r="C21" t="s">
        <v>352</v>
      </c>
      <c r="D21" t="str">
        <f>"00"</f>
        <v>00</v>
      </c>
      <c r="E21" t="str">
        <f t="shared" si="1"/>
        <v>FFFFFF00</v>
      </c>
    </row>
    <row r="22" spans="1:6">
      <c r="A22" t="s">
        <v>352</v>
      </c>
      <c r="B22" t="s">
        <v>352</v>
      </c>
      <c r="C22" t="str">
        <f t="shared" si="4"/>
        <v>00</v>
      </c>
      <c r="D22" t="str">
        <f>"55"</f>
        <v>55</v>
      </c>
      <c r="E22" t="str">
        <f t="shared" si="1"/>
        <v>FFFF0055</v>
      </c>
    </row>
    <row r="23" spans="1:6">
      <c r="A23" t="s">
        <v>352</v>
      </c>
      <c r="B23" t="s">
        <v>352</v>
      </c>
      <c r="C23" t="str">
        <f>"55"</f>
        <v>55</v>
      </c>
      <c r="D23" t="str">
        <f>"55"</f>
        <v>55</v>
      </c>
      <c r="E23" t="str">
        <f t="shared" si="1"/>
        <v>FFFF5555</v>
      </c>
    </row>
    <row r="24" spans="1:6">
      <c r="A24" t="s">
        <v>352</v>
      </c>
      <c r="B24" t="s">
        <v>352</v>
      </c>
      <c r="C24" t="str">
        <f>"99"</f>
        <v>99</v>
      </c>
      <c r="D24" t="str">
        <f>"55"</f>
        <v>55</v>
      </c>
      <c r="E24" t="str">
        <f t="shared" si="1"/>
        <v>FFFF9955</v>
      </c>
    </row>
    <row r="25" spans="1:6">
      <c r="A25" t="s">
        <v>352</v>
      </c>
      <c r="B25" t="s">
        <v>352</v>
      </c>
      <c r="C25" t="s">
        <v>352</v>
      </c>
      <c r="D25" t="str">
        <f>"55"</f>
        <v>55</v>
      </c>
      <c r="E25" t="str">
        <f t="shared" si="1"/>
        <v>FFFFFF55</v>
      </c>
    </row>
    <row r="26" spans="1:6">
      <c r="A26" t="s">
        <v>352</v>
      </c>
      <c r="B26" t="s">
        <v>352</v>
      </c>
      <c r="C26" t="str">
        <f t="shared" ref="C26" si="6">"00"</f>
        <v>00</v>
      </c>
      <c r="D26" t="str">
        <f>"99"</f>
        <v>99</v>
      </c>
      <c r="E26" t="str">
        <f t="shared" si="1"/>
        <v>FFFF0099</v>
      </c>
    </row>
    <row r="27" spans="1:6">
      <c r="A27" t="s">
        <v>352</v>
      </c>
      <c r="B27" t="s">
        <v>352</v>
      </c>
      <c r="C27" t="str">
        <f>"55"</f>
        <v>55</v>
      </c>
      <c r="D27" t="str">
        <f>"99"</f>
        <v>99</v>
      </c>
      <c r="E27" t="str">
        <f t="shared" si="1"/>
        <v>FFFF5599</v>
      </c>
    </row>
    <row r="28" spans="1:6">
      <c r="A28" t="s">
        <v>352</v>
      </c>
      <c r="B28" t="s">
        <v>352</v>
      </c>
      <c r="C28" t="str">
        <f>"99"</f>
        <v>99</v>
      </c>
      <c r="D28" t="str">
        <f>"99"</f>
        <v>99</v>
      </c>
      <c r="E28" t="str">
        <f t="shared" si="1"/>
        <v>FFFF9999</v>
      </c>
    </row>
    <row r="29" spans="1:6">
      <c r="A29" t="s">
        <v>352</v>
      </c>
      <c r="B29" t="s">
        <v>352</v>
      </c>
      <c r="C29" t="s">
        <v>352</v>
      </c>
      <c r="D29" t="str">
        <f>"99"</f>
        <v>99</v>
      </c>
      <c r="E29" t="str">
        <f t="shared" si="1"/>
        <v>FFFFFF99</v>
      </c>
    </row>
    <row r="30" spans="1:6">
      <c r="A30" t="s">
        <v>352</v>
      </c>
      <c r="B30" t="s">
        <v>352</v>
      </c>
      <c r="C30" t="str">
        <f t="shared" ref="C30" si="7">"00"</f>
        <v>00</v>
      </c>
      <c r="D30" t="s">
        <v>352</v>
      </c>
      <c r="E30" t="str">
        <f t="shared" si="1"/>
        <v>FFFF00FF</v>
      </c>
    </row>
    <row r="31" spans="1:6">
      <c r="A31" t="s">
        <v>352</v>
      </c>
      <c r="B31" t="s">
        <v>352</v>
      </c>
      <c r="C31" t="str">
        <f>"55"</f>
        <v>55</v>
      </c>
      <c r="D31" t="s">
        <v>352</v>
      </c>
      <c r="E31" t="str">
        <f t="shared" si="1"/>
        <v>FFFF55FF</v>
      </c>
    </row>
    <row r="32" spans="1:6">
      <c r="A32" t="s">
        <v>352</v>
      </c>
      <c r="B32" t="s">
        <v>352</v>
      </c>
      <c r="C32" t="str">
        <f>"99"</f>
        <v>99</v>
      </c>
      <c r="D32" t="s">
        <v>352</v>
      </c>
      <c r="E32" t="str">
        <f t="shared" si="1"/>
        <v>FFFF99FF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57FA-4386-4223-BE9D-9F601B4CEAEC}">
  <dimension ref="A1:B29"/>
  <sheetViews>
    <sheetView workbookViewId="0">
      <selection activeCell="D3" sqref="D3:D4"/>
    </sheetView>
  </sheetViews>
  <sheetFormatPr defaultRowHeight="13.8"/>
  <cols>
    <col min="1" max="1" width="38.046875" customWidth="1"/>
  </cols>
  <sheetData>
    <row r="1" spans="1:2">
      <c r="A1" t="s">
        <v>357</v>
      </c>
      <c r="B1" t="s">
        <v>358</v>
      </c>
    </row>
    <row r="2" spans="1:2">
      <c r="A2" t="s">
        <v>359</v>
      </c>
      <c r="B2" t="s">
        <v>360</v>
      </c>
    </row>
    <row r="3" spans="1:2">
      <c r="A3" t="s">
        <v>361</v>
      </c>
      <c r="B3" t="s">
        <v>360</v>
      </c>
    </row>
    <row r="4" spans="1:2">
      <c r="A4" t="s">
        <v>362</v>
      </c>
      <c r="B4" t="s">
        <v>363</v>
      </c>
    </row>
    <row r="5" spans="1:2">
      <c r="A5" t="s">
        <v>364</v>
      </c>
      <c r="B5" t="s">
        <v>363</v>
      </c>
    </row>
    <row r="6" spans="1:2">
      <c r="A6" t="s">
        <v>365</v>
      </c>
      <c r="B6" t="s">
        <v>366</v>
      </c>
    </row>
    <row r="7" spans="1:2">
      <c r="A7" t="s">
        <v>367</v>
      </c>
      <c r="B7" t="s">
        <v>366</v>
      </c>
    </row>
    <row r="8" spans="1:2">
      <c r="A8" t="s">
        <v>368</v>
      </c>
      <c r="B8" t="s">
        <v>369</v>
      </c>
    </row>
    <row r="9" spans="1:2">
      <c r="A9" t="s">
        <v>370</v>
      </c>
      <c r="B9" t="s">
        <v>371</v>
      </c>
    </row>
    <row r="10" spans="1:2">
      <c r="A10" t="s">
        <v>372</v>
      </c>
      <c r="B10" t="s">
        <v>371</v>
      </c>
    </row>
    <row r="11" spans="1:2">
      <c r="A11" t="s">
        <v>373</v>
      </c>
      <c r="B11" t="s">
        <v>374</v>
      </c>
    </row>
    <row r="12" spans="1:2">
      <c r="A12" t="s">
        <v>375</v>
      </c>
      <c r="B12" t="s">
        <v>374</v>
      </c>
    </row>
    <row r="13" spans="1:2">
      <c r="A13" t="s">
        <v>376</v>
      </c>
      <c r="B13" t="s">
        <v>377</v>
      </c>
    </row>
    <row r="14" spans="1:2">
      <c r="A14" t="s">
        <v>378</v>
      </c>
      <c r="B14" t="s">
        <v>363</v>
      </c>
    </row>
    <row r="15" spans="1:2">
      <c r="A15" t="s">
        <v>379</v>
      </c>
      <c r="B15" t="s">
        <v>380</v>
      </c>
    </row>
    <row r="16" spans="1:2">
      <c r="A16" t="s">
        <v>381</v>
      </c>
      <c r="B16" t="s">
        <v>380</v>
      </c>
    </row>
    <row r="17" spans="1:2">
      <c r="A17" t="s">
        <v>382</v>
      </c>
      <c r="B17" t="s">
        <v>380</v>
      </c>
    </row>
    <row r="18" spans="1:2">
      <c r="A18" t="s">
        <v>383</v>
      </c>
      <c r="B18" t="s">
        <v>384</v>
      </c>
    </row>
    <row r="19" spans="1:2">
      <c r="A19" t="s">
        <v>385</v>
      </c>
      <c r="B19" t="s">
        <v>384</v>
      </c>
    </row>
    <row r="20" spans="1:2">
      <c r="A20" t="s">
        <v>386</v>
      </c>
      <c r="B20" t="s">
        <v>384</v>
      </c>
    </row>
    <row r="21" spans="1:2">
      <c r="A21" t="s">
        <v>387</v>
      </c>
      <c r="B21" t="s">
        <v>384</v>
      </c>
    </row>
    <row r="22" spans="1:2">
      <c r="A22" t="s">
        <v>388</v>
      </c>
      <c r="B22" t="s">
        <v>389</v>
      </c>
    </row>
    <row r="23" spans="1:2">
      <c r="A23" t="s">
        <v>390</v>
      </c>
      <c r="B23" t="s">
        <v>389</v>
      </c>
    </row>
    <row r="24" spans="1:2">
      <c r="A24" t="s">
        <v>391</v>
      </c>
      <c r="B24" t="s">
        <v>392</v>
      </c>
    </row>
    <row r="25" spans="1:2">
      <c r="A25" t="s">
        <v>393</v>
      </c>
      <c r="B25" t="s">
        <v>394</v>
      </c>
    </row>
    <row r="26" spans="1:2">
      <c r="A26" t="s">
        <v>395</v>
      </c>
      <c r="B26" t="s">
        <v>396</v>
      </c>
    </row>
    <row r="27" spans="1:2">
      <c r="A27" t="s">
        <v>397</v>
      </c>
      <c r="B27" t="s">
        <v>398</v>
      </c>
    </row>
    <row r="28" spans="1:2">
      <c r="A28" t="s">
        <v>399</v>
      </c>
      <c r="B28" t="s">
        <v>398</v>
      </c>
    </row>
    <row r="29" spans="1:2">
      <c r="A29" t="s">
        <v>400</v>
      </c>
      <c r="B29" t="s">
        <v>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5509-C15B-4347-95AF-CB9D7FF7EFE4}">
  <dimension ref="A1:E52"/>
  <sheetViews>
    <sheetView topLeftCell="A37" workbookViewId="0">
      <selection activeCell="C19" sqref="C19"/>
    </sheetView>
  </sheetViews>
  <sheetFormatPr defaultRowHeight="13.8"/>
  <cols>
    <col min="1" max="1" width="26.37890625" customWidth="1"/>
  </cols>
  <sheetData>
    <row r="1" spans="1:5" ht="15">
      <c r="A1" t="s">
        <v>357</v>
      </c>
      <c r="B1" t="s">
        <v>358</v>
      </c>
      <c r="C1" t="s">
        <v>401</v>
      </c>
      <c r="D1" s="209"/>
      <c r="E1" s="209"/>
    </row>
    <row r="2" spans="1:5" ht="15">
      <c r="A2" t="s">
        <v>427</v>
      </c>
      <c r="B2" t="s">
        <v>428</v>
      </c>
      <c r="C2" t="s">
        <v>429</v>
      </c>
      <c r="D2" s="209"/>
      <c r="E2" s="209"/>
    </row>
    <row r="3" spans="1:5" ht="15">
      <c r="A3" t="s">
        <v>417</v>
      </c>
      <c r="B3" t="s">
        <v>430</v>
      </c>
      <c r="C3" t="s">
        <v>418</v>
      </c>
      <c r="D3" s="209"/>
      <c r="E3" s="209"/>
    </row>
    <row r="4" spans="1:5" ht="15">
      <c r="A4" t="s">
        <v>431</v>
      </c>
      <c r="B4" t="s">
        <v>430</v>
      </c>
      <c r="C4" t="s">
        <v>418</v>
      </c>
      <c r="D4" s="209"/>
      <c r="E4" s="209"/>
    </row>
    <row r="5" spans="1:5" ht="15">
      <c r="A5" t="s">
        <v>432</v>
      </c>
      <c r="B5" t="s">
        <v>430</v>
      </c>
      <c r="C5" t="s">
        <v>418</v>
      </c>
      <c r="D5" s="209"/>
      <c r="E5" s="209"/>
    </row>
    <row r="6" spans="1:5" ht="15">
      <c r="A6" t="s">
        <v>419</v>
      </c>
      <c r="B6" t="s">
        <v>433</v>
      </c>
      <c r="C6" t="s">
        <v>418</v>
      </c>
      <c r="D6" s="209"/>
      <c r="E6" s="209"/>
    </row>
    <row r="7" spans="1:5" ht="15">
      <c r="A7" t="s">
        <v>434</v>
      </c>
      <c r="B7" t="s">
        <v>435</v>
      </c>
      <c r="C7" t="s">
        <v>418</v>
      </c>
      <c r="D7" s="209"/>
      <c r="E7" s="209"/>
    </row>
    <row r="8" spans="1:5" ht="15">
      <c r="A8" t="s">
        <v>436</v>
      </c>
      <c r="B8" t="s">
        <v>437</v>
      </c>
      <c r="C8" t="s">
        <v>418</v>
      </c>
      <c r="D8" s="209"/>
      <c r="E8" s="209"/>
    </row>
    <row r="9" spans="1:5" ht="15">
      <c r="A9" t="s">
        <v>402</v>
      </c>
      <c r="B9" t="s">
        <v>438</v>
      </c>
      <c r="C9" t="s">
        <v>403</v>
      </c>
      <c r="D9" s="209"/>
      <c r="E9" s="209"/>
    </row>
    <row r="10" spans="1:5" ht="15">
      <c r="A10" t="s">
        <v>404</v>
      </c>
      <c r="B10" t="s">
        <v>439</v>
      </c>
      <c r="C10" t="s">
        <v>403</v>
      </c>
      <c r="D10" s="209"/>
      <c r="E10" s="209"/>
    </row>
    <row r="11" spans="1:5" ht="15">
      <c r="A11" t="s">
        <v>440</v>
      </c>
      <c r="B11" t="s">
        <v>441</v>
      </c>
      <c r="C11" t="s">
        <v>403</v>
      </c>
      <c r="D11" s="209"/>
      <c r="E11" s="209"/>
    </row>
    <row r="12" spans="1:5" ht="15">
      <c r="A12" t="s">
        <v>442</v>
      </c>
      <c r="B12" t="s">
        <v>443</v>
      </c>
      <c r="C12" t="str">
        <f>"3 - 4 - 5"</f>
        <v>3 - 4 - 5</v>
      </c>
      <c r="D12" s="209"/>
      <c r="E12" s="209"/>
    </row>
    <row r="13" spans="1:5" ht="15">
      <c r="A13" t="s">
        <v>444</v>
      </c>
      <c r="B13" t="s">
        <v>445</v>
      </c>
      <c r="C13" t="str">
        <f t="shared" ref="C13:C18" si="0">"3 - 4 - 5"</f>
        <v>3 - 4 - 5</v>
      </c>
      <c r="D13" s="209"/>
      <c r="E13" s="209"/>
    </row>
    <row r="14" spans="1:5" ht="15">
      <c r="A14" t="s">
        <v>420</v>
      </c>
      <c r="B14" t="s">
        <v>446</v>
      </c>
      <c r="C14" t="str">
        <f t="shared" si="0"/>
        <v>3 - 4 - 5</v>
      </c>
      <c r="D14" s="209"/>
      <c r="E14" s="209"/>
    </row>
    <row r="15" spans="1:5" ht="15">
      <c r="A15" t="s">
        <v>421</v>
      </c>
      <c r="B15" t="s">
        <v>447</v>
      </c>
      <c r="C15" t="str">
        <f t="shared" si="0"/>
        <v>3 - 4 - 5</v>
      </c>
      <c r="D15" s="209"/>
      <c r="E15" s="209"/>
    </row>
    <row r="16" spans="1:5" ht="15">
      <c r="A16" t="s">
        <v>426</v>
      </c>
      <c r="B16" t="s">
        <v>448</v>
      </c>
      <c r="C16" t="str">
        <f t="shared" si="0"/>
        <v>3 - 4 - 5</v>
      </c>
      <c r="D16" s="209"/>
      <c r="E16" s="209"/>
    </row>
    <row r="17" spans="1:5" ht="15">
      <c r="A17" t="s">
        <v>425</v>
      </c>
      <c r="B17" t="s">
        <v>449</v>
      </c>
      <c r="C17" t="str">
        <f t="shared" si="0"/>
        <v>3 - 4 - 5</v>
      </c>
      <c r="D17" s="209"/>
      <c r="E17" s="209"/>
    </row>
    <row r="18" spans="1:5" ht="15">
      <c r="A18" t="s">
        <v>450</v>
      </c>
      <c r="B18" t="s">
        <v>451</v>
      </c>
      <c r="C18" t="str">
        <f t="shared" si="0"/>
        <v>3 - 4 - 5</v>
      </c>
      <c r="D18" s="209"/>
      <c r="E18" s="209"/>
    </row>
    <row r="19" spans="1:5" ht="15">
      <c r="A19" t="s">
        <v>452</v>
      </c>
      <c r="B19" t="s">
        <v>453</v>
      </c>
      <c r="C19" t="s">
        <v>414</v>
      </c>
      <c r="D19" s="209"/>
      <c r="E19" s="209"/>
    </row>
    <row r="20" spans="1:5" ht="15">
      <c r="A20" t="s">
        <v>454</v>
      </c>
      <c r="B20" t="s">
        <v>416</v>
      </c>
      <c r="C20" t="s">
        <v>414</v>
      </c>
      <c r="D20" s="209"/>
      <c r="E20" s="209"/>
    </row>
    <row r="21" spans="1:5" ht="15">
      <c r="A21" t="s">
        <v>413</v>
      </c>
      <c r="B21" t="s">
        <v>416</v>
      </c>
      <c r="C21" t="s">
        <v>414</v>
      </c>
      <c r="D21" s="209"/>
      <c r="E21" s="209"/>
    </row>
    <row r="22" spans="1:5" ht="15">
      <c r="A22" t="s">
        <v>415</v>
      </c>
      <c r="B22" t="s">
        <v>416</v>
      </c>
      <c r="C22" t="s">
        <v>414</v>
      </c>
      <c r="D22" s="209"/>
      <c r="E22" s="209"/>
    </row>
    <row r="23" spans="1:5" ht="15">
      <c r="A23" t="s">
        <v>455</v>
      </c>
      <c r="B23" t="s">
        <v>456</v>
      </c>
      <c r="C23" t="s">
        <v>414</v>
      </c>
      <c r="D23" s="209"/>
      <c r="E23" s="209"/>
    </row>
    <row r="24" spans="1:5" ht="15">
      <c r="A24" t="s">
        <v>457</v>
      </c>
      <c r="B24" t="s">
        <v>458</v>
      </c>
      <c r="C24" t="s">
        <v>459</v>
      </c>
      <c r="D24" s="209"/>
      <c r="E24" s="209"/>
    </row>
    <row r="25" spans="1:5" ht="15">
      <c r="A25" t="s">
        <v>460</v>
      </c>
      <c r="B25" t="s">
        <v>461</v>
      </c>
      <c r="C25" t="s">
        <v>459</v>
      </c>
      <c r="D25" s="209"/>
      <c r="E25" s="209"/>
    </row>
    <row r="26" spans="1:5" ht="15">
      <c r="A26" t="s">
        <v>462</v>
      </c>
      <c r="B26" t="s">
        <v>463</v>
      </c>
      <c r="C26" t="s">
        <v>459</v>
      </c>
      <c r="D26" s="209"/>
      <c r="E26" s="209"/>
    </row>
    <row r="27" spans="1:5" ht="15">
      <c r="A27" t="s">
        <v>464</v>
      </c>
      <c r="B27" t="s">
        <v>465</v>
      </c>
      <c r="C27" t="s">
        <v>466</v>
      </c>
      <c r="D27" s="209"/>
      <c r="E27" s="209"/>
    </row>
    <row r="28" spans="1:5" ht="15">
      <c r="A28" t="s">
        <v>467</v>
      </c>
      <c r="B28" t="s">
        <v>468</v>
      </c>
      <c r="C28" t="s">
        <v>466</v>
      </c>
      <c r="D28" s="209"/>
      <c r="E28" s="209"/>
    </row>
    <row r="29" spans="1:5" ht="15">
      <c r="A29" t="s">
        <v>469</v>
      </c>
      <c r="B29" t="s">
        <v>470</v>
      </c>
      <c r="C29" t="s">
        <v>466</v>
      </c>
      <c r="D29" s="209"/>
      <c r="E29" s="209"/>
    </row>
    <row r="30" spans="1:5" ht="15">
      <c r="A30" t="s">
        <v>471</v>
      </c>
      <c r="B30" t="s">
        <v>472</v>
      </c>
      <c r="C30" t="s">
        <v>423</v>
      </c>
      <c r="D30" s="209"/>
      <c r="E30" s="209"/>
    </row>
    <row r="31" spans="1:5" ht="15">
      <c r="A31" t="s">
        <v>422</v>
      </c>
      <c r="B31" t="s">
        <v>473</v>
      </c>
      <c r="C31" t="s">
        <v>423</v>
      </c>
      <c r="D31" s="209"/>
      <c r="E31" s="209"/>
    </row>
    <row r="32" spans="1:5" ht="15">
      <c r="A32" t="s">
        <v>424</v>
      </c>
      <c r="B32" t="s">
        <v>474</v>
      </c>
      <c r="C32" t="s">
        <v>423</v>
      </c>
      <c r="D32" s="209"/>
      <c r="E32" s="209"/>
    </row>
    <row r="33" spans="1:5" ht="15">
      <c r="A33" t="s">
        <v>475</v>
      </c>
      <c r="B33" t="s">
        <v>476</v>
      </c>
      <c r="C33" t="s">
        <v>477</v>
      </c>
      <c r="D33" s="209"/>
      <c r="E33" s="209"/>
    </row>
    <row r="34" spans="1:5" ht="15">
      <c r="A34" t="s">
        <v>478</v>
      </c>
      <c r="B34" t="s">
        <v>479</v>
      </c>
      <c r="C34" t="s">
        <v>477</v>
      </c>
      <c r="D34" s="209"/>
      <c r="E34" s="209"/>
    </row>
    <row r="35" spans="1:5" ht="15">
      <c r="A35" t="s">
        <v>480</v>
      </c>
      <c r="B35" t="s">
        <v>481</v>
      </c>
      <c r="C35" t="s">
        <v>477</v>
      </c>
      <c r="D35" s="209"/>
      <c r="E35" s="209"/>
    </row>
    <row r="36" spans="1:5" ht="15">
      <c r="A36" t="s">
        <v>482</v>
      </c>
      <c r="B36" t="s">
        <v>483</v>
      </c>
      <c r="C36" t="s">
        <v>484</v>
      </c>
      <c r="D36" s="209"/>
      <c r="E36" s="209"/>
    </row>
    <row r="37" spans="1:5" ht="15">
      <c r="A37" t="s">
        <v>485</v>
      </c>
      <c r="B37" t="s">
        <v>486</v>
      </c>
      <c r="C37" t="s">
        <v>484</v>
      </c>
      <c r="D37" s="209"/>
      <c r="E37" s="209"/>
    </row>
    <row r="38" spans="1:5" ht="15">
      <c r="A38" t="s">
        <v>487</v>
      </c>
      <c r="B38" t="s">
        <v>488</v>
      </c>
      <c r="C38" t="s">
        <v>484</v>
      </c>
      <c r="D38" s="209"/>
      <c r="E38" s="209"/>
    </row>
    <row r="39" spans="1:5" ht="15">
      <c r="A39" t="s">
        <v>410</v>
      </c>
      <c r="B39" t="s">
        <v>489</v>
      </c>
      <c r="C39" t="s">
        <v>411</v>
      </c>
      <c r="D39" s="209"/>
      <c r="E39" s="209"/>
    </row>
    <row r="40" spans="1:5" ht="15">
      <c r="A40" t="s">
        <v>412</v>
      </c>
      <c r="B40" t="s">
        <v>490</v>
      </c>
      <c r="C40" t="s">
        <v>411</v>
      </c>
      <c r="D40" s="209"/>
      <c r="E40" s="209"/>
    </row>
    <row r="41" spans="1:5">
      <c r="A41" t="s">
        <v>491</v>
      </c>
      <c r="B41" t="s">
        <v>492</v>
      </c>
      <c r="C41" t="s">
        <v>411</v>
      </c>
    </row>
    <row r="42" spans="1:5">
      <c r="A42" t="s">
        <v>493</v>
      </c>
      <c r="B42" t="s">
        <v>494</v>
      </c>
      <c r="C42" t="s">
        <v>495</v>
      </c>
    </row>
    <row r="43" spans="1:5">
      <c r="A43" t="s">
        <v>496</v>
      </c>
      <c r="B43" t="s">
        <v>497</v>
      </c>
      <c r="C43" t="s">
        <v>495</v>
      </c>
    </row>
    <row r="44" spans="1:5">
      <c r="A44" t="s">
        <v>498</v>
      </c>
      <c r="B44" t="s">
        <v>499</v>
      </c>
      <c r="C44" t="s">
        <v>495</v>
      </c>
    </row>
    <row r="45" spans="1:5">
      <c r="A45" t="s">
        <v>500</v>
      </c>
      <c r="B45" t="s">
        <v>501</v>
      </c>
      <c r="C45" t="s">
        <v>502</v>
      </c>
    </row>
    <row r="46" spans="1:5">
      <c r="A46" t="s">
        <v>503</v>
      </c>
      <c r="B46" t="s">
        <v>504</v>
      </c>
      <c r="C46" t="s">
        <v>502</v>
      </c>
    </row>
    <row r="47" spans="1:5">
      <c r="A47" t="s">
        <v>505</v>
      </c>
      <c r="B47" t="s">
        <v>506</v>
      </c>
      <c r="C47" t="s">
        <v>502</v>
      </c>
    </row>
    <row r="48" spans="1:5">
      <c r="A48" t="s">
        <v>405</v>
      </c>
      <c r="B48" t="s">
        <v>507</v>
      </c>
      <c r="C48" t="s">
        <v>406</v>
      </c>
    </row>
    <row r="49" spans="1:3">
      <c r="A49" t="s">
        <v>407</v>
      </c>
      <c r="B49" t="s">
        <v>508</v>
      </c>
      <c r="C49" t="s">
        <v>406</v>
      </c>
    </row>
    <row r="50" spans="1:3">
      <c r="A50" t="s">
        <v>509</v>
      </c>
      <c r="B50" t="s">
        <v>510</v>
      </c>
      <c r="C50" t="s">
        <v>406</v>
      </c>
    </row>
    <row r="51" spans="1:3">
      <c r="A51" t="s">
        <v>408</v>
      </c>
      <c r="B51" t="s">
        <v>511</v>
      </c>
      <c r="C51" t="s">
        <v>409</v>
      </c>
    </row>
    <row r="52" spans="1:3">
      <c r="A52" t="s">
        <v>512</v>
      </c>
      <c r="B52" t="s">
        <v>513</v>
      </c>
      <c r="C52" t="s">
        <v>409</v>
      </c>
    </row>
  </sheetData>
  <phoneticPr fontId="5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4B016F-506F-47F8-AC44-3D49689989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az_mix</vt:lpstr>
      <vt:lpstr>d_mix</vt:lpstr>
      <vt:lpstr>d_tris_ell</vt:lpstr>
      <vt:lpstr>d_mix_ell</vt:lpstr>
      <vt:lpstr>special nums</vt:lpstr>
      <vt:lpstr>special angles</vt:lpstr>
      <vt:lpstr>NB</vt:lpstr>
      <vt:lpstr>colormap</vt:lpstr>
      <vt:lpstr>az_colormap</vt:lpstr>
      <vt:lpstr>d_colormap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Abelin</dc:creator>
  <cp:lastModifiedBy>David Abelin</cp:lastModifiedBy>
  <dcterms:created xsi:type="dcterms:W3CDTF">2025-06-10T19:41:14Z</dcterms:created>
  <dcterms:modified xsi:type="dcterms:W3CDTF">2025-06-21T19:37:32Z</dcterms:modified>
</cp:coreProperties>
</file>