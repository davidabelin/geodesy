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Local_Python\geodesy\data\"/>
    </mc:Choice>
  </mc:AlternateContent>
  <xr:revisionPtr revIDLastSave="0" documentId="13_ncr:1_{6241286C-9AAD-4530-89ED-1AD4A55DF8B9}" xr6:coauthVersionLast="47" xr6:coauthVersionMax="47" xr10:uidLastSave="{00000000-0000-0000-0000-000000000000}"/>
  <bookViews>
    <workbookView xWindow="-96" yWindow="-96" windowWidth="23232" windowHeight="12432" activeTab="7" xr2:uid="{FC48DFF7-79AD-496E-A6AD-59FE1803F290}"/>
  </bookViews>
  <sheets>
    <sheet name="start_points" sheetId="24" r:id="rId1"/>
    <sheet name="trypoints" sheetId="26" r:id="rId2"/>
    <sheet name="pairs" sheetId="27" r:id="rId3"/>
    <sheet name="linepairs" sheetId="31" r:id="rId4"/>
    <sheet name="geo inv" sheetId="25" r:id="rId5"/>
    <sheet name="nums" sheetId="21" r:id="rId6"/>
    <sheet name="angs" sheetId="22" r:id="rId7"/>
    <sheet name="magicnums" sheetId="19" r:id="rId8"/>
    <sheet name="notable" sheetId="23" r:id="rId9"/>
  </sheets>
  <externalReferences>
    <externalReference r:id="rId10"/>
  </externalReferences>
  <definedNames>
    <definedName name="ExternalData_1" localSheetId="0" hidden="1">start_points!$A$1:$D$7</definedName>
    <definedName name="ExternalData_1" localSheetId="1" hidden="1">trypoints!$A$1:$D$23</definedName>
    <definedName name="magicnums">magicnums!$B$2:$B$18</definedName>
    <definedName name="magicvals">magicnums!$A$2:$A$18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9" i="31" l="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F83" i="27"/>
  <c r="G83" i="27"/>
  <c r="H83" i="27"/>
  <c r="F62" i="27"/>
  <c r="G62" i="27"/>
  <c r="H62" i="27"/>
  <c r="F187" i="27"/>
  <c r="G187" i="27"/>
  <c r="H187" i="27"/>
  <c r="F56" i="27"/>
  <c r="G56" i="27"/>
  <c r="H56" i="27"/>
  <c r="F21" i="27"/>
  <c r="G21" i="27"/>
  <c r="H21" i="27"/>
  <c r="F519" i="27"/>
  <c r="G519" i="27"/>
  <c r="H519" i="27"/>
  <c r="F499" i="27"/>
  <c r="G499" i="27"/>
  <c r="H499" i="27"/>
  <c r="F498" i="27"/>
  <c r="G498" i="27"/>
  <c r="H498" i="27"/>
  <c r="F539" i="27"/>
  <c r="G539" i="27"/>
  <c r="H539" i="27"/>
  <c r="F576" i="27"/>
  <c r="G576" i="27"/>
  <c r="H576" i="27"/>
  <c r="F556" i="27"/>
  <c r="G556" i="27"/>
  <c r="H556" i="27"/>
  <c r="F239" i="27"/>
  <c r="G239" i="27"/>
  <c r="H239" i="27"/>
  <c r="F532" i="27"/>
  <c r="G532" i="27"/>
  <c r="H532" i="27"/>
  <c r="F261" i="27"/>
  <c r="G261" i="27"/>
  <c r="H261" i="27"/>
  <c r="F491" i="27"/>
  <c r="G491" i="27"/>
  <c r="H491" i="27"/>
  <c r="F397" i="27"/>
  <c r="G397" i="27"/>
  <c r="H397" i="27"/>
  <c r="F564" i="27"/>
  <c r="G564" i="27"/>
  <c r="H564" i="27"/>
  <c r="F272" i="27"/>
  <c r="G272" i="27"/>
  <c r="H272" i="27"/>
  <c r="F252" i="27"/>
  <c r="G252" i="27"/>
  <c r="H252" i="27"/>
  <c r="F309" i="27"/>
  <c r="G309" i="27"/>
  <c r="H309" i="27"/>
  <c r="F329" i="27"/>
  <c r="G329" i="27"/>
  <c r="H329" i="27"/>
  <c r="F443" i="27"/>
  <c r="G443" i="27"/>
  <c r="H443" i="27"/>
  <c r="F423" i="27"/>
  <c r="G423" i="27"/>
  <c r="H423" i="27"/>
  <c r="F273" i="27"/>
  <c r="G273" i="27"/>
  <c r="H273" i="27"/>
  <c r="F650" i="27"/>
  <c r="G650" i="27"/>
  <c r="H650" i="27"/>
  <c r="F469" i="27"/>
  <c r="G469" i="27"/>
  <c r="H469" i="27"/>
  <c r="F302" i="27"/>
  <c r="G302" i="27"/>
  <c r="H302" i="27"/>
  <c r="F267" i="27"/>
  <c r="G267" i="27"/>
  <c r="H267" i="27"/>
  <c r="F371" i="27"/>
  <c r="G371" i="27"/>
  <c r="H371" i="27"/>
  <c r="F587" i="27"/>
  <c r="G587" i="27"/>
  <c r="H587" i="27"/>
  <c r="F336" i="27"/>
  <c r="G336" i="27"/>
  <c r="H336" i="27"/>
  <c r="F526" i="27"/>
  <c r="G526" i="27"/>
  <c r="H526" i="27"/>
  <c r="F359" i="27"/>
  <c r="G359" i="27"/>
  <c r="H359" i="27"/>
  <c r="F486" i="27"/>
  <c r="G486" i="27"/>
  <c r="H486" i="27"/>
  <c r="F361" i="27"/>
  <c r="G361" i="27"/>
  <c r="H361" i="27"/>
  <c r="F435" i="27"/>
  <c r="G435" i="27"/>
  <c r="H435" i="27"/>
  <c r="F602" i="27"/>
  <c r="G602" i="27"/>
  <c r="H602" i="27"/>
  <c r="F568" i="27"/>
  <c r="G568" i="27"/>
  <c r="H568" i="27"/>
  <c r="F317" i="27"/>
  <c r="G317" i="27"/>
  <c r="H317" i="27"/>
  <c r="F468" i="27"/>
  <c r="G468" i="27"/>
  <c r="H468" i="27"/>
  <c r="F322" i="27"/>
  <c r="G322" i="27"/>
  <c r="H322" i="27"/>
  <c r="F433" i="27"/>
  <c r="G433" i="27"/>
  <c r="H433" i="27"/>
  <c r="F642" i="27"/>
  <c r="G642" i="27"/>
  <c r="H642" i="27"/>
  <c r="F392" i="27"/>
  <c r="G392" i="27"/>
  <c r="H392" i="27"/>
  <c r="F246" i="27"/>
  <c r="G246" i="27"/>
  <c r="H246" i="27"/>
  <c r="F488" i="27"/>
  <c r="G488" i="27"/>
  <c r="H488" i="27"/>
  <c r="F321" i="27"/>
  <c r="G321" i="27"/>
  <c r="H321" i="27"/>
  <c r="F599" i="27"/>
  <c r="G599" i="27"/>
  <c r="H599" i="27"/>
  <c r="F495" i="27"/>
  <c r="G495" i="27"/>
  <c r="H495" i="27"/>
  <c r="F575" i="27"/>
  <c r="G575" i="27"/>
  <c r="H575" i="27"/>
  <c r="F595" i="27"/>
  <c r="G595" i="27"/>
  <c r="H595" i="27"/>
  <c r="F454" i="27"/>
  <c r="G454" i="27"/>
  <c r="H454" i="27"/>
  <c r="F621" i="27"/>
  <c r="G621" i="27"/>
  <c r="H621" i="27"/>
  <c r="F600" i="27"/>
  <c r="G600" i="27"/>
  <c r="H600" i="27"/>
  <c r="F475" i="27"/>
  <c r="G475" i="27"/>
  <c r="H475" i="27"/>
  <c r="F534" i="27"/>
  <c r="G534" i="27"/>
  <c r="H534" i="27"/>
  <c r="F617" i="27"/>
  <c r="G617" i="27"/>
  <c r="H617" i="27"/>
  <c r="F596" i="27"/>
  <c r="G596" i="27"/>
  <c r="H596" i="27"/>
  <c r="F555" i="27"/>
  <c r="G555" i="27"/>
  <c r="H555" i="27"/>
  <c r="F258" i="27"/>
  <c r="G258" i="27"/>
  <c r="H258" i="27"/>
  <c r="F551" i="27"/>
  <c r="G551" i="27"/>
  <c r="H551" i="27"/>
  <c r="F415" i="27"/>
  <c r="G415" i="27"/>
  <c r="H415" i="27"/>
  <c r="F603" i="27"/>
  <c r="G603" i="27"/>
  <c r="H603" i="27"/>
  <c r="F386" i="27"/>
  <c r="G386" i="27"/>
  <c r="H386" i="27"/>
  <c r="F366" i="27"/>
  <c r="G366" i="27"/>
  <c r="H366" i="27"/>
  <c r="F282" i="27"/>
  <c r="G282" i="27"/>
  <c r="H282" i="27"/>
  <c r="F470" i="27"/>
  <c r="G470" i="27"/>
  <c r="H470" i="27"/>
  <c r="F277" i="27"/>
  <c r="G277" i="27"/>
  <c r="H277" i="27"/>
  <c r="F570" i="27"/>
  <c r="G570" i="27"/>
  <c r="H570" i="27"/>
  <c r="F590" i="27"/>
  <c r="G590" i="27"/>
  <c r="H590" i="27"/>
  <c r="F276" i="27"/>
  <c r="G276" i="27"/>
  <c r="H276" i="27"/>
  <c r="F567" i="27"/>
  <c r="G567" i="27"/>
  <c r="H567" i="27"/>
  <c r="F337" i="27"/>
  <c r="G337" i="27"/>
  <c r="H337" i="27"/>
  <c r="F413" i="27"/>
  <c r="G413" i="27"/>
  <c r="H413" i="27"/>
  <c r="F643" i="27"/>
  <c r="G643" i="27"/>
  <c r="H643" i="27"/>
  <c r="F607" i="27"/>
  <c r="G607" i="27"/>
  <c r="H607" i="27"/>
  <c r="F335" i="27"/>
  <c r="G335" i="27"/>
  <c r="H335" i="27"/>
  <c r="F566" i="27"/>
  <c r="G566" i="27"/>
  <c r="H566" i="27"/>
  <c r="F357" i="27"/>
  <c r="G357" i="27"/>
  <c r="H357" i="27"/>
  <c r="F362" i="27"/>
  <c r="G362" i="27"/>
  <c r="H362" i="27"/>
  <c r="F466" i="27"/>
  <c r="G466" i="27"/>
  <c r="H466" i="27"/>
  <c r="F506" i="27"/>
  <c r="G506" i="27"/>
  <c r="H506" i="27"/>
  <c r="F360" i="27"/>
  <c r="G360" i="27"/>
  <c r="H360" i="27"/>
  <c r="F382" i="27"/>
  <c r="G382" i="27"/>
  <c r="H382" i="27"/>
  <c r="F465" i="27"/>
  <c r="G465" i="27"/>
  <c r="H465" i="27"/>
  <c r="F628" i="27"/>
  <c r="G628" i="27"/>
  <c r="H628" i="27"/>
  <c r="F314" i="27"/>
  <c r="G314" i="27"/>
  <c r="H314" i="27"/>
  <c r="F427" i="27"/>
  <c r="G427" i="27"/>
  <c r="H427" i="27"/>
  <c r="F344" i="27"/>
  <c r="G344" i="27"/>
  <c r="H344" i="27"/>
  <c r="F374" i="27"/>
  <c r="G374" i="27"/>
  <c r="H374" i="27"/>
  <c r="F625" i="27"/>
  <c r="G625" i="27"/>
  <c r="H625" i="27"/>
  <c r="F287" i="27"/>
  <c r="G287" i="27"/>
  <c r="H287" i="27"/>
  <c r="F370" i="27"/>
  <c r="G370" i="27"/>
  <c r="H370" i="27"/>
  <c r="F289" i="27"/>
  <c r="G289" i="27"/>
  <c r="H289" i="27"/>
  <c r="F330" i="27"/>
  <c r="G330" i="27"/>
  <c r="H330" i="27"/>
  <c r="F387" i="27"/>
  <c r="G387" i="27"/>
  <c r="H387" i="27"/>
  <c r="F346" i="27"/>
  <c r="G346" i="27"/>
  <c r="H346" i="27"/>
  <c r="F578" i="27"/>
  <c r="G578" i="27"/>
  <c r="H578" i="27"/>
  <c r="F516" i="27"/>
  <c r="G516" i="27"/>
  <c r="H516" i="27"/>
  <c r="F537" i="27"/>
  <c r="G537" i="27"/>
  <c r="H537" i="27"/>
  <c r="F557" i="27"/>
  <c r="G557" i="27"/>
  <c r="H557" i="27"/>
  <c r="F500" i="27"/>
  <c r="G500" i="27"/>
  <c r="H500" i="27"/>
  <c r="F480" i="27"/>
  <c r="G480" i="27"/>
  <c r="H480" i="27"/>
  <c r="F561" i="27"/>
  <c r="G561" i="27"/>
  <c r="H561" i="27"/>
  <c r="F457" i="27"/>
  <c r="G457" i="27"/>
  <c r="H457" i="27"/>
  <c r="F481" i="27"/>
  <c r="G481" i="27"/>
  <c r="H481" i="27"/>
  <c r="F461" i="27"/>
  <c r="G461" i="27"/>
  <c r="H461" i="27"/>
  <c r="F541" i="27"/>
  <c r="G541" i="27"/>
  <c r="H541" i="27"/>
  <c r="F458" i="27"/>
  <c r="G458" i="27"/>
  <c r="H458" i="27"/>
  <c r="F518" i="27"/>
  <c r="G518" i="27"/>
  <c r="H518" i="27"/>
  <c r="F538" i="27"/>
  <c r="G538" i="27"/>
  <c r="H538" i="27"/>
  <c r="F553" i="27"/>
  <c r="G553" i="27"/>
  <c r="H553" i="27"/>
  <c r="F636" i="27"/>
  <c r="G636" i="27"/>
  <c r="H636" i="27"/>
  <c r="F501" i="27"/>
  <c r="G501" i="27"/>
  <c r="H501" i="27"/>
  <c r="F460" i="27"/>
  <c r="G460" i="27"/>
  <c r="H460" i="27"/>
  <c r="F633" i="27"/>
  <c r="G633" i="27"/>
  <c r="H633" i="27"/>
  <c r="F613" i="27"/>
  <c r="G613" i="27"/>
  <c r="H613" i="27"/>
  <c r="F540" i="27"/>
  <c r="G540" i="27"/>
  <c r="H540" i="27"/>
  <c r="F478" i="27"/>
  <c r="G478" i="27"/>
  <c r="H478" i="27"/>
  <c r="F453" i="27"/>
  <c r="G453" i="27"/>
  <c r="H453" i="27"/>
  <c r="F641" i="27"/>
  <c r="G641" i="27"/>
  <c r="H641" i="27"/>
  <c r="F577" i="27"/>
  <c r="G577" i="27"/>
  <c r="H577" i="27"/>
  <c r="F536" i="27"/>
  <c r="G536" i="27"/>
  <c r="H536" i="27"/>
  <c r="F517" i="27"/>
  <c r="G517" i="27"/>
  <c r="H517" i="27"/>
  <c r="F558" i="27"/>
  <c r="G558" i="27"/>
  <c r="H558" i="27"/>
  <c r="F477" i="27"/>
  <c r="G477" i="27"/>
  <c r="H477" i="27"/>
  <c r="F560" i="27"/>
  <c r="G560" i="27"/>
  <c r="H560" i="27"/>
  <c r="F598" i="27"/>
  <c r="G598" i="27"/>
  <c r="H598" i="27"/>
  <c r="F515" i="27"/>
  <c r="G515" i="27"/>
  <c r="H515" i="27"/>
  <c r="F579" i="27"/>
  <c r="G579" i="27"/>
  <c r="H579" i="27"/>
  <c r="F496" i="27"/>
  <c r="G496" i="27"/>
  <c r="H496" i="27"/>
  <c r="F521" i="27"/>
  <c r="G521" i="27"/>
  <c r="H521" i="27"/>
  <c r="F459" i="27"/>
  <c r="G459" i="27"/>
  <c r="H459" i="27"/>
  <c r="F474" i="27"/>
  <c r="G474" i="27"/>
  <c r="H474" i="27"/>
  <c r="F620" i="27"/>
  <c r="G620" i="27"/>
  <c r="H620" i="27"/>
  <c r="F520" i="27"/>
  <c r="G520" i="27"/>
  <c r="H520" i="27"/>
  <c r="F479" i="27"/>
  <c r="G479" i="27"/>
  <c r="H479" i="27"/>
  <c r="F533" i="27"/>
  <c r="G533" i="27"/>
  <c r="H533" i="27"/>
  <c r="F637" i="27"/>
  <c r="G637" i="27"/>
  <c r="H637" i="27"/>
  <c r="F497" i="27"/>
  <c r="G497" i="27"/>
  <c r="H497" i="27"/>
  <c r="F559" i="27"/>
  <c r="G559" i="27"/>
  <c r="H559" i="27"/>
  <c r="F554" i="27"/>
  <c r="G554" i="27"/>
  <c r="H554" i="27"/>
  <c r="F616" i="27"/>
  <c r="G616" i="27"/>
  <c r="H616" i="27"/>
  <c r="F597" i="27"/>
  <c r="G597" i="27"/>
  <c r="H597" i="27"/>
  <c r="F535" i="27"/>
  <c r="G535" i="27"/>
  <c r="H535" i="27"/>
  <c r="F601" i="27"/>
  <c r="G601" i="27"/>
  <c r="H601" i="27"/>
  <c r="F455" i="27"/>
  <c r="G455" i="27"/>
  <c r="H455" i="27"/>
  <c r="F580" i="27"/>
  <c r="G580" i="27"/>
  <c r="H580" i="27"/>
  <c r="F476" i="27"/>
  <c r="G476" i="27"/>
  <c r="H476" i="27"/>
  <c r="F581" i="27"/>
  <c r="G581" i="27"/>
  <c r="H581" i="27"/>
  <c r="F456" i="27"/>
  <c r="G456" i="27"/>
  <c r="H456" i="27"/>
  <c r="F473" i="27"/>
  <c r="G473" i="27"/>
  <c r="H473" i="27"/>
  <c r="F640" i="27"/>
  <c r="G640" i="27"/>
  <c r="H640" i="27"/>
  <c r="F235" i="27"/>
  <c r="G235" i="27"/>
  <c r="H235" i="27"/>
  <c r="F612" i="27"/>
  <c r="G612" i="27"/>
  <c r="H612" i="27"/>
  <c r="F494" i="27"/>
  <c r="G494" i="27"/>
  <c r="H494" i="27"/>
  <c r="F619" i="27"/>
  <c r="G619" i="27"/>
  <c r="H619" i="27"/>
  <c r="F240" i="27"/>
  <c r="G240" i="27"/>
  <c r="H240" i="27"/>
  <c r="F512" i="27"/>
  <c r="G512" i="27"/>
  <c r="H512" i="27"/>
  <c r="F513" i="27"/>
  <c r="G513" i="27"/>
  <c r="H513" i="27"/>
  <c r="F638" i="27"/>
  <c r="G638" i="27"/>
  <c r="H638" i="27"/>
  <c r="F493" i="27"/>
  <c r="G493" i="27"/>
  <c r="H493" i="27"/>
  <c r="F639" i="27"/>
  <c r="G639" i="27"/>
  <c r="H639" i="27"/>
  <c r="F241" i="27"/>
  <c r="G241" i="27"/>
  <c r="H241" i="27"/>
  <c r="F492" i="27"/>
  <c r="G492" i="27"/>
  <c r="H492" i="27"/>
  <c r="F514" i="27"/>
  <c r="G514" i="27"/>
  <c r="H514" i="27"/>
  <c r="F618" i="27"/>
  <c r="G618" i="27"/>
  <c r="H618" i="27"/>
  <c r="F594" i="27"/>
  <c r="G594" i="27"/>
  <c r="H594" i="27"/>
  <c r="F614" i="27"/>
  <c r="G614" i="27"/>
  <c r="H614" i="27"/>
  <c r="F573" i="27"/>
  <c r="G573" i="27"/>
  <c r="H573" i="27"/>
  <c r="F635" i="27"/>
  <c r="G635" i="27"/>
  <c r="H635" i="27"/>
  <c r="F593" i="27"/>
  <c r="G593" i="27"/>
  <c r="H593" i="27"/>
  <c r="F634" i="27"/>
  <c r="G634" i="27"/>
  <c r="H634" i="27"/>
  <c r="F574" i="27"/>
  <c r="G574" i="27"/>
  <c r="H574" i="27"/>
  <c r="F615" i="27"/>
  <c r="G615" i="27"/>
  <c r="H615" i="27"/>
  <c r="F242" i="27"/>
  <c r="G242" i="27"/>
  <c r="H242" i="27"/>
  <c r="F472" i="27"/>
  <c r="G472" i="27"/>
  <c r="H472" i="27"/>
  <c r="F236" i="27"/>
  <c r="G236" i="27"/>
  <c r="H236" i="27"/>
  <c r="F592" i="27"/>
  <c r="G592" i="27"/>
  <c r="H592" i="27"/>
  <c r="F411" i="27"/>
  <c r="G411" i="27"/>
  <c r="H411" i="27"/>
  <c r="F265" i="27"/>
  <c r="G265" i="27"/>
  <c r="H265" i="27"/>
  <c r="F234" i="27"/>
  <c r="G234" i="27"/>
  <c r="H234" i="27"/>
  <c r="F632" i="27"/>
  <c r="G632" i="27"/>
  <c r="H632" i="27"/>
  <c r="F238" i="27"/>
  <c r="G238" i="27"/>
  <c r="H238" i="27"/>
  <c r="F552" i="27"/>
  <c r="G552" i="27"/>
  <c r="H552" i="27"/>
  <c r="F237" i="27"/>
  <c r="G237" i="27"/>
  <c r="H237" i="27"/>
  <c r="F572" i="27"/>
  <c r="G572" i="27"/>
  <c r="H572" i="27"/>
  <c r="F256" i="27"/>
  <c r="G256" i="27"/>
  <c r="H256" i="27"/>
  <c r="F591" i="27"/>
  <c r="G591" i="27"/>
  <c r="H591" i="27"/>
  <c r="F259" i="27"/>
  <c r="G259" i="27"/>
  <c r="H259" i="27"/>
  <c r="F531" i="27"/>
  <c r="G531" i="27"/>
  <c r="H531" i="27"/>
  <c r="F233" i="27"/>
  <c r="G233" i="27"/>
  <c r="H233" i="27"/>
  <c r="F652" i="27"/>
  <c r="G652" i="27"/>
  <c r="H652" i="27"/>
  <c r="F257" i="27"/>
  <c r="G257" i="27"/>
  <c r="H257" i="27"/>
  <c r="F571" i="27"/>
  <c r="G571" i="27"/>
  <c r="H571" i="27"/>
  <c r="F255" i="27"/>
  <c r="G255" i="27"/>
  <c r="H255" i="27"/>
  <c r="F611" i="27"/>
  <c r="G611" i="27"/>
  <c r="H611" i="27"/>
  <c r="F396" i="27"/>
  <c r="G396" i="27"/>
  <c r="H396" i="27"/>
  <c r="F584" i="27"/>
  <c r="G584" i="27"/>
  <c r="H584" i="27"/>
  <c r="F262" i="27"/>
  <c r="G262" i="27"/>
  <c r="H262" i="27"/>
  <c r="F471" i="27"/>
  <c r="G471" i="27"/>
  <c r="H471" i="27"/>
  <c r="F260" i="27"/>
  <c r="G260" i="27"/>
  <c r="H260" i="27"/>
  <c r="F511" i="27"/>
  <c r="G511" i="27"/>
  <c r="H511" i="27"/>
  <c r="F253" i="27"/>
  <c r="G253" i="27"/>
  <c r="H253" i="27"/>
  <c r="F651" i="27"/>
  <c r="G651" i="27"/>
  <c r="H651" i="27"/>
  <c r="F399" i="27"/>
  <c r="G399" i="27"/>
  <c r="H399" i="27"/>
  <c r="F524" i="27"/>
  <c r="G524" i="27"/>
  <c r="H524" i="27"/>
  <c r="F395" i="27"/>
  <c r="G395" i="27"/>
  <c r="H395" i="27"/>
  <c r="F604" i="27"/>
  <c r="G604" i="27"/>
  <c r="H604" i="27"/>
  <c r="F398" i="27"/>
  <c r="G398" i="27"/>
  <c r="H398" i="27"/>
  <c r="F544" i="27"/>
  <c r="G544" i="27"/>
  <c r="H544" i="27"/>
  <c r="F254" i="27"/>
  <c r="G254" i="27"/>
  <c r="H254" i="27"/>
  <c r="F631" i="27"/>
  <c r="G631" i="27"/>
  <c r="H631" i="27"/>
  <c r="F400" i="27"/>
  <c r="G400" i="27"/>
  <c r="H400" i="27"/>
  <c r="F504" i="27"/>
  <c r="G504" i="27"/>
  <c r="H504" i="27"/>
  <c r="F432" i="27"/>
  <c r="G432" i="27"/>
  <c r="H432" i="27"/>
  <c r="F244" i="27"/>
  <c r="G244" i="27"/>
  <c r="H244" i="27"/>
  <c r="F251" i="27"/>
  <c r="G251" i="27"/>
  <c r="H251" i="27"/>
  <c r="F292" i="27"/>
  <c r="G292" i="27"/>
  <c r="H292" i="27"/>
  <c r="F401" i="27"/>
  <c r="G401" i="27"/>
  <c r="H401" i="27"/>
  <c r="F484" i="27"/>
  <c r="G484" i="27"/>
  <c r="H484" i="27"/>
  <c r="F402" i="27"/>
  <c r="G402" i="27"/>
  <c r="H402" i="27"/>
  <c r="F464" i="27"/>
  <c r="G464" i="27"/>
  <c r="H464" i="27"/>
  <c r="F412" i="27"/>
  <c r="G412" i="27"/>
  <c r="H412" i="27"/>
  <c r="F245" i="27"/>
  <c r="G245" i="27"/>
  <c r="H245" i="27"/>
  <c r="F393" i="27"/>
  <c r="G393" i="27"/>
  <c r="H393" i="27"/>
  <c r="F644" i="27"/>
  <c r="G644" i="27"/>
  <c r="H644" i="27"/>
  <c r="F424" i="27"/>
  <c r="G424" i="27"/>
  <c r="H424" i="27"/>
  <c r="F404" i="27"/>
  <c r="G404" i="27"/>
  <c r="H404" i="27"/>
  <c r="F420" i="27"/>
  <c r="G420" i="27"/>
  <c r="H420" i="27"/>
  <c r="F503" i="27"/>
  <c r="G503" i="27"/>
  <c r="H503" i="27"/>
  <c r="F416" i="27"/>
  <c r="G416" i="27"/>
  <c r="H416" i="27"/>
  <c r="F583" i="27"/>
  <c r="G583" i="27"/>
  <c r="H583" i="27"/>
  <c r="F394" i="27"/>
  <c r="G394" i="27"/>
  <c r="H394" i="27"/>
  <c r="F624" i="27"/>
  <c r="G624" i="27"/>
  <c r="H624" i="27"/>
  <c r="F419" i="27"/>
  <c r="G419" i="27"/>
  <c r="H419" i="27"/>
  <c r="F523" i="27"/>
  <c r="G523" i="27"/>
  <c r="H523" i="27"/>
  <c r="F490" i="27"/>
  <c r="G490" i="27"/>
  <c r="H490" i="27"/>
  <c r="F281" i="27"/>
  <c r="G281" i="27"/>
  <c r="H281" i="27"/>
  <c r="F274" i="27"/>
  <c r="G274" i="27"/>
  <c r="H274" i="27"/>
  <c r="F630" i="27"/>
  <c r="G630" i="27"/>
  <c r="H630" i="27"/>
  <c r="F510" i="27"/>
  <c r="G510" i="27"/>
  <c r="H510" i="27"/>
  <c r="F280" i="27"/>
  <c r="G280" i="27"/>
  <c r="H280" i="27"/>
  <c r="F649" i="27"/>
  <c r="G649" i="27"/>
  <c r="H649" i="27"/>
  <c r="F293" i="27"/>
  <c r="G293" i="27"/>
  <c r="H293" i="27"/>
  <c r="F421" i="27"/>
  <c r="G421" i="27"/>
  <c r="H421" i="27"/>
  <c r="F483" i="27"/>
  <c r="G483" i="27"/>
  <c r="H483" i="27"/>
  <c r="F627" i="27"/>
  <c r="G627" i="27"/>
  <c r="H627" i="27"/>
  <c r="F334" i="27"/>
  <c r="G334" i="27"/>
  <c r="H334" i="27"/>
  <c r="F610" i="27"/>
  <c r="G610" i="27"/>
  <c r="H610" i="27"/>
  <c r="F275" i="27"/>
  <c r="G275" i="27"/>
  <c r="H275" i="27"/>
  <c r="F349" i="27"/>
  <c r="G349" i="27"/>
  <c r="H349" i="27"/>
  <c r="F308" i="27"/>
  <c r="G308" i="27"/>
  <c r="H308" i="27"/>
  <c r="F418" i="27"/>
  <c r="G418" i="27"/>
  <c r="H418" i="27"/>
  <c r="F543" i="27"/>
  <c r="G543" i="27"/>
  <c r="H543" i="27"/>
  <c r="F422" i="27"/>
  <c r="G422" i="27"/>
  <c r="H422" i="27"/>
  <c r="F463" i="27"/>
  <c r="G463" i="27"/>
  <c r="H463" i="27"/>
  <c r="F629" i="27"/>
  <c r="G629" i="27"/>
  <c r="H629" i="27"/>
  <c r="F294" i="27"/>
  <c r="G294" i="27"/>
  <c r="H294" i="27"/>
  <c r="F647" i="27"/>
  <c r="G647" i="27"/>
  <c r="H647" i="27"/>
  <c r="F333" i="27"/>
  <c r="G333" i="27"/>
  <c r="H333" i="27"/>
  <c r="F430" i="27"/>
  <c r="G430" i="27"/>
  <c r="H430" i="27"/>
  <c r="F284" i="27"/>
  <c r="G284" i="27"/>
  <c r="H284" i="27"/>
  <c r="F417" i="27"/>
  <c r="G417" i="27"/>
  <c r="H417" i="27"/>
  <c r="F563" i="27"/>
  <c r="G563" i="27"/>
  <c r="H563" i="27"/>
  <c r="F569" i="27"/>
  <c r="G569" i="27"/>
  <c r="H569" i="27"/>
  <c r="F297" i="27"/>
  <c r="G297" i="27"/>
  <c r="H297" i="27"/>
  <c r="F550" i="27"/>
  <c r="G550" i="27"/>
  <c r="H550" i="27"/>
  <c r="F278" i="27"/>
  <c r="G278" i="27"/>
  <c r="H278" i="27"/>
  <c r="F530" i="27"/>
  <c r="G530" i="27"/>
  <c r="H530" i="27"/>
  <c r="F279" i="27"/>
  <c r="G279" i="27"/>
  <c r="H279" i="27"/>
  <c r="F288" i="27"/>
  <c r="G288" i="27"/>
  <c r="H288" i="27"/>
  <c r="F350" i="27"/>
  <c r="G350" i="27"/>
  <c r="H350" i="27"/>
  <c r="F467" i="27"/>
  <c r="G467" i="27"/>
  <c r="H467" i="27"/>
  <c r="F342" i="27"/>
  <c r="G342" i="27"/>
  <c r="H342" i="27"/>
  <c r="F414" i="27"/>
  <c r="G414" i="27"/>
  <c r="H414" i="27"/>
  <c r="F623" i="27"/>
  <c r="G623" i="27"/>
  <c r="H623" i="27"/>
  <c r="F487" i="27"/>
  <c r="G487" i="27"/>
  <c r="H487" i="27"/>
  <c r="F341" i="27"/>
  <c r="G341" i="27"/>
  <c r="H341" i="27"/>
  <c r="F549" i="27"/>
  <c r="G549" i="27"/>
  <c r="H549" i="27"/>
  <c r="F298" i="27"/>
  <c r="G298" i="27"/>
  <c r="H298" i="27"/>
  <c r="F431" i="27"/>
  <c r="G431" i="27"/>
  <c r="H431" i="27"/>
  <c r="F264" i="27"/>
  <c r="G264" i="27"/>
  <c r="H264" i="27"/>
  <c r="F450" i="27"/>
  <c r="G450" i="27"/>
  <c r="H450" i="27"/>
  <c r="F283" i="27"/>
  <c r="G283" i="27"/>
  <c r="H283" i="27"/>
  <c r="F489" i="27"/>
  <c r="G489" i="27"/>
  <c r="H489" i="27"/>
  <c r="F301" i="27"/>
  <c r="G301" i="27"/>
  <c r="H301" i="27"/>
  <c r="F507" i="27"/>
  <c r="G507" i="27"/>
  <c r="H507" i="27"/>
  <c r="F340" i="27"/>
  <c r="G340" i="27"/>
  <c r="H340" i="27"/>
  <c r="F547" i="27"/>
  <c r="G547" i="27"/>
  <c r="H547" i="27"/>
  <c r="F338" i="27"/>
  <c r="G338" i="27"/>
  <c r="H338" i="27"/>
  <c r="F248" i="27"/>
  <c r="G248" i="27"/>
  <c r="H248" i="27"/>
  <c r="F352" i="27"/>
  <c r="G352" i="27"/>
  <c r="H352" i="27"/>
  <c r="F529" i="27"/>
  <c r="G529" i="27"/>
  <c r="H529" i="27"/>
  <c r="F299" i="27"/>
  <c r="G299" i="27"/>
  <c r="H299" i="27"/>
  <c r="F385" i="27"/>
  <c r="G385" i="27"/>
  <c r="H385" i="27"/>
  <c r="F405" i="27"/>
  <c r="G405" i="27"/>
  <c r="H405" i="27"/>
  <c r="F509" i="27"/>
  <c r="G509" i="27"/>
  <c r="H509" i="27"/>
  <c r="F300" i="27"/>
  <c r="G300" i="27"/>
  <c r="H300" i="27"/>
  <c r="F391" i="27"/>
  <c r="G391" i="27"/>
  <c r="H391" i="27"/>
  <c r="F266" i="27"/>
  <c r="G266" i="27"/>
  <c r="H266" i="27"/>
  <c r="F589" i="27"/>
  <c r="G589" i="27"/>
  <c r="H589" i="27"/>
  <c r="F296" i="27"/>
  <c r="G296" i="27"/>
  <c r="H296" i="27"/>
  <c r="F527" i="27"/>
  <c r="G527" i="27"/>
  <c r="H527" i="27"/>
  <c r="F339" i="27"/>
  <c r="G339" i="27"/>
  <c r="H339" i="27"/>
  <c r="F270" i="27"/>
  <c r="G270" i="27"/>
  <c r="H270" i="27"/>
  <c r="F311" i="27"/>
  <c r="G311" i="27"/>
  <c r="H311" i="27"/>
  <c r="F609" i="27"/>
  <c r="G609" i="27"/>
  <c r="H609" i="27"/>
  <c r="F295" i="27"/>
  <c r="G295" i="27"/>
  <c r="H295" i="27"/>
  <c r="F406" i="27"/>
  <c r="G406" i="27"/>
  <c r="H406" i="27"/>
  <c r="F365" i="27"/>
  <c r="G365" i="27"/>
  <c r="H365" i="27"/>
  <c r="F369" i="27"/>
  <c r="G369" i="27"/>
  <c r="H369" i="27"/>
  <c r="F307" i="27"/>
  <c r="G307" i="27"/>
  <c r="H307" i="27"/>
  <c r="F250" i="27"/>
  <c r="G250" i="27"/>
  <c r="H250" i="27"/>
  <c r="F312" i="27"/>
  <c r="G312" i="27"/>
  <c r="H312" i="27"/>
  <c r="F546" i="27"/>
  <c r="G546" i="27"/>
  <c r="H546" i="27"/>
  <c r="F358" i="27"/>
  <c r="G358" i="27"/>
  <c r="H358" i="27"/>
  <c r="F353" i="27"/>
  <c r="G353" i="27"/>
  <c r="H353" i="27"/>
  <c r="F646" i="27"/>
  <c r="G646" i="27"/>
  <c r="H646" i="27"/>
  <c r="F586" i="27"/>
  <c r="G586" i="27"/>
  <c r="H586" i="27"/>
  <c r="F356" i="27"/>
  <c r="G356" i="27"/>
  <c r="H356" i="27"/>
  <c r="F452" i="27"/>
  <c r="G452" i="27"/>
  <c r="H452" i="27"/>
  <c r="F243" i="27"/>
  <c r="G243" i="27"/>
  <c r="H243" i="27"/>
  <c r="F271" i="27"/>
  <c r="G271" i="27"/>
  <c r="H271" i="27"/>
  <c r="F291" i="27"/>
  <c r="G291" i="27"/>
  <c r="H291" i="27"/>
  <c r="F410" i="27"/>
  <c r="G410" i="27"/>
  <c r="H410" i="27"/>
  <c r="F285" i="27"/>
  <c r="G285" i="27"/>
  <c r="H285" i="27"/>
  <c r="F348" i="27"/>
  <c r="G348" i="27"/>
  <c r="H348" i="27"/>
  <c r="F328" i="27"/>
  <c r="G328" i="27"/>
  <c r="H328" i="27"/>
  <c r="F354" i="27"/>
  <c r="G354" i="27"/>
  <c r="H354" i="27"/>
  <c r="F626" i="27"/>
  <c r="G626" i="27"/>
  <c r="H626" i="27"/>
  <c r="F606" i="27"/>
  <c r="G606" i="27"/>
  <c r="H606" i="27"/>
  <c r="F355" i="27"/>
  <c r="G355" i="27"/>
  <c r="H355" i="27"/>
  <c r="F268" i="27"/>
  <c r="G268" i="27"/>
  <c r="H268" i="27"/>
  <c r="F351" i="27"/>
  <c r="G351" i="27"/>
  <c r="H351" i="27"/>
  <c r="F376" i="27"/>
  <c r="G376" i="27"/>
  <c r="H376" i="27"/>
  <c r="F585" i="27"/>
  <c r="G585" i="27"/>
  <c r="H585" i="27"/>
  <c r="F409" i="27"/>
  <c r="G409" i="27"/>
  <c r="H409" i="27"/>
  <c r="F305" i="27"/>
  <c r="G305" i="27"/>
  <c r="H305" i="27"/>
  <c r="F379" i="27"/>
  <c r="G379" i="27"/>
  <c r="H379" i="27"/>
  <c r="F525" i="27"/>
  <c r="G525" i="27"/>
  <c r="H525" i="27"/>
  <c r="F378" i="27"/>
  <c r="G378" i="27"/>
  <c r="H378" i="27"/>
  <c r="F545" i="27"/>
  <c r="G545" i="27"/>
  <c r="H545" i="27"/>
  <c r="F440" i="27"/>
  <c r="G440" i="27"/>
  <c r="H440" i="27"/>
  <c r="F502" i="27"/>
  <c r="G502" i="27"/>
  <c r="H502" i="27"/>
  <c r="F377" i="27"/>
  <c r="G377" i="27"/>
  <c r="H377" i="27"/>
  <c r="F565" i="27"/>
  <c r="G565" i="27"/>
  <c r="H565" i="27"/>
  <c r="F375" i="27"/>
  <c r="G375" i="27"/>
  <c r="H375" i="27"/>
  <c r="F605" i="27"/>
  <c r="G605" i="27"/>
  <c r="H605" i="27"/>
  <c r="F441" i="27"/>
  <c r="G441" i="27"/>
  <c r="H441" i="27"/>
  <c r="F482" i="27"/>
  <c r="G482" i="27"/>
  <c r="H482" i="27"/>
  <c r="F648" i="27"/>
  <c r="G648" i="27"/>
  <c r="H648" i="27"/>
  <c r="F313" i="27"/>
  <c r="G313" i="27"/>
  <c r="H313" i="27"/>
  <c r="F290" i="27"/>
  <c r="G290" i="27"/>
  <c r="H290" i="27"/>
  <c r="F310" i="27"/>
  <c r="G310" i="27"/>
  <c r="H310" i="27"/>
  <c r="F380" i="27"/>
  <c r="G380" i="27"/>
  <c r="H380" i="27"/>
  <c r="F505" i="27"/>
  <c r="G505" i="27"/>
  <c r="H505" i="27"/>
  <c r="F436" i="27"/>
  <c r="G436" i="27"/>
  <c r="H436" i="27"/>
  <c r="F582" i="27"/>
  <c r="G582" i="27"/>
  <c r="H582" i="27"/>
  <c r="F373" i="27"/>
  <c r="G373" i="27"/>
  <c r="H373" i="27"/>
  <c r="F645" i="27"/>
  <c r="G645" i="27"/>
  <c r="H645" i="27"/>
  <c r="F368" i="27"/>
  <c r="G368" i="27"/>
  <c r="H368" i="27"/>
  <c r="F327" i="27"/>
  <c r="G327" i="27"/>
  <c r="H327" i="27"/>
  <c r="F439" i="27"/>
  <c r="G439" i="27"/>
  <c r="H439" i="27"/>
  <c r="F522" i="27"/>
  <c r="G522" i="27"/>
  <c r="H522" i="27"/>
  <c r="F381" i="27"/>
  <c r="G381" i="27"/>
  <c r="H381" i="27"/>
  <c r="F485" i="27"/>
  <c r="G485" i="27"/>
  <c r="H485" i="27"/>
  <c r="F247" i="27"/>
  <c r="G247" i="27"/>
  <c r="H247" i="27"/>
  <c r="F372" i="27"/>
  <c r="G372" i="27"/>
  <c r="H372" i="27"/>
  <c r="F442" i="27"/>
  <c r="G442" i="27"/>
  <c r="H442" i="27"/>
  <c r="F462" i="27"/>
  <c r="G462" i="27"/>
  <c r="H462" i="27"/>
  <c r="F407" i="27"/>
  <c r="G407" i="27"/>
  <c r="H407" i="27"/>
  <c r="F345" i="27"/>
  <c r="G345" i="27"/>
  <c r="H345" i="27"/>
  <c r="F434" i="27"/>
  <c r="G434" i="27"/>
  <c r="H434" i="27"/>
  <c r="F622" i="27"/>
  <c r="G622" i="27"/>
  <c r="H622" i="27"/>
  <c r="F438" i="27"/>
  <c r="G438" i="27"/>
  <c r="H438" i="27"/>
  <c r="F542" i="27"/>
  <c r="G542" i="27"/>
  <c r="H542" i="27"/>
  <c r="F437" i="27"/>
  <c r="G437" i="27"/>
  <c r="H437" i="27"/>
  <c r="F562" i="27"/>
  <c r="G562" i="27"/>
  <c r="H562" i="27"/>
  <c r="F444" i="27"/>
  <c r="G444" i="27"/>
  <c r="H444" i="27"/>
  <c r="F403" i="27"/>
  <c r="G403" i="27"/>
  <c r="H403" i="27"/>
  <c r="F548" i="27"/>
  <c r="G548" i="27"/>
  <c r="H548" i="27"/>
  <c r="F318" i="27"/>
  <c r="G318" i="27"/>
  <c r="H318" i="27"/>
  <c r="F384" i="27"/>
  <c r="G384" i="27"/>
  <c r="H384" i="27"/>
  <c r="F425" i="27"/>
  <c r="G425" i="27"/>
  <c r="H425" i="27"/>
  <c r="F528" i="27"/>
  <c r="G528" i="27"/>
  <c r="H528" i="27"/>
  <c r="F319" i="27"/>
  <c r="G319" i="27"/>
  <c r="H319" i="27"/>
  <c r="F508" i="27"/>
  <c r="G508" i="27"/>
  <c r="H508" i="27"/>
  <c r="F320" i="27"/>
  <c r="G320" i="27"/>
  <c r="H320" i="27"/>
  <c r="F269" i="27"/>
  <c r="G269" i="27"/>
  <c r="H269" i="27"/>
  <c r="F331" i="27"/>
  <c r="G331" i="27"/>
  <c r="H331" i="27"/>
  <c r="F588" i="27"/>
  <c r="G588" i="27"/>
  <c r="H588" i="27"/>
  <c r="F316" i="27"/>
  <c r="G316" i="27"/>
  <c r="H316" i="27"/>
  <c r="F429" i="27"/>
  <c r="G429" i="27"/>
  <c r="H429" i="27"/>
  <c r="F304" i="27"/>
  <c r="G304" i="27"/>
  <c r="H304" i="27"/>
  <c r="F608" i="27"/>
  <c r="G608" i="27"/>
  <c r="H608" i="27"/>
  <c r="F315" i="27"/>
  <c r="G315" i="27"/>
  <c r="H315" i="27"/>
  <c r="F451" i="27"/>
  <c r="G451" i="27"/>
  <c r="H451" i="27"/>
  <c r="F263" i="27"/>
  <c r="G263" i="27"/>
  <c r="H263" i="27"/>
  <c r="F389" i="27"/>
  <c r="G389" i="27"/>
  <c r="H389" i="27"/>
  <c r="F306" i="27"/>
  <c r="G306" i="27"/>
  <c r="H306" i="27"/>
  <c r="F426" i="27"/>
  <c r="G426" i="27"/>
  <c r="H426" i="27"/>
  <c r="F364" i="27"/>
  <c r="G364" i="27"/>
  <c r="H364" i="27"/>
  <c r="F249" i="27"/>
  <c r="G249" i="27"/>
  <c r="H249" i="27"/>
  <c r="F332" i="27"/>
  <c r="G332" i="27"/>
  <c r="H332" i="27"/>
  <c r="F447" i="27"/>
  <c r="G447" i="27"/>
  <c r="H447" i="27"/>
  <c r="F343" i="27"/>
  <c r="G343" i="27"/>
  <c r="H343" i="27"/>
  <c r="F367" i="27"/>
  <c r="G367" i="27"/>
  <c r="H367" i="27"/>
  <c r="F347" i="27"/>
  <c r="G347" i="27"/>
  <c r="H347" i="27"/>
  <c r="F408" i="27"/>
  <c r="G408" i="27"/>
  <c r="H408" i="27"/>
  <c r="F325" i="27"/>
  <c r="G325" i="27"/>
  <c r="H325" i="27"/>
  <c r="F390" i="27"/>
  <c r="G390" i="27"/>
  <c r="H390" i="27"/>
  <c r="F286" i="27"/>
  <c r="G286" i="27"/>
  <c r="H286" i="27"/>
  <c r="F388" i="27"/>
  <c r="G388" i="27"/>
  <c r="H388" i="27"/>
  <c r="F326" i="27"/>
  <c r="G326" i="27"/>
  <c r="H326" i="27"/>
  <c r="F449" i="27"/>
  <c r="G449" i="27"/>
  <c r="H449" i="27"/>
  <c r="F303" i="27"/>
  <c r="G303" i="27"/>
  <c r="H303" i="27"/>
  <c r="F428" i="27"/>
  <c r="G428" i="27"/>
  <c r="H428" i="27"/>
  <c r="F324" i="27"/>
  <c r="G324" i="27"/>
  <c r="H324" i="27"/>
  <c r="F445" i="27"/>
  <c r="G445" i="27"/>
  <c r="H445" i="27"/>
  <c r="F383" i="27"/>
  <c r="G383" i="27"/>
  <c r="H383" i="27"/>
  <c r="F446" i="27"/>
  <c r="G446" i="27"/>
  <c r="H446" i="27"/>
  <c r="F363" i="27"/>
  <c r="G363" i="27"/>
  <c r="H363" i="27"/>
  <c r="F448" i="27"/>
  <c r="G448" i="27"/>
  <c r="H448" i="27"/>
  <c r="F323" i="27"/>
  <c r="G323" i="27"/>
  <c r="H323" i="27"/>
  <c r="F873" i="27"/>
  <c r="G873" i="27"/>
  <c r="H873" i="27"/>
  <c r="F863" i="27"/>
  <c r="G863" i="27"/>
  <c r="H863" i="27"/>
  <c r="F867" i="27"/>
  <c r="G867" i="27"/>
  <c r="H867" i="27"/>
  <c r="F875" i="27"/>
  <c r="G875" i="27"/>
  <c r="H875" i="27"/>
  <c r="F911" i="27"/>
  <c r="G911" i="27"/>
  <c r="H911" i="27"/>
  <c r="F1021" i="27"/>
  <c r="G1021" i="27"/>
  <c r="H1021" i="27"/>
  <c r="F879" i="27"/>
  <c r="G879" i="27"/>
  <c r="H879" i="27"/>
  <c r="F891" i="27"/>
  <c r="G891" i="27"/>
  <c r="H891" i="27"/>
  <c r="F887" i="27"/>
  <c r="G887" i="27"/>
  <c r="H887" i="27"/>
  <c r="F1027" i="27"/>
  <c r="G1027" i="27"/>
  <c r="H1027" i="27"/>
  <c r="F971" i="27"/>
  <c r="G971" i="27"/>
  <c r="H971" i="27"/>
  <c r="F846" i="27"/>
  <c r="G846" i="27"/>
  <c r="H846" i="27"/>
  <c r="F940" i="27"/>
  <c r="G940" i="27"/>
  <c r="H940" i="27"/>
  <c r="F947" i="27"/>
  <c r="G947" i="27"/>
  <c r="H947" i="27"/>
  <c r="F998" i="27"/>
  <c r="G998" i="27"/>
  <c r="H998" i="27"/>
  <c r="F1025" i="27"/>
  <c r="G1025" i="27"/>
  <c r="H1025" i="27"/>
  <c r="F842" i="27"/>
  <c r="G842" i="27"/>
  <c r="H842" i="27"/>
  <c r="F871" i="27"/>
  <c r="G871" i="27"/>
  <c r="H871" i="27"/>
  <c r="F967" i="27"/>
  <c r="G967" i="27"/>
  <c r="H967" i="27"/>
  <c r="F1008" i="27"/>
  <c r="G1008" i="27"/>
  <c r="H1008" i="27"/>
  <c r="F874" i="27"/>
  <c r="G874" i="27"/>
  <c r="H874" i="27"/>
  <c r="F1007" i="27"/>
  <c r="G1007" i="27"/>
  <c r="H1007" i="27"/>
  <c r="F993" i="27"/>
  <c r="G993" i="27"/>
  <c r="H993" i="27"/>
  <c r="F987" i="27"/>
  <c r="G987" i="27"/>
  <c r="H987" i="27"/>
  <c r="F886" i="27"/>
  <c r="G886" i="27"/>
  <c r="H886" i="27"/>
  <c r="F1014" i="27"/>
  <c r="G1014" i="27"/>
  <c r="H1014" i="27"/>
  <c r="F960" i="27"/>
  <c r="G960" i="27"/>
  <c r="H960" i="27"/>
  <c r="F931" i="27"/>
  <c r="G931" i="27"/>
  <c r="H931" i="27"/>
  <c r="F915" i="27"/>
  <c r="G915" i="27"/>
  <c r="H915" i="27"/>
  <c r="F923" i="27"/>
  <c r="G923" i="27"/>
  <c r="H923" i="27"/>
  <c r="F934" i="27"/>
  <c r="G934" i="27"/>
  <c r="H934" i="27"/>
  <c r="F860" i="27"/>
  <c r="G860" i="27"/>
  <c r="H860" i="27"/>
  <c r="F948" i="27"/>
  <c r="G948" i="27"/>
  <c r="H948" i="27"/>
  <c r="F949" i="27"/>
  <c r="G949" i="27"/>
  <c r="H949" i="27"/>
  <c r="F838" i="27"/>
  <c r="G838" i="27"/>
  <c r="H838" i="27"/>
  <c r="F900" i="27"/>
  <c r="G900" i="27"/>
  <c r="H900" i="27"/>
  <c r="F850" i="27"/>
  <c r="G850" i="27"/>
  <c r="H850" i="27"/>
  <c r="F826" i="27"/>
  <c r="G826" i="27"/>
  <c r="H826" i="27"/>
  <c r="F913" i="27"/>
  <c r="G913" i="27"/>
  <c r="H913" i="27"/>
  <c r="F841" i="27"/>
  <c r="G841" i="27"/>
  <c r="H841" i="27"/>
  <c r="F963" i="27"/>
  <c r="G963" i="27"/>
  <c r="H963" i="27"/>
  <c r="F976" i="27"/>
  <c r="G976" i="27"/>
  <c r="H976" i="27"/>
  <c r="F905" i="27"/>
  <c r="G905" i="27"/>
  <c r="H905" i="27"/>
  <c r="F983" i="27"/>
  <c r="G983" i="27"/>
  <c r="H983" i="27"/>
  <c r="F907" i="27"/>
  <c r="G907" i="27"/>
  <c r="H907" i="27"/>
  <c r="F864" i="27"/>
  <c r="G864" i="27"/>
  <c r="H864" i="27"/>
  <c r="F872" i="27"/>
  <c r="G872" i="27"/>
  <c r="H872" i="27"/>
  <c r="F866" i="27"/>
  <c r="G866" i="27"/>
  <c r="H866" i="27"/>
  <c r="F865" i="27"/>
  <c r="G865" i="27"/>
  <c r="H865" i="27"/>
  <c r="F868" i="27"/>
  <c r="G868" i="27"/>
  <c r="H868" i="27"/>
  <c r="F975" i="27"/>
  <c r="G975" i="27"/>
  <c r="H975" i="27"/>
  <c r="F977" i="27"/>
  <c r="G977" i="27"/>
  <c r="H977" i="27"/>
  <c r="F1018" i="27"/>
  <c r="G1018" i="27"/>
  <c r="H1018" i="27"/>
  <c r="F869" i="27"/>
  <c r="G869" i="27"/>
  <c r="H869" i="27"/>
  <c r="F870" i="27"/>
  <c r="G870" i="27"/>
  <c r="H870" i="27"/>
  <c r="F965" i="27"/>
  <c r="G965" i="27"/>
  <c r="H965" i="27"/>
  <c r="F982" i="27"/>
  <c r="G982" i="27"/>
  <c r="H982" i="27"/>
  <c r="F979" i="27"/>
  <c r="G979" i="27"/>
  <c r="H979" i="27"/>
  <c r="F966" i="27"/>
  <c r="G966" i="27"/>
  <c r="H966" i="27"/>
  <c r="F910" i="27"/>
  <c r="G910" i="27"/>
  <c r="H910" i="27"/>
  <c r="F980" i="27"/>
  <c r="G980" i="27"/>
  <c r="H980" i="27"/>
  <c r="F952" i="27"/>
  <c r="G952" i="27"/>
  <c r="H952" i="27"/>
  <c r="F1022" i="27"/>
  <c r="G1022" i="27"/>
  <c r="H1022" i="27"/>
  <c r="F893" i="27"/>
  <c r="G893" i="27"/>
  <c r="H893" i="27"/>
  <c r="F981" i="27"/>
  <c r="G981" i="27"/>
  <c r="H981" i="27"/>
  <c r="F978" i="27"/>
  <c r="G978" i="27"/>
  <c r="H978" i="27"/>
  <c r="F1004" i="27"/>
  <c r="G1004" i="27"/>
  <c r="H1004" i="27"/>
  <c r="F897" i="27"/>
  <c r="G897" i="27"/>
  <c r="H897" i="27"/>
  <c r="F912" i="27"/>
  <c r="G912" i="27"/>
  <c r="H912" i="27"/>
  <c r="F994" i="27"/>
  <c r="G994" i="27"/>
  <c r="H994" i="27"/>
  <c r="F1011" i="27"/>
  <c r="G1011" i="27"/>
  <c r="H1011" i="27"/>
  <c r="F1023" i="27"/>
  <c r="G1023" i="27"/>
  <c r="H1023" i="27"/>
  <c r="F953" i="27"/>
  <c r="G953" i="27"/>
  <c r="H953" i="27"/>
  <c r="F1009" i="27"/>
  <c r="G1009" i="27"/>
  <c r="H1009" i="27"/>
  <c r="F898" i="27"/>
  <c r="G898" i="27"/>
  <c r="H898" i="27"/>
  <c r="F995" i="27"/>
  <c r="G995" i="27"/>
  <c r="H995" i="27"/>
  <c r="F909" i="27"/>
  <c r="G909" i="27"/>
  <c r="H909" i="27"/>
  <c r="F896" i="27"/>
  <c r="G896" i="27"/>
  <c r="H896" i="27"/>
  <c r="F876" i="27"/>
  <c r="G876" i="27"/>
  <c r="H876" i="27"/>
  <c r="F883" i="27"/>
  <c r="G883" i="27"/>
  <c r="H883" i="27"/>
  <c r="F884" i="27"/>
  <c r="G884" i="27"/>
  <c r="H884" i="27"/>
  <c r="F882" i="27"/>
  <c r="G882" i="27"/>
  <c r="H882" i="27"/>
  <c r="F862" i="27"/>
  <c r="G862" i="27"/>
  <c r="H862" i="27"/>
  <c r="F1003" i="27"/>
  <c r="G1003" i="27"/>
  <c r="H1003" i="27"/>
  <c r="F1020" i="27"/>
  <c r="G1020" i="27"/>
  <c r="H1020" i="27"/>
  <c r="F1006" i="27"/>
  <c r="G1006" i="27"/>
  <c r="H1006" i="27"/>
  <c r="F917" i="27"/>
  <c r="G917" i="27"/>
  <c r="H917" i="27"/>
  <c r="F988" i="27"/>
  <c r="G988" i="27"/>
  <c r="H988" i="27"/>
  <c r="F881" i="27"/>
  <c r="G881" i="27"/>
  <c r="H881" i="27"/>
  <c r="F877" i="27"/>
  <c r="G877" i="27"/>
  <c r="H877" i="27"/>
  <c r="F1015" i="27"/>
  <c r="G1015" i="27"/>
  <c r="H1015" i="27"/>
  <c r="F889" i="27"/>
  <c r="G889" i="27"/>
  <c r="H889" i="27"/>
  <c r="F918" i="27"/>
  <c r="G918" i="27"/>
  <c r="H918" i="27"/>
  <c r="F1029" i="27"/>
  <c r="G1029" i="27"/>
  <c r="H1029" i="27"/>
  <c r="F878" i="27"/>
  <c r="G878" i="27"/>
  <c r="H878" i="27"/>
  <c r="F890" i="27"/>
  <c r="G890" i="27"/>
  <c r="H890" i="27"/>
  <c r="F986" i="27"/>
  <c r="G986" i="27"/>
  <c r="H986" i="27"/>
  <c r="F973" i="27"/>
  <c r="G973" i="27"/>
  <c r="H973" i="27"/>
  <c r="F1016" i="27"/>
  <c r="G1016" i="27"/>
  <c r="H1016" i="27"/>
  <c r="F1030" i="27"/>
  <c r="G1030" i="27"/>
  <c r="H1030" i="27"/>
  <c r="F974" i="27"/>
  <c r="G974" i="27"/>
  <c r="H974" i="27"/>
  <c r="F848" i="27"/>
  <c r="G848" i="27"/>
  <c r="H848" i="27"/>
  <c r="F904" i="27"/>
  <c r="G904" i="27"/>
  <c r="H904" i="27"/>
  <c r="F916" i="27"/>
  <c r="G916" i="27"/>
  <c r="H916" i="27"/>
  <c r="F903" i="27"/>
  <c r="G903" i="27"/>
  <c r="H903" i="27"/>
  <c r="F1002" i="27"/>
  <c r="G1002" i="27"/>
  <c r="H1002" i="27"/>
  <c r="F888" i="27"/>
  <c r="G888" i="27"/>
  <c r="H888" i="27"/>
  <c r="F885" i="27"/>
  <c r="G885" i="27"/>
  <c r="H885" i="27"/>
  <c r="F1028" i="27"/>
  <c r="G1028" i="27"/>
  <c r="H1028" i="27"/>
  <c r="F972" i="27"/>
  <c r="G972" i="27"/>
  <c r="H972" i="27"/>
  <c r="F902" i="27"/>
  <c r="G902" i="27"/>
  <c r="H902" i="27"/>
  <c r="F847" i="27"/>
  <c r="G847" i="27"/>
  <c r="H847" i="27"/>
  <c r="F1000" i="27"/>
  <c r="G1000" i="27"/>
  <c r="H1000" i="27"/>
  <c r="F1001" i="27"/>
  <c r="G1001" i="27"/>
  <c r="H1001" i="27"/>
  <c r="F958" i="27"/>
  <c r="G958" i="27"/>
  <c r="H958" i="27"/>
  <c r="F932" i="27"/>
  <c r="G932" i="27"/>
  <c r="H932" i="27"/>
  <c r="F880" i="27"/>
  <c r="G880" i="27"/>
  <c r="H880" i="27"/>
  <c r="F946" i="27"/>
  <c r="G946" i="27"/>
  <c r="H946" i="27"/>
  <c r="F959" i="27"/>
  <c r="G959" i="27"/>
  <c r="H959" i="27"/>
  <c r="F895" i="27"/>
  <c r="G895" i="27"/>
  <c r="H895" i="27"/>
  <c r="F1010" i="27"/>
  <c r="G1010" i="27"/>
  <c r="H1010" i="27"/>
  <c r="F930" i="27"/>
  <c r="G930" i="27"/>
  <c r="H930" i="27"/>
  <c r="F944" i="27"/>
  <c r="G944" i="27"/>
  <c r="H944" i="27"/>
  <c r="F939" i="27"/>
  <c r="G939" i="27"/>
  <c r="H939" i="27"/>
  <c r="F899" i="27"/>
  <c r="G899" i="27"/>
  <c r="H899" i="27"/>
  <c r="F945" i="27"/>
  <c r="G945" i="27"/>
  <c r="H945" i="27"/>
  <c r="F992" i="27"/>
  <c r="G992" i="27"/>
  <c r="H992" i="27"/>
  <c r="F1005" i="27"/>
  <c r="G1005" i="27"/>
  <c r="H1005" i="27"/>
  <c r="F1024" i="27"/>
  <c r="G1024" i="27"/>
  <c r="H1024" i="27"/>
  <c r="F894" i="27"/>
  <c r="G894" i="27"/>
  <c r="H894" i="27"/>
  <c r="F996" i="27"/>
  <c r="G996" i="27"/>
  <c r="H996" i="27"/>
  <c r="F1013" i="27"/>
  <c r="G1013" i="27"/>
  <c r="H1013" i="27"/>
  <c r="F901" i="27"/>
  <c r="G901" i="27"/>
  <c r="H901" i="27"/>
  <c r="F985" i="27"/>
  <c r="G985" i="27"/>
  <c r="H985" i="27"/>
  <c r="F999" i="27"/>
  <c r="G999" i="27"/>
  <c r="H999" i="27"/>
  <c r="F957" i="27"/>
  <c r="G957" i="27"/>
  <c r="H957" i="27"/>
  <c r="F1019" i="27"/>
  <c r="G1019" i="27"/>
  <c r="H1019" i="27"/>
  <c r="F991" i="27"/>
  <c r="G991" i="27"/>
  <c r="H991" i="27"/>
  <c r="F989" i="27"/>
  <c r="G989" i="27"/>
  <c r="H989" i="27"/>
  <c r="F943" i="27"/>
  <c r="G943" i="27"/>
  <c r="H943" i="27"/>
  <c r="F929" i="27"/>
  <c r="G929" i="27"/>
  <c r="H929" i="27"/>
  <c r="F951" i="27"/>
  <c r="G951" i="27"/>
  <c r="H951" i="27"/>
  <c r="F908" i="27"/>
  <c r="G908" i="27"/>
  <c r="H908" i="27"/>
  <c r="F950" i="27"/>
  <c r="G950" i="27"/>
  <c r="H950" i="27"/>
  <c r="F937" i="27"/>
  <c r="G937" i="27"/>
  <c r="H937" i="27"/>
  <c r="F954" i="27"/>
  <c r="G954" i="27"/>
  <c r="H954" i="27"/>
  <c r="F936" i="27"/>
  <c r="G936" i="27"/>
  <c r="H936" i="27"/>
  <c r="F938" i="27"/>
  <c r="G938" i="27"/>
  <c r="H938" i="27"/>
  <c r="F933" i="27"/>
  <c r="G933" i="27"/>
  <c r="H933" i="27"/>
  <c r="F997" i="27"/>
  <c r="G997" i="27"/>
  <c r="H997" i="27"/>
  <c r="F922" i="27"/>
  <c r="G922" i="27"/>
  <c r="H922" i="27"/>
  <c r="F964" i="27"/>
  <c r="G964" i="27"/>
  <c r="H964" i="27"/>
  <c r="F990" i="27"/>
  <c r="G990" i="27"/>
  <c r="H990" i="27"/>
  <c r="F941" i="27"/>
  <c r="G941" i="27"/>
  <c r="H941" i="27"/>
  <c r="F926" i="27"/>
  <c r="G926" i="27"/>
  <c r="H926" i="27"/>
  <c r="F935" i="27"/>
  <c r="G935" i="27"/>
  <c r="H935" i="27"/>
  <c r="F892" i="27"/>
  <c r="G892" i="27"/>
  <c r="H892" i="27"/>
  <c r="F919" i="27"/>
  <c r="G919" i="27"/>
  <c r="H919" i="27"/>
  <c r="F924" i="27"/>
  <c r="G924" i="27"/>
  <c r="H924" i="27"/>
  <c r="F920" i="27"/>
  <c r="G920" i="27"/>
  <c r="H920" i="27"/>
  <c r="F927" i="27"/>
  <c r="G927" i="27"/>
  <c r="H927" i="27"/>
  <c r="F921" i="27"/>
  <c r="G921" i="27"/>
  <c r="H921" i="27"/>
  <c r="F968" i="27"/>
  <c r="G968" i="27"/>
  <c r="H968" i="27"/>
  <c r="F955" i="27"/>
  <c r="G955" i="27"/>
  <c r="H955" i="27"/>
  <c r="F832" i="27"/>
  <c r="G832" i="27"/>
  <c r="H832" i="27"/>
  <c r="F942" i="27"/>
  <c r="G942" i="27"/>
  <c r="H942" i="27"/>
  <c r="F928" i="27"/>
  <c r="G928" i="27"/>
  <c r="H928" i="27"/>
  <c r="F956" i="27"/>
  <c r="G956" i="27"/>
  <c r="H956" i="27"/>
  <c r="F833" i="27"/>
  <c r="G833" i="27"/>
  <c r="H833" i="27"/>
  <c r="F1017" i="27"/>
  <c r="G1017" i="27"/>
  <c r="H1017" i="27"/>
  <c r="F961" i="27"/>
  <c r="G961" i="27"/>
  <c r="H961" i="27"/>
  <c r="F962" i="27"/>
  <c r="G962" i="27"/>
  <c r="H962" i="27"/>
  <c r="F843" i="27"/>
  <c r="G843" i="27"/>
  <c r="H843" i="27"/>
  <c r="F824" i="27"/>
  <c r="G824" i="27"/>
  <c r="H824" i="27"/>
  <c r="F970" i="27"/>
  <c r="G970" i="27"/>
  <c r="H970" i="27"/>
  <c r="F836" i="27"/>
  <c r="G836" i="27"/>
  <c r="H836" i="27"/>
  <c r="F1026" i="27"/>
  <c r="G1026" i="27"/>
  <c r="H1026" i="27"/>
  <c r="F845" i="27"/>
  <c r="G845" i="27"/>
  <c r="H845" i="27"/>
  <c r="F829" i="27"/>
  <c r="G829" i="27"/>
  <c r="H829" i="27"/>
  <c r="F835" i="27"/>
  <c r="G835" i="27"/>
  <c r="H835" i="27"/>
  <c r="F1012" i="27"/>
  <c r="G1012" i="27"/>
  <c r="H1012" i="27"/>
  <c r="F852" i="27"/>
  <c r="G852" i="27"/>
  <c r="H852" i="27"/>
  <c r="F831" i="27"/>
  <c r="G831" i="27"/>
  <c r="H831" i="27"/>
  <c r="F839" i="27"/>
  <c r="G839" i="27"/>
  <c r="H839" i="27"/>
  <c r="F822" i="27"/>
  <c r="G822" i="27"/>
  <c r="H822" i="27"/>
  <c r="F821" i="27"/>
  <c r="G821" i="27"/>
  <c r="H821" i="27"/>
  <c r="F825" i="27"/>
  <c r="G825" i="27"/>
  <c r="H825" i="27"/>
  <c r="F834" i="27"/>
  <c r="G834" i="27"/>
  <c r="H834" i="27"/>
  <c r="F830" i="27"/>
  <c r="G830" i="27"/>
  <c r="H830" i="27"/>
  <c r="F857" i="27"/>
  <c r="G857" i="27"/>
  <c r="H857" i="27"/>
  <c r="F844" i="27"/>
  <c r="G844" i="27"/>
  <c r="H844" i="27"/>
  <c r="F859" i="27"/>
  <c r="G859" i="27"/>
  <c r="H859" i="27"/>
  <c r="F823" i="27"/>
  <c r="G823" i="27"/>
  <c r="H823" i="27"/>
  <c r="F914" i="27"/>
  <c r="G914" i="27"/>
  <c r="H914" i="27"/>
  <c r="F849" i="27"/>
  <c r="G849" i="27"/>
  <c r="H849" i="27"/>
  <c r="F853" i="27"/>
  <c r="G853" i="27"/>
  <c r="H853" i="27"/>
  <c r="F858" i="27"/>
  <c r="G858" i="27"/>
  <c r="H858" i="27"/>
  <c r="F861" i="27"/>
  <c r="G861" i="27"/>
  <c r="H861" i="27"/>
  <c r="F851" i="27"/>
  <c r="G851" i="27"/>
  <c r="H851" i="27"/>
  <c r="F837" i="27"/>
  <c r="G837" i="27"/>
  <c r="H837" i="27"/>
  <c r="F854" i="27"/>
  <c r="G854" i="27"/>
  <c r="H854" i="27"/>
  <c r="F828" i="27"/>
  <c r="G828" i="27"/>
  <c r="H828" i="27"/>
  <c r="F984" i="27"/>
  <c r="G984" i="27"/>
  <c r="H984" i="27"/>
  <c r="F827" i="27"/>
  <c r="G827" i="27"/>
  <c r="H827" i="27"/>
  <c r="F840" i="27"/>
  <c r="G840" i="27"/>
  <c r="H840" i="27"/>
  <c r="F969" i="27"/>
  <c r="G969" i="27"/>
  <c r="H969" i="27"/>
  <c r="F906" i="27"/>
  <c r="G906" i="27"/>
  <c r="H906" i="27"/>
  <c r="F856" i="27"/>
  <c r="G856" i="27"/>
  <c r="H856" i="27"/>
  <c r="F855" i="27"/>
  <c r="G855" i="27"/>
  <c r="H855" i="27"/>
  <c r="F1092" i="27"/>
  <c r="F1064" i="27"/>
  <c r="F1068" i="27"/>
  <c r="F1069" i="27"/>
  <c r="F1071" i="27"/>
  <c r="F1040" i="27"/>
  <c r="F1051" i="27"/>
  <c r="F803" i="27"/>
  <c r="F809" i="27"/>
  <c r="F810" i="27"/>
  <c r="F816" i="27"/>
  <c r="F817" i="27"/>
  <c r="F819" i="27"/>
  <c r="F782" i="27"/>
  <c r="F787" i="27"/>
  <c r="F793" i="27"/>
  <c r="F796" i="27"/>
  <c r="F766" i="27"/>
  <c r="F773" i="27"/>
  <c r="F751" i="27"/>
  <c r="F726" i="27"/>
  <c r="F729" i="27"/>
  <c r="F704" i="27"/>
  <c r="F678" i="27"/>
  <c r="F679" i="27"/>
  <c r="F655" i="27"/>
  <c r="F656" i="27"/>
  <c r="F661" i="27"/>
  <c r="F669" i="27"/>
  <c r="F215" i="27"/>
  <c r="F219" i="27"/>
  <c r="F231" i="27"/>
  <c r="F203" i="27"/>
  <c r="F205" i="27"/>
  <c r="F171" i="27"/>
  <c r="F182" i="27"/>
  <c r="F156" i="27"/>
  <c r="F132" i="27"/>
  <c r="F134" i="27"/>
  <c r="F140" i="27"/>
  <c r="F112" i="27"/>
  <c r="F126" i="27"/>
  <c r="F87" i="27"/>
  <c r="F89" i="27"/>
  <c r="F96" i="27"/>
  <c r="F66" i="27"/>
  <c r="F68" i="27"/>
  <c r="F69" i="27"/>
  <c r="F23" i="27"/>
  <c r="F24" i="27"/>
  <c r="F26" i="27"/>
  <c r="F34" i="27"/>
  <c r="F39" i="27"/>
  <c r="F43" i="27"/>
  <c r="F4" i="27"/>
  <c r="F22" i="27"/>
  <c r="F802" i="27"/>
  <c r="F818" i="27"/>
  <c r="F224" i="27"/>
  <c r="F181" i="27"/>
  <c r="F47" i="27"/>
  <c r="F58" i="27"/>
  <c r="F1083" i="27"/>
  <c r="F1085" i="27"/>
  <c r="F1055" i="27"/>
  <c r="F1058" i="27"/>
  <c r="F1066" i="27"/>
  <c r="F1036" i="27"/>
  <c r="F1037" i="27"/>
  <c r="F806" i="27"/>
  <c r="F815" i="27"/>
  <c r="F780" i="27"/>
  <c r="F783" i="27"/>
  <c r="F784" i="27"/>
  <c r="F795" i="27"/>
  <c r="F762" i="27"/>
  <c r="F764" i="27"/>
  <c r="F739" i="27"/>
  <c r="F741" i="27"/>
  <c r="F754" i="27"/>
  <c r="F756" i="27"/>
  <c r="F717" i="27"/>
  <c r="F718" i="27"/>
  <c r="F719" i="27"/>
  <c r="F721" i="27"/>
  <c r="F728" i="27"/>
  <c r="F709" i="27"/>
  <c r="F711" i="27"/>
  <c r="F688" i="27"/>
  <c r="F664" i="27"/>
  <c r="F212" i="27"/>
  <c r="F227" i="27"/>
  <c r="F201" i="27"/>
  <c r="F207" i="27"/>
  <c r="F170" i="27"/>
  <c r="F177" i="27"/>
  <c r="F166" i="27"/>
  <c r="F129" i="27"/>
  <c r="F136" i="27"/>
  <c r="F137" i="27"/>
  <c r="F110" i="27"/>
  <c r="F118" i="27"/>
  <c r="F124" i="27"/>
  <c r="F90" i="27"/>
  <c r="F94" i="27"/>
  <c r="F98" i="27"/>
  <c r="F71" i="27"/>
  <c r="F79" i="27"/>
  <c r="F81" i="27"/>
  <c r="F29" i="27"/>
  <c r="F40" i="27"/>
  <c r="F1073" i="27"/>
  <c r="F1074" i="27"/>
  <c r="F1075" i="27"/>
  <c r="F1076" i="27"/>
  <c r="F1077" i="27"/>
  <c r="F1078" i="27"/>
  <c r="F1079" i="27"/>
  <c r="F1080" i="27"/>
  <c r="F1081" i="27"/>
  <c r="F1082" i="27"/>
  <c r="F1084" i="27"/>
  <c r="F1086" i="27"/>
  <c r="F1087" i="27"/>
  <c r="F1088" i="27"/>
  <c r="F1089" i="27"/>
  <c r="F1090" i="27"/>
  <c r="F1091" i="27"/>
  <c r="F1093" i="27"/>
  <c r="F1052" i="27"/>
  <c r="F1053" i="27"/>
  <c r="F1054" i="27"/>
  <c r="F1056" i="27"/>
  <c r="F1057" i="27"/>
  <c r="F1059" i="27"/>
  <c r="F1060" i="27"/>
  <c r="F1061" i="27"/>
  <c r="F1062" i="27"/>
  <c r="F1063" i="27"/>
  <c r="F1065" i="27"/>
  <c r="F1067" i="27"/>
  <c r="F1070" i="27"/>
  <c r="F1072" i="27"/>
  <c r="F1031" i="27"/>
  <c r="F1032" i="27"/>
  <c r="F1033" i="27"/>
  <c r="F1034" i="27"/>
  <c r="F1035" i="27"/>
  <c r="F1038" i="27"/>
  <c r="F1039" i="27"/>
  <c r="F1041" i="27"/>
  <c r="F1042" i="27"/>
  <c r="F1043" i="27"/>
  <c r="F1044" i="27"/>
  <c r="F1045" i="27"/>
  <c r="F1046" i="27"/>
  <c r="F1047" i="27"/>
  <c r="F1048" i="27"/>
  <c r="F1049" i="27"/>
  <c r="F1050" i="27"/>
  <c r="F800" i="27"/>
  <c r="F801" i="27"/>
  <c r="F804" i="27"/>
  <c r="F805" i="27"/>
  <c r="F807" i="27"/>
  <c r="F808" i="27"/>
  <c r="F811" i="27"/>
  <c r="F812" i="27"/>
  <c r="F813" i="27"/>
  <c r="F814" i="27"/>
  <c r="F820" i="27"/>
  <c r="F779" i="27"/>
  <c r="F781" i="27"/>
  <c r="F785" i="27"/>
  <c r="F786" i="27"/>
  <c r="F788" i="27"/>
  <c r="F789" i="27"/>
  <c r="F790" i="27"/>
  <c r="F791" i="27"/>
  <c r="F792" i="27"/>
  <c r="F794" i="27"/>
  <c r="F797" i="27"/>
  <c r="F798" i="27"/>
  <c r="F799" i="27"/>
  <c r="F758" i="27"/>
  <c r="F759" i="27"/>
  <c r="F760" i="27"/>
  <c r="F761" i="27"/>
  <c r="F763" i="27"/>
  <c r="F765" i="27"/>
  <c r="F767" i="27"/>
  <c r="F768" i="27"/>
  <c r="F769" i="27"/>
  <c r="F770" i="27"/>
  <c r="F771" i="27"/>
  <c r="F772" i="27"/>
  <c r="F774" i="27"/>
  <c r="F775" i="27"/>
  <c r="F776" i="27"/>
  <c r="F777" i="27"/>
  <c r="F778" i="27"/>
  <c r="F737" i="27"/>
  <c r="F738" i="27"/>
  <c r="F740" i="27"/>
  <c r="F742" i="27"/>
  <c r="F743" i="27"/>
  <c r="F744" i="27"/>
  <c r="F745" i="27"/>
  <c r="F746" i="27"/>
  <c r="F747" i="27"/>
  <c r="F748" i="27"/>
  <c r="F749" i="27"/>
  <c r="F750" i="27"/>
  <c r="F752" i="27"/>
  <c r="F753" i="27"/>
  <c r="F755" i="27"/>
  <c r="F757" i="27"/>
  <c r="F716" i="27"/>
  <c r="F720" i="27"/>
  <c r="F722" i="27"/>
  <c r="F723" i="27"/>
  <c r="F724" i="27"/>
  <c r="F725" i="27"/>
  <c r="F727" i="27"/>
  <c r="F730" i="27"/>
  <c r="F731" i="27"/>
  <c r="F732" i="27"/>
  <c r="F733" i="27"/>
  <c r="F734" i="27"/>
  <c r="F735" i="27"/>
  <c r="F736" i="27"/>
  <c r="F695" i="27"/>
  <c r="F696" i="27"/>
  <c r="F697" i="27"/>
  <c r="F698" i="27"/>
  <c r="F699" i="27"/>
  <c r="F700" i="27"/>
  <c r="F701" i="27"/>
  <c r="F702" i="27"/>
  <c r="F703" i="27"/>
  <c r="F705" i="27"/>
  <c r="F706" i="27"/>
  <c r="F707" i="27"/>
  <c r="F708" i="27"/>
  <c r="F710" i="27"/>
  <c r="F712" i="27"/>
  <c r="F713" i="27"/>
  <c r="F714" i="27"/>
  <c r="F715" i="27"/>
  <c r="F674" i="27"/>
  <c r="F675" i="27"/>
  <c r="F676" i="27"/>
  <c r="F677" i="27"/>
  <c r="F680" i="27"/>
  <c r="F681" i="27"/>
  <c r="F682" i="27"/>
  <c r="F683" i="27"/>
  <c r="F684" i="27"/>
  <c r="F685" i="27"/>
  <c r="F686" i="27"/>
  <c r="F687" i="27"/>
  <c r="F689" i="27"/>
  <c r="F690" i="27"/>
  <c r="F691" i="27"/>
  <c r="F692" i="27"/>
  <c r="F693" i="27"/>
  <c r="F694" i="27"/>
  <c r="F653" i="27"/>
  <c r="F654" i="27"/>
  <c r="F657" i="27"/>
  <c r="F658" i="27"/>
  <c r="F659" i="27"/>
  <c r="F660" i="27"/>
  <c r="F662" i="27"/>
  <c r="F663" i="27"/>
  <c r="F665" i="27"/>
  <c r="F666" i="27"/>
  <c r="F667" i="27"/>
  <c r="F668" i="27"/>
  <c r="F670" i="27"/>
  <c r="F671" i="27"/>
  <c r="F672" i="27"/>
  <c r="F673" i="27"/>
  <c r="F213" i="27"/>
  <c r="F214" i="27"/>
  <c r="F216" i="27"/>
  <c r="F217" i="27"/>
  <c r="F218" i="27"/>
  <c r="F220" i="27"/>
  <c r="F221" i="27"/>
  <c r="F222" i="27"/>
  <c r="F223" i="27"/>
  <c r="F225" i="27"/>
  <c r="F226" i="27"/>
  <c r="F228" i="27"/>
  <c r="F229" i="27"/>
  <c r="F230" i="27"/>
  <c r="F232" i="27"/>
  <c r="F191" i="27"/>
  <c r="F192" i="27"/>
  <c r="F193" i="27"/>
  <c r="F194" i="27"/>
  <c r="F195" i="27"/>
  <c r="F196" i="27"/>
  <c r="F197" i="27"/>
  <c r="F198" i="27"/>
  <c r="F199" i="27"/>
  <c r="F200" i="27"/>
  <c r="F202" i="27"/>
  <c r="F204" i="27"/>
  <c r="F206" i="27"/>
  <c r="F208" i="27"/>
  <c r="F209" i="27"/>
  <c r="F210" i="27"/>
  <c r="F211" i="27"/>
  <c r="F172" i="27"/>
  <c r="F173" i="27"/>
  <c r="F174" i="27"/>
  <c r="F175" i="27"/>
  <c r="F176" i="27"/>
  <c r="F178" i="27"/>
  <c r="F179" i="27"/>
  <c r="F180" i="27"/>
  <c r="F183" i="27"/>
  <c r="F184" i="27"/>
  <c r="F185" i="27"/>
  <c r="F186" i="27"/>
  <c r="F188" i="27"/>
  <c r="F189" i="27"/>
  <c r="F190" i="27"/>
  <c r="F149" i="27"/>
  <c r="F150" i="27"/>
  <c r="F151" i="27"/>
  <c r="F152" i="27"/>
  <c r="F153" i="27"/>
  <c r="F154" i="27"/>
  <c r="F155" i="27"/>
  <c r="F157" i="27"/>
  <c r="F158" i="27"/>
  <c r="F159" i="27"/>
  <c r="F160" i="27"/>
  <c r="F161" i="27"/>
  <c r="F162" i="27"/>
  <c r="F163" i="27"/>
  <c r="F164" i="27"/>
  <c r="F165" i="27"/>
  <c r="F167" i="27"/>
  <c r="F168" i="27"/>
  <c r="F169" i="27"/>
  <c r="F128" i="27"/>
  <c r="F130" i="27"/>
  <c r="F131" i="27"/>
  <c r="F133" i="27"/>
  <c r="F135" i="27"/>
  <c r="F138" i="27"/>
  <c r="F139" i="27"/>
  <c r="F141" i="27"/>
  <c r="F142" i="27"/>
  <c r="F143" i="27"/>
  <c r="F144" i="27"/>
  <c r="F145" i="27"/>
  <c r="F146" i="27"/>
  <c r="F147" i="27"/>
  <c r="F148" i="27"/>
  <c r="F107" i="27"/>
  <c r="F108" i="27"/>
  <c r="F109" i="27"/>
  <c r="F111" i="27"/>
  <c r="F113" i="27"/>
  <c r="F114" i="27"/>
  <c r="F115" i="27"/>
  <c r="F116" i="27"/>
  <c r="F117" i="27"/>
  <c r="F119" i="27"/>
  <c r="F120" i="27"/>
  <c r="F121" i="27"/>
  <c r="F122" i="27"/>
  <c r="F123" i="27"/>
  <c r="F125" i="27"/>
  <c r="F127" i="27"/>
  <c r="F86" i="27"/>
  <c r="F88" i="27"/>
  <c r="F91" i="27"/>
  <c r="F92" i="27"/>
  <c r="F93" i="27"/>
  <c r="F95" i="27"/>
  <c r="F97" i="27"/>
  <c r="F99" i="27"/>
  <c r="F100" i="27"/>
  <c r="F101" i="27"/>
  <c r="F102" i="27"/>
  <c r="F103" i="27"/>
  <c r="F104" i="27"/>
  <c r="F105" i="27"/>
  <c r="F106" i="27"/>
  <c r="F65" i="27"/>
  <c r="F67" i="27"/>
  <c r="F70" i="27"/>
  <c r="F72" i="27"/>
  <c r="F73" i="27"/>
  <c r="F74" i="27"/>
  <c r="F75" i="27"/>
  <c r="F76" i="27"/>
  <c r="F77" i="27"/>
  <c r="F78" i="27"/>
  <c r="F80" i="27"/>
  <c r="F82" i="27"/>
  <c r="F84" i="27"/>
  <c r="F85" i="27"/>
  <c r="F44" i="27"/>
  <c r="F45" i="27"/>
  <c r="F46" i="27"/>
  <c r="F48" i="27"/>
  <c r="F49" i="27"/>
  <c r="F50" i="27"/>
  <c r="F51" i="27"/>
  <c r="F52" i="27"/>
  <c r="F53" i="27"/>
  <c r="F54" i="27"/>
  <c r="F55" i="27"/>
  <c r="F57" i="27"/>
  <c r="F59" i="27"/>
  <c r="F60" i="27"/>
  <c r="F61" i="27"/>
  <c r="F63" i="27"/>
  <c r="F64" i="27"/>
  <c r="F25" i="27"/>
  <c r="F27" i="27"/>
  <c r="F28" i="27"/>
  <c r="F30" i="27"/>
  <c r="F31" i="27"/>
  <c r="F32" i="27"/>
  <c r="F33" i="27"/>
  <c r="F35" i="27"/>
  <c r="F36" i="27"/>
  <c r="F37" i="27"/>
  <c r="F38" i="27"/>
  <c r="F41" i="27"/>
  <c r="F42" i="27"/>
  <c r="F2" i="27"/>
  <c r="F3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925" i="27"/>
  <c r="G1092" i="27"/>
  <c r="G1064" i="27"/>
  <c r="G1068" i="27"/>
  <c r="G1069" i="27"/>
  <c r="G1071" i="27"/>
  <c r="G1040" i="27"/>
  <c r="G1051" i="27"/>
  <c r="G803" i="27"/>
  <c r="G809" i="27"/>
  <c r="G810" i="27"/>
  <c r="G816" i="27"/>
  <c r="G817" i="27"/>
  <c r="G819" i="27"/>
  <c r="G782" i="27"/>
  <c r="G787" i="27"/>
  <c r="G793" i="27"/>
  <c r="G796" i="27"/>
  <c r="G766" i="27"/>
  <c r="G773" i="27"/>
  <c r="G751" i="27"/>
  <c r="G726" i="27"/>
  <c r="G729" i="27"/>
  <c r="G704" i="27"/>
  <c r="G678" i="27"/>
  <c r="G679" i="27"/>
  <c r="G655" i="27"/>
  <c r="G656" i="27"/>
  <c r="G661" i="27"/>
  <c r="G669" i="27"/>
  <c r="G215" i="27"/>
  <c r="G219" i="27"/>
  <c r="G231" i="27"/>
  <c r="G203" i="27"/>
  <c r="G205" i="27"/>
  <c r="G171" i="27"/>
  <c r="G182" i="27"/>
  <c r="G156" i="27"/>
  <c r="G132" i="27"/>
  <c r="G134" i="27"/>
  <c r="G140" i="27"/>
  <c r="G112" i="27"/>
  <c r="G126" i="27"/>
  <c r="G87" i="27"/>
  <c r="G89" i="27"/>
  <c r="G96" i="27"/>
  <c r="G66" i="27"/>
  <c r="G68" i="27"/>
  <c r="G69" i="27"/>
  <c r="G23" i="27"/>
  <c r="G24" i="27"/>
  <c r="G26" i="27"/>
  <c r="G34" i="27"/>
  <c r="G39" i="27"/>
  <c r="G43" i="27"/>
  <c r="G4" i="27"/>
  <c r="G22" i="27"/>
  <c r="G802" i="27"/>
  <c r="G818" i="27"/>
  <c r="G224" i="27"/>
  <c r="G181" i="27"/>
  <c r="G47" i="27"/>
  <c r="G58" i="27"/>
  <c r="G1083" i="27"/>
  <c r="G1085" i="27"/>
  <c r="G1055" i="27"/>
  <c r="G1058" i="27"/>
  <c r="G1066" i="27"/>
  <c r="G1036" i="27"/>
  <c r="G1037" i="27"/>
  <c r="G806" i="27"/>
  <c r="G815" i="27"/>
  <c r="G780" i="27"/>
  <c r="G783" i="27"/>
  <c r="G784" i="27"/>
  <c r="G795" i="27"/>
  <c r="G762" i="27"/>
  <c r="G764" i="27"/>
  <c r="G739" i="27"/>
  <c r="G741" i="27"/>
  <c r="G754" i="27"/>
  <c r="G756" i="27"/>
  <c r="G717" i="27"/>
  <c r="G718" i="27"/>
  <c r="G719" i="27"/>
  <c r="G721" i="27"/>
  <c r="G728" i="27"/>
  <c r="G709" i="27"/>
  <c r="G711" i="27"/>
  <c r="G688" i="27"/>
  <c r="G664" i="27"/>
  <c r="G212" i="27"/>
  <c r="G227" i="27"/>
  <c r="G201" i="27"/>
  <c r="G207" i="27"/>
  <c r="G170" i="27"/>
  <c r="G177" i="27"/>
  <c r="G166" i="27"/>
  <c r="G129" i="27"/>
  <c r="G136" i="27"/>
  <c r="G137" i="27"/>
  <c r="G110" i="27"/>
  <c r="G118" i="27"/>
  <c r="G124" i="27"/>
  <c r="G90" i="27"/>
  <c r="G94" i="27"/>
  <c r="G98" i="27"/>
  <c r="G71" i="27"/>
  <c r="G79" i="27"/>
  <c r="G81" i="27"/>
  <c r="G29" i="27"/>
  <c r="G40" i="27"/>
  <c r="G1073" i="27"/>
  <c r="G1074" i="27"/>
  <c r="G1075" i="27"/>
  <c r="G1076" i="27"/>
  <c r="G1077" i="27"/>
  <c r="G1078" i="27"/>
  <c r="G1079" i="27"/>
  <c r="G1080" i="27"/>
  <c r="G1081" i="27"/>
  <c r="G1082" i="27"/>
  <c r="G1084" i="27"/>
  <c r="G1086" i="27"/>
  <c r="G1087" i="27"/>
  <c r="G1088" i="27"/>
  <c r="G1089" i="27"/>
  <c r="G1090" i="27"/>
  <c r="G1091" i="27"/>
  <c r="G1093" i="27"/>
  <c r="G1052" i="27"/>
  <c r="G1053" i="27"/>
  <c r="G1054" i="27"/>
  <c r="G1056" i="27"/>
  <c r="G1057" i="27"/>
  <c r="G1059" i="27"/>
  <c r="G1060" i="27"/>
  <c r="G1061" i="27"/>
  <c r="G1062" i="27"/>
  <c r="G1063" i="27"/>
  <c r="G1065" i="27"/>
  <c r="G1067" i="27"/>
  <c r="G1070" i="27"/>
  <c r="G1072" i="27"/>
  <c r="G1031" i="27"/>
  <c r="G1032" i="27"/>
  <c r="G1033" i="27"/>
  <c r="G1034" i="27"/>
  <c r="G1035" i="27"/>
  <c r="G1038" i="27"/>
  <c r="G1039" i="27"/>
  <c r="G1041" i="27"/>
  <c r="G1042" i="27"/>
  <c r="G1043" i="27"/>
  <c r="G1044" i="27"/>
  <c r="G1045" i="27"/>
  <c r="G1046" i="27"/>
  <c r="G1047" i="27"/>
  <c r="G1048" i="27"/>
  <c r="G1049" i="27"/>
  <c r="G1050" i="27"/>
  <c r="G800" i="27"/>
  <c r="G801" i="27"/>
  <c r="G804" i="27"/>
  <c r="G805" i="27"/>
  <c r="G807" i="27"/>
  <c r="G808" i="27"/>
  <c r="G811" i="27"/>
  <c r="G812" i="27"/>
  <c r="G813" i="27"/>
  <c r="G814" i="27"/>
  <c r="G820" i="27"/>
  <c r="G779" i="27"/>
  <c r="G781" i="27"/>
  <c r="G785" i="27"/>
  <c r="G786" i="27"/>
  <c r="G788" i="27"/>
  <c r="G789" i="27"/>
  <c r="G790" i="27"/>
  <c r="G791" i="27"/>
  <c r="G792" i="27"/>
  <c r="G794" i="27"/>
  <c r="G797" i="27"/>
  <c r="G798" i="27"/>
  <c r="G799" i="27"/>
  <c r="G758" i="27"/>
  <c r="G759" i="27"/>
  <c r="G760" i="27"/>
  <c r="G761" i="27"/>
  <c r="G763" i="27"/>
  <c r="G765" i="27"/>
  <c r="G767" i="27"/>
  <c r="G768" i="27"/>
  <c r="G769" i="27"/>
  <c r="G770" i="27"/>
  <c r="G771" i="27"/>
  <c r="G772" i="27"/>
  <c r="G774" i="27"/>
  <c r="G775" i="27"/>
  <c r="G776" i="27"/>
  <c r="G777" i="27"/>
  <c r="G778" i="27"/>
  <c r="G737" i="27"/>
  <c r="G738" i="27"/>
  <c r="G740" i="27"/>
  <c r="G742" i="27"/>
  <c r="G743" i="27"/>
  <c r="G744" i="27"/>
  <c r="G745" i="27"/>
  <c r="G746" i="27"/>
  <c r="G747" i="27"/>
  <c r="G748" i="27"/>
  <c r="G749" i="27"/>
  <c r="G750" i="27"/>
  <c r="G752" i="27"/>
  <c r="G753" i="27"/>
  <c r="G755" i="27"/>
  <c r="G757" i="27"/>
  <c r="G716" i="27"/>
  <c r="G720" i="27"/>
  <c r="G722" i="27"/>
  <c r="G723" i="27"/>
  <c r="G724" i="27"/>
  <c r="G725" i="27"/>
  <c r="G727" i="27"/>
  <c r="G730" i="27"/>
  <c r="G731" i="27"/>
  <c r="G732" i="27"/>
  <c r="G733" i="27"/>
  <c r="G734" i="27"/>
  <c r="G735" i="27"/>
  <c r="G736" i="27"/>
  <c r="G695" i="27"/>
  <c r="G696" i="27"/>
  <c r="G697" i="27"/>
  <c r="G698" i="27"/>
  <c r="G699" i="27"/>
  <c r="G700" i="27"/>
  <c r="G701" i="27"/>
  <c r="G702" i="27"/>
  <c r="G703" i="27"/>
  <c r="G705" i="27"/>
  <c r="G706" i="27"/>
  <c r="G707" i="27"/>
  <c r="G708" i="27"/>
  <c r="G710" i="27"/>
  <c r="G712" i="27"/>
  <c r="G713" i="27"/>
  <c r="G714" i="27"/>
  <c r="G715" i="27"/>
  <c r="G674" i="27"/>
  <c r="G675" i="27"/>
  <c r="G676" i="27"/>
  <c r="G677" i="27"/>
  <c r="G680" i="27"/>
  <c r="G681" i="27"/>
  <c r="G682" i="27"/>
  <c r="G683" i="27"/>
  <c r="G684" i="27"/>
  <c r="G685" i="27"/>
  <c r="G686" i="27"/>
  <c r="G687" i="27"/>
  <c r="G689" i="27"/>
  <c r="G690" i="27"/>
  <c r="G691" i="27"/>
  <c r="G692" i="27"/>
  <c r="G693" i="27"/>
  <c r="G694" i="27"/>
  <c r="G653" i="27"/>
  <c r="G654" i="27"/>
  <c r="G657" i="27"/>
  <c r="G658" i="27"/>
  <c r="G659" i="27"/>
  <c r="G660" i="27"/>
  <c r="G662" i="27"/>
  <c r="G663" i="27"/>
  <c r="G665" i="27"/>
  <c r="G666" i="27"/>
  <c r="G667" i="27"/>
  <c r="G668" i="27"/>
  <c r="G670" i="27"/>
  <c r="G671" i="27"/>
  <c r="G672" i="27"/>
  <c r="G673" i="27"/>
  <c r="G213" i="27"/>
  <c r="G214" i="27"/>
  <c r="G216" i="27"/>
  <c r="G217" i="27"/>
  <c r="G218" i="27"/>
  <c r="G220" i="27"/>
  <c r="G221" i="27"/>
  <c r="G222" i="27"/>
  <c r="G223" i="27"/>
  <c r="G225" i="27"/>
  <c r="G226" i="27"/>
  <c r="G228" i="27"/>
  <c r="G229" i="27"/>
  <c r="G230" i="27"/>
  <c r="G232" i="27"/>
  <c r="G191" i="27"/>
  <c r="G192" i="27"/>
  <c r="G193" i="27"/>
  <c r="G194" i="27"/>
  <c r="G195" i="27"/>
  <c r="G196" i="27"/>
  <c r="G197" i="27"/>
  <c r="G198" i="27"/>
  <c r="G199" i="27"/>
  <c r="G200" i="27"/>
  <c r="G202" i="27"/>
  <c r="G204" i="27"/>
  <c r="G206" i="27"/>
  <c r="G208" i="27"/>
  <c r="G209" i="27"/>
  <c r="G210" i="27"/>
  <c r="G211" i="27"/>
  <c r="G172" i="27"/>
  <c r="G173" i="27"/>
  <c r="G174" i="27"/>
  <c r="G175" i="27"/>
  <c r="G176" i="27"/>
  <c r="G178" i="27"/>
  <c r="G179" i="27"/>
  <c r="G180" i="27"/>
  <c r="G183" i="27"/>
  <c r="G184" i="27"/>
  <c r="G185" i="27"/>
  <c r="G186" i="27"/>
  <c r="G188" i="27"/>
  <c r="G189" i="27"/>
  <c r="G190" i="27"/>
  <c r="G149" i="27"/>
  <c r="G150" i="27"/>
  <c r="G151" i="27"/>
  <c r="G152" i="27"/>
  <c r="G153" i="27"/>
  <c r="G154" i="27"/>
  <c r="G155" i="27"/>
  <c r="G157" i="27"/>
  <c r="G158" i="27"/>
  <c r="G159" i="27"/>
  <c r="G160" i="27"/>
  <c r="G161" i="27"/>
  <c r="G162" i="27"/>
  <c r="G163" i="27"/>
  <c r="G164" i="27"/>
  <c r="G165" i="27"/>
  <c r="G167" i="27"/>
  <c r="G168" i="27"/>
  <c r="G169" i="27"/>
  <c r="G128" i="27"/>
  <c r="G130" i="27"/>
  <c r="G131" i="27"/>
  <c r="G133" i="27"/>
  <c r="G135" i="27"/>
  <c r="G138" i="27"/>
  <c r="G139" i="27"/>
  <c r="G141" i="27"/>
  <c r="G142" i="27"/>
  <c r="G143" i="27"/>
  <c r="G144" i="27"/>
  <c r="G145" i="27"/>
  <c r="G146" i="27"/>
  <c r="G147" i="27"/>
  <c r="G148" i="27"/>
  <c r="G107" i="27"/>
  <c r="G108" i="27"/>
  <c r="G109" i="27"/>
  <c r="G111" i="27"/>
  <c r="G113" i="27"/>
  <c r="G114" i="27"/>
  <c r="G115" i="27"/>
  <c r="G116" i="27"/>
  <c r="G117" i="27"/>
  <c r="G119" i="27"/>
  <c r="G120" i="27"/>
  <c r="G121" i="27"/>
  <c r="G122" i="27"/>
  <c r="G123" i="27"/>
  <c r="G125" i="27"/>
  <c r="G127" i="27"/>
  <c r="G86" i="27"/>
  <c r="G88" i="27"/>
  <c r="G91" i="27"/>
  <c r="G92" i="27"/>
  <c r="G93" i="27"/>
  <c r="G95" i="27"/>
  <c r="G97" i="27"/>
  <c r="G99" i="27"/>
  <c r="G100" i="27"/>
  <c r="G101" i="27"/>
  <c r="G102" i="27"/>
  <c r="G103" i="27"/>
  <c r="G104" i="27"/>
  <c r="G105" i="27"/>
  <c r="G106" i="27"/>
  <c r="G65" i="27"/>
  <c r="G67" i="27"/>
  <c r="G70" i="27"/>
  <c r="G72" i="27"/>
  <c r="G73" i="27"/>
  <c r="G74" i="27"/>
  <c r="G75" i="27"/>
  <c r="G76" i="27"/>
  <c r="G77" i="27"/>
  <c r="G78" i="27"/>
  <c r="G80" i="27"/>
  <c r="G82" i="27"/>
  <c r="G84" i="27"/>
  <c r="G85" i="27"/>
  <c r="G44" i="27"/>
  <c r="G45" i="27"/>
  <c r="G46" i="27"/>
  <c r="G48" i="27"/>
  <c r="G49" i="27"/>
  <c r="G50" i="27"/>
  <c r="G51" i="27"/>
  <c r="G52" i="27"/>
  <c r="G53" i="27"/>
  <c r="G54" i="27"/>
  <c r="G55" i="27"/>
  <c r="G57" i="27"/>
  <c r="G59" i="27"/>
  <c r="G60" i="27"/>
  <c r="G61" i="27"/>
  <c r="G63" i="27"/>
  <c r="G64" i="27"/>
  <c r="G25" i="27"/>
  <c r="G27" i="27"/>
  <c r="G28" i="27"/>
  <c r="G30" i="27"/>
  <c r="G31" i="27"/>
  <c r="G32" i="27"/>
  <c r="G33" i="27"/>
  <c r="G35" i="27"/>
  <c r="G36" i="27"/>
  <c r="G37" i="27"/>
  <c r="G38" i="27"/>
  <c r="G41" i="27"/>
  <c r="G42" i="27"/>
  <c r="G2" i="27"/>
  <c r="G3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925" i="27"/>
  <c r="H1092" i="27"/>
  <c r="H1064" i="27"/>
  <c r="H1068" i="27"/>
  <c r="H1069" i="27"/>
  <c r="J1069" i="27" s="1"/>
  <c r="H1071" i="27"/>
  <c r="H1040" i="27"/>
  <c r="H1051" i="27"/>
  <c r="H803" i="27"/>
  <c r="H809" i="27"/>
  <c r="H810" i="27"/>
  <c r="H816" i="27"/>
  <c r="H817" i="27"/>
  <c r="H819" i="27"/>
  <c r="H782" i="27"/>
  <c r="H787" i="27"/>
  <c r="H793" i="27"/>
  <c r="H796" i="27"/>
  <c r="H766" i="27"/>
  <c r="H773" i="27"/>
  <c r="H751" i="27"/>
  <c r="H726" i="27"/>
  <c r="H729" i="27"/>
  <c r="H704" i="27"/>
  <c r="H678" i="27"/>
  <c r="H679" i="27"/>
  <c r="H655" i="27"/>
  <c r="H656" i="27"/>
  <c r="H661" i="27"/>
  <c r="H669" i="27"/>
  <c r="H215" i="27"/>
  <c r="H219" i="27"/>
  <c r="H231" i="27"/>
  <c r="H203" i="27"/>
  <c r="H205" i="27"/>
  <c r="H171" i="27"/>
  <c r="H182" i="27"/>
  <c r="H156" i="27"/>
  <c r="H132" i="27"/>
  <c r="H134" i="27"/>
  <c r="H140" i="27"/>
  <c r="H112" i="27"/>
  <c r="H126" i="27"/>
  <c r="H87" i="27"/>
  <c r="H89" i="27"/>
  <c r="H96" i="27"/>
  <c r="H66" i="27"/>
  <c r="H68" i="27"/>
  <c r="H69" i="27"/>
  <c r="H23" i="27"/>
  <c r="H24" i="27"/>
  <c r="H26" i="27"/>
  <c r="H34" i="27"/>
  <c r="H39" i="27"/>
  <c r="H43" i="27"/>
  <c r="H4" i="27"/>
  <c r="H22" i="27"/>
  <c r="H802" i="27"/>
  <c r="H818" i="27"/>
  <c r="H224" i="27"/>
  <c r="H181" i="27"/>
  <c r="H47" i="27"/>
  <c r="H58" i="27"/>
  <c r="H1083" i="27"/>
  <c r="H1085" i="27"/>
  <c r="H1055" i="27"/>
  <c r="H1058" i="27"/>
  <c r="H1066" i="27"/>
  <c r="H1036" i="27"/>
  <c r="H1037" i="27"/>
  <c r="H806" i="27"/>
  <c r="H815" i="27"/>
  <c r="H780" i="27"/>
  <c r="H783" i="27"/>
  <c r="H784" i="27"/>
  <c r="H795" i="27"/>
  <c r="H762" i="27"/>
  <c r="H764" i="27"/>
  <c r="H739" i="27"/>
  <c r="H741" i="27"/>
  <c r="H754" i="27"/>
  <c r="H756" i="27"/>
  <c r="H717" i="27"/>
  <c r="H718" i="27"/>
  <c r="H719" i="27"/>
  <c r="H721" i="27"/>
  <c r="H728" i="27"/>
  <c r="H709" i="27"/>
  <c r="H711" i="27"/>
  <c r="H688" i="27"/>
  <c r="H664" i="27"/>
  <c r="H212" i="27"/>
  <c r="I212" i="27" s="1"/>
  <c r="H227" i="27"/>
  <c r="H201" i="27"/>
  <c r="H207" i="27"/>
  <c r="H170" i="27"/>
  <c r="H177" i="27"/>
  <c r="H166" i="27"/>
  <c r="H129" i="27"/>
  <c r="H136" i="27"/>
  <c r="H137" i="27"/>
  <c r="H110" i="27"/>
  <c r="H118" i="27"/>
  <c r="H124" i="27"/>
  <c r="H90" i="27"/>
  <c r="H94" i="27"/>
  <c r="H98" i="27"/>
  <c r="H71" i="27"/>
  <c r="I71" i="27" s="1"/>
  <c r="H79" i="27"/>
  <c r="H81" i="27"/>
  <c r="H29" i="27"/>
  <c r="H40" i="27"/>
  <c r="H1073" i="27"/>
  <c r="H1074" i="27"/>
  <c r="H1075" i="27"/>
  <c r="H1076" i="27"/>
  <c r="H1077" i="27"/>
  <c r="H1078" i="27"/>
  <c r="H1079" i="27"/>
  <c r="H1080" i="27"/>
  <c r="H1081" i="27"/>
  <c r="H1082" i="27"/>
  <c r="H1084" i="27"/>
  <c r="H1086" i="27"/>
  <c r="J1086" i="27" s="1"/>
  <c r="H1087" i="27"/>
  <c r="H1088" i="27"/>
  <c r="H1089" i="27"/>
  <c r="H1090" i="27"/>
  <c r="H1091" i="27"/>
  <c r="H1093" i="27"/>
  <c r="H1052" i="27"/>
  <c r="H1053" i="27"/>
  <c r="H1054" i="27"/>
  <c r="H1056" i="27"/>
  <c r="H1057" i="27"/>
  <c r="H1059" i="27"/>
  <c r="H1060" i="27"/>
  <c r="H1061" i="27"/>
  <c r="H1062" i="27"/>
  <c r="H1063" i="27"/>
  <c r="I1063" i="27" s="1"/>
  <c r="H1065" i="27"/>
  <c r="H1067" i="27"/>
  <c r="H1070" i="27"/>
  <c r="H1072" i="27"/>
  <c r="H1031" i="27"/>
  <c r="H1032" i="27"/>
  <c r="H1033" i="27"/>
  <c r="H1034" i="27"/>
  <c r="H1035" i="27"/>
  <c r="H1038" i="27"/>
  <c r="H1039" i="27"/>
  <c r="H1041" i="27"/>
  <c r="H1042" i="27"/>
  <c r="H1043" i="27"/>
  <c r="H1044" i="27"/>
  <c r="H1045" i="27"/>
  <c r="I1045" i="27" s="1"/>
  <c r="H1046" i="27"/>
  <c r="H1047" i="27"/>
  <c r="H1048" i="27"/>
  <c r="H1049" i="27"/>
  <c r="H1050" i="27"/>
  <c r="H800" i="27"/>
  <c r="H801" i="27"/>
  <c r="H804" i="27"/>
  <c r="H805" i="27"/>
  <c r="H807" i="27"/>
  <c r="H808" i="27"/>
  <c r="H811" i="27"/>
  <c r="H812" i="27"/>
  <c r="H813" i="27"/>
  <c r="H814" i="27"/>
  <c r="H820" i="27"/>
  <c r="J820" i="27" s="1"/>
  <c r="H779" i="27"/>
  <c r="H781" i="27"/>
  <c r="H785" i="27"/>
  <c r="H786" i="27"/>
  <c r="H788" i="27"/>
  <c r="H789" i="27"/>
  <c r="H790" i="27"/>
  <c r="H791" i="27"/>
  <c r="H792" i="27"/>
  <c r="H794" i="27"/>
  <c r="H797" i="27"/>
  <c r="H798" i="27"/>
  <c r="H799" i="27"/>
  <c r="H758" i="27"/>
  <c r="H759" i="27"/>
  <c r="H760" i="27"/>
  <c r="I760" i="27" s="1"/>
  <c r="H761" i="27"/>
  <c r="H763" i="27"/>
  <c r="H765" i="27"/>
  <c r="H767" i="27"/>
  <c r="H768" i="27"/>
  <c r="H769" i="27"/>
  <c r="H770" i="27"/>
  <c r="H771" i="27"/>
  <c r="H772" i="27"/>
  <c r="I772" i="27" s="1"/>
  <c r="H774" i="27"/>
  <c r="H775" i="27"/>
  <c r="H776" i="27"/>
  <c r="H777" i="27"/>
  <c r="H778" i="27"/>
  <c r="H737" i="27"/>
  <c r="H738" i="27"/>
  <c r="I738" i="27" s="1"/>
  <c r="H740" i="27"/>
  <c r="H742" i="27"/>
  <c r="H743" i="27"/>
  <c r="H744" i="27"/>
  <c r="H745" i="27"/>
  <c r="H746" i="27"/>
  <c r="H747" i="27"/>
  <c r="H748" i="27"/>
  <c r="H749" i="27"/>
  <c r="H750" i="27"/>
  <c r="H752" i="27"/>
  <c r="H753" i="27"/>
  <c r="H755" i="27"/>
  <c r="H757" i="27"/>
  <c r="H716" i="27"/>
  <c r="H720" i="27"/>
  <c r="I720" i="27" s="1"/>
  <c r="H722" i="27"/>
  <c r="H723" i="27"/>
  <c r="H724" i="27"/>
  <c r="H725" i="27"/>
  <c r="H727" i="27"/>
  <c r="H730" i="27"/>
  <c r="H731" i="27"/>
  <c r="H732" i="27"/>
  <c r="H733" i="27"/>
  <c r="H734" i="27"/>
  <c r="H735" i="27"/>
  <c r="H736" i="27"/>
  <c r="H695" i="27"/>
  <c r="H696" i="27"/>
  <c r="H697" i="27"/>
  <c r="H698" i="27"/>
  <c r="I698" i="27" s="1"/>
  <c r="H699" i="27"/>
  <c r="H700" i="27"/>
  <c r="H701" i="27"/>
  <c r="H702" i="27"/>
  <c r="H703" i="27"/>
  <c r="H705" i="27"/>
  <c r="H706" i="27"/>
  <c r="H707" i="27"/>
  <c r="H708" i="27"/>
  <c r="H710" i="27"/>
  <c r="H712" i="27"/>
  <c r="H713" i="27"/>
  <c r="H714" i="27"/>
  <c r="H715" i="27"/>
  <c r="H674" i="27"/>
  <c r="H675" i="27"/>
  <c r="J675" i="27" s="1"/>
  <c r="H676" i="27"/>
  <c r="H677" i="27"/>
  <c r="H680" i="27"/>
  <c r="H681" i="27"/>
  <c r="H682" i="27"/>
  <c r="H683" i="27"/>
  <c r="H684" i="27"/>
  <c r="H685" i="27"/>
  <c r="H686" i="27"/>
  <c r="H687" i="27"/>
  <c r="H689" i="27"/>
  <c r="H690" i="27"/>
  <c r="H691" i="27"/>
  <c r="H692" i="27"/>
  <c r="H693" i="27"/>
  <c r="H694" i="27"/>
  <c r="I694" i="27" s="1"/>
  <c r="H653" i="27"/>
  <c r="H654" i="27"/>
  <c r="H657" i="27"/>
  <c r="H658" i="27"/>
  <c r="H659" i="27"/>
  <c r="H660" i="27"/>
  <c r="H662" i="27"/>
  <c r="H663" i="27"/>
  <c r="H665" i="27"/>
  <c r="H666" i="27"/>
  <c r="H667" i="27"/>
  <c r="H668" i="27"/>
  <c r="H670" i="27"/>
  <c r="H671" i="27"/>
  <c r="H672" i="27"/>
  <c r="H673" i="27"/>
  <c r="J673" i="27" s="1"/>
  <c r="H213" i="27"/>
  <c r="H214" i="27"/>
  <c r="H216" i="27"/>
  <c r="H217" i="27"/>
  <c r="H218" i="27"/>
  <c r="H220" i="27"/>
  <c r="H221" i="27"/>
  <c r="H222" i="27"/>
  <c r="H223" i="27"/>
  <c r="H225" i="27"/>
  <c r="H226" i="27"/>
  <c r="H228" i="27"/>
  <c r="H229" i="27"/>
  <c r="H230" i="27"/>
  <c r="H232" i="27"/>
  <c r="H191" i="27"/>
  <c r="I191" i="27" s="1"/>
  <c r="H192" i="27"/>
  <c r="H193" i="27"/>
  <c r="H194" i="27"/>
  <c r="H195" i="27"/>
  <c r="H196" i="27"/>
  <c r="H197" i="27"/>
  <c r="H198" i="27"/>
  <c r="H199" i="27"/>
  <c r="H200" i="27"/>
  <c r="H202" i="27"/>
  <c r="H204" i="27"/>
  <c r="H206" i="27"/>
  <c r="H208" i="27"/>
  <c r="H209" i="27"/>
  <c r="H210" i="27"/>
  <c r="H211" i="27"/>
  <c r="J211" i="27" s="1"/>
  <c r="H172" i="27"/>
  <c r="H173" i="27"/>
  <c r="H174" i="27"/>
  <c r="H175" i="27"/>
  <c r="H176" i="27"/>
  <c r="H178" i="27"/>
  <c r="H179" i="27"/>
  <c r="H180" i="27"/>
  <c r="H183" i="27"/>
  <c r="H184" i="27"/>
  <c r="H185" i="27"/>
  <c r="H186" i="27"/>
  <c r="H188" i="27"/>
  <c r="H189" i="27"/>
  <c r="H190" i="27"/>
  <c r="H149" i="27"/>
  <c r="I149" i="27" s="1"/>
  <c r="H150" i="27"/>
  <c r="H151" i="27"/>
  <c r="H152" i="27"/>
  <c r="H153" i="27"/>
  <c r="H154" i="27"/>
  <c r="H155" i="27"/>
  <c r="H157" i="27"/>
  <c r="H158" i="27"/>
  <c r="H159" i="27"/>
  <c r="J159" i="27" s="1"/>
  <c r="H160" i="27"/>
  <c r="H161" i="27"/>
  <c r="H162" i="27"/>
  <c r="H163" i="27"/>
  <c r="H164" i="27"/>
  <c r="H165" i="27"/>
  <c r="H167" i="27"/>
  <c r="J167" i="27" s="1"/>
  <c r="H168" i="27"/>
  <c r="H169" i="27"/>
  <c r="H128" i="27"/>
  <c r="H130" i="27"/>
  <c r="H131" i="27"/>
  <c r="H133" i="27"/>
  <c r="H135" i="27"/>
  <c r="H138" i="27"/>
  <c r="H139" i="27"/>
  <c r="H141" i="27"/>
  <c r="H142" i="27"/>
  <c r="H143" i="27"/>
  <c r="H144" i="27"/>
  <c r="H145" i="27"/>
  <c r="H146" i="27"/>
  <c r="H147" i="27"/>
  <c r="I147" i="27" s="1"/>
  <c r="H148" i="27"/>
  <c r="H107" i="27"/>
  <c r="H108" i="27"/>
  <c r="H109" i="27"/>
  <c r="H111" i="27"/>
  <c r="H113" i="27"/>
  <c r="H114" i="27"/>
  <c r="H115" i="27"/>
  <c r="H116" i="27"/>
  <c r="H117" i="27"/>
  <c r="H119" i="27"/>
  <c r="H120" i="27"/>
  <c r="H121" i="27"/>
  <c r="H122" i="27"/>
  <c r="H123" i="27"/>
  <c r="H125" i="27"/>
  <c r="I125" i="27" s="1"/>
  <c r="H127" i="27"/>
  <c r="H86" i="27"/>
  <c r="H88" i="27"/>
  <c r="H91" i="27"/>
  <c r="H92" i="27"/>
  <c r="H93" i="27"/>
  <c r="H95" i="27"/>
  <c r="H97" i="27"/>
  <c r="H99" i="27"/>
  <c r="H100" i="27"/>
  <c r="H101" i="27"/>
  <c r="H102" i="27"/>
  <c r="H103" i="27"/>
  <c r="H104" i="27"/>
  <c r="H105" i="27"/>
  <c r="H106" i="27"/>
  <c r="I106" i="27" s="1"/>
  <c r="H65" i="27"/>
  <c r="H67" i="27"/>
  <c r="H70" i="27"/>
  <c r="H72" i="27"/>
  <c r="H73" i="27"/>
  <c r="H74" i="27"/>
  <c r="H75" i="27"/>
  <c r="H76" i="27"/>
  <c r="H77" i="27"/>
  <c r="H78" i="27"/>
  <c r="H80" i="27"/>
  <c r="H82" i="27"/>
  <c r="H84" i="27"/>
  <c r="H85" i="27"/>
  <c r="H44" i="27"/>
  <c r="H45" i="27"/>
  <c r="J45" i="27" s="1"/>
  <c r="H46" i="27"/>
  <c r="H48" i="27"/>
  <c r="H49" i="27"/>
  <c r="H50" i="27"/>
  <c r="H51" i="27"/>
  <c r="H52" i="27"/>
  <c r="H53" i="27"/>
  <c r="H54" i="27"/>
  <c r="H55" i="27"/>
  <c r="H57" i="27"/>
  <c r="H59" i="27"/>
  <c r="H60" i="27"/>
  <c r="H61" i="27"/>
  <c r="H63" i="27"/>
  <c r="H64" i="27"/>
  <c r="H25" i="27"/>
  <c r="H27" i="27"/>
  <c r="H28" i="27"/>
  <c r="H30" i="27"/>
  <c r="H31" i="27"/>
  <c r="H32" i="27"/>
  <c r="H33" i="27"/>
  <c r="H35" i="27"/>
  <c r="H36" i="27"/>
  <c r="H37" i="27"/>
  <c r="H38" i="27"/>
  <c r="H41" i="27"/>
  <c r="H42" i="27"/>
  <c r="H2" i="27"/>
  <c r="H3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925" i="27"/>
  <c r="I661" i="27"/>
  <c r="I227" i="27"/>
  <c r="C1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2" i="19"/>
  <c r="J2" i="19"/>
  <c r="J3" i="19"/>
  <c r="J4" i="19"/>
  <c r="J5" i="19"/>
  <c r="J6" i="19"/>
  <c r="J7" i="19"/>
  <c r="J8" i="19"/>
  <c r="J1" i="19"/>
  <c r="F4" i="19"/>
  <c r="F5" i="19"/>
  <c r="F8" i="19"/>
  <c r="B12" i="19"/>
  <c r="A50" i="22"/>
  <c r="B50" i="22"/>
  <c r="C50" i="22"/>
  <c r="A51" i="22"/>
  <c r="B51" i="22"/>
  <c r="C51" i="22"/>
  <c r="A52" i="22"/>
  <c r="B52" i="22"/>
  <c r="C52" i="22"/>
  <c r="Q6" i="22"/>
  <c r="R6" i="22"/>
  <c r="S6" i="22"/>
  <c r="T6" i="22"/>
  <c r="U6" i="22"/>
  <c r="V6" i="22"/>
  <c r="K6" i="22"/>
  <c r="L6" i="22"/>
  <c r="M6" i="22"/>
  <c r="N6" i="22"/>
  <c r="O6" i="22"/>
  <c r="P6" i="22"/>
  <c r="E2" i="19"/>
  <c r="F2" i="19" s="1"/>
  <c r="E3" i="19"/>
  <c r="F3" i="19" s="1"/>
  <c r="E4" i="19"/>
  <c r="E5" i="19"/>
  <c r="E6" i="19"/>
  <c r="F6" i="19" s="1"/>
  <c r="E7" i="19"/>
  <c r="F7" i="19" s="1"/>
  <c r="E8" i="19"/>
  <c r="E9" i="19"/>
  <c r="F9" i="19" s="1"/>
  <c r="E1" i="19"/>
  <c r="F1" i="19" s="1"/>
  <c r="H4" i="24"/>
  <c r="H5" i="24"/>
  <c r="H6" i="24"/>
  <c r="H2" i="24"/>
  <c r="H1" i="24"/>
  <c r="H3" i="24"/>
  <c r="G4" i="24"/>
  <c r="G5" i="24"/>
  <c r="G6" i="24"/>
  <c r="G2" i="24"/>
  <c r="G3" i="24"/>
  <c r="G2" i="19"/>
  <c r="G3" i="19"/>
  <c r="H3" i="19" s="1"/>
  <c r="G4" i="19"/>
  <c r="H4" i="19" s="1"/>
  <c r="G5" i="19"/>
  <c r="H5" i="19" s="1"/>
  <c r="G6" i="19"/>
  <c r="G7" i="19"/>
  <c r="H7" i="19" s="1"/>
  <c r="G8" i="19"/>
  <c r="H8" i="19" s="1"/>
  <c r="G9" i="19"/>
  <c r="H9" i="19" s="1"/>
  <c r="G10" i="19"/>
  <c r="H10" i="19" s="1"/>
  <c r="G11" i="19"/>
  <c r="H11" i="19" s="1"/>
  <c r="G12" i="19"/>
  <c r="H12" i="19" s="1"/>
  <c r="G13" i="19"/>
  <c r="H13" i="19" s="1"/>
  <c r="G14" i="19"/>
  <c r="H14" i="19" s="1"/>
  <c r="G15" i="19"/>
  <c r="H15" i="19" s="1"/>
  <c r="G16" i="19"/>
  <c r="H16" i="19" s="1"/>
  <c r="G1" i="19"/>
  <c r="A11" i="23"/>
  <c r="F50" i="23"/>
  <c r="E50" i="23"/>
  <c r="D50" i="23"/>
  <c r="C50" i="23"/>
  <c r="B50" i="23"/>
  <c r="F49" i="23"/>
  <c r="E49" i="23"/>
  <c r="D49" i="23"/>
  <c r="C49" i="23"/>
  <c r="B49" i="23"/>
  <c r="F48" i="23"/>
  <c r="E48" i="23"/>
  <c r="D48" i="23"/>
  <c r="C48" i="23"/>
  <c r="B48" i="23"/>
  <c r="A48" i="23"/>
  <c r="F46" i="23"/>
  <c r="E46" i="23"/>
  <c r="D46" i="23"/>
  <c r="C46" i="23"/>
  <c r="B46" i="23"/>
  <c r="F45" i="23"/>
  <c r="E45" i="23"/>
  <c r="D45" i="23"/>
  <c r="C45" i="23"/>
  <c r="B45" i="23"/>
  <c r="F44" i="23"/>
  <c r="E44" i="23"/>
  <c r="D44" i="23"/>
  <c r="C44" i="23"/>
  <c r="B44" i="23"/>
  <c r="A44" i="23"/>
  <c r="F42" i="23"/>
  <c r="E42" i="23"/>
  <c r="D42" i="23"/>
  <c r="C42" i="23"/>
  <c r="B42" i="23"/>
  <c r="A42" i="23"/>
  <c r="F41" i="23"/>
  <c r="E41" i="23"/>
  <c r="D41" i="23"/>
  <c r="C41" i="23"/>
  <c r="B41" i="23"/>
  <c r="A41" i="23"/>
  <c r="F40" i="23"/>
  <c r="E40" i="23"/>
  <c r="D40" i="23"/>
  <c r="C40" i="23"/>
  <c r="B40" i="23"/>
  <c r="A39" i="23"/>
  <c r="F38" i="23"/>
  <c r="E38" i="23"/>
  <c r="D38" i="23"/>
  <c r="C38" i="23"/>
  <c r="B38" i="23"/>
  <c r="F37" i="23"/>
  <c r="E37" i="23"/>
  <c r="D37" i="23"/>
  <c r="C37" i="23"/>
  <c r="B37" i="23"/>
  <c r="F36" i="23"/>
  <c r="E36" i="23"/>
  <c r="D36" i="23"/>
  <c r="C36" i="23"/>
  <c r="B36" i="23"/>
  <c r="A40" i="23" s="1"/>
  <c r="A36" i="23"/>
  <c r="F34" i="23"/>
  <c r="E34" i="23"/>
  <c r="D34" i="23"/>
  <c r="C34" i="23"/>
  <c r="B34" i="23"/>
  <c r="F33" i="23"/>
  <c r="E33" i="23"/>
  <c r="D33" i="23"/>
  <c r="C33" i="23"/>
  <c r="B33" i="23"/>
  <c r="F32" i="23"/>
  <c r="E32" i="23"/>
  <c r="D32" i="23"/>
  <c r="C32" i="23"/>
  <c r="B32" i="23"/>
  <c r="D31" i="23"/>
  <c r="M40" i="22"/>
  <c r="J40" i="22"/>
  <c r="D40" i="22"/>
  <c r="I40" i="22" s="1"/>
  <c r="L40" i="22" s="1"/>
  <c r="C40" i="22"/>
  <c r="H40" i="22" s="1"/>
  <c r="K40" i="22" s="1"/>
  <c r="E39" i="22"/>
  <c r="M38" i="22"/>
  <c r="J38" i="22"/>
  <c r="I38" i="22"/>
  <c r="L38" i="22" s="1"/>
  <c r="H38" i="22"/>
  <c r="K38" i="22" s="1"/>
  <c r="E37" i="22"/>
  <c r="C37" i="22"/>
  <c r="J36" i="22"/>
  <c r="M36" i="22" s="1"/>
  <c r="I36" i="22"/>
  <c r="L36" i="22" s="1"/>
  <c r="H36" i="22"/>
  <c r="K36" i="22" s="1"/>
  <c r="G35" i="22"/>
  <c r="E35" i="22"/>
  <c r="C35" i="22"/>
  <c r="J34" i="22"/>
  <c r="M34" i="22" s="1"/>
  <c r="E33" i="22"/>
  <c r="D34" i="22" s="1"/>
  <c r="I34" i="22" s="1"/>
  <c r="L34" i="22" s="1"/>
  <c r="K32" i="22"/>
  <c r="J32" i="22"/>
  <c r="M32" i="22" s="1"/>
  <c r="I32" i="22"/>
  <c r="L32" i="22" s="1"/>
  <c r="H32" i="22"/>
  <c r="D32" i="22"/>
  <c r="C32" i="22"/>
  <c r="B31" i="22"/>
  <c r="M30" i="22"/>
  <c r="J30" i="22"/>
  <c r="I30" i="22"/>
  <c r="L30" i="22" s="1"/>
  <c r="H30" i="22"/>
  <c r="K30" i="22" s="1"/>
  <c r="G29" i="22"/>
  <c r="D29" i="22"/>
  <c r="C29" i="22"/>
  <c r="M28" i="22"/>
  <c r="L28" i="22"/>
  <c r="K28" i="22"/>
  <c r="J28" i="22"/>
  <c r="I28" i="22"/>
  <c r="H28" i="22"/>
  <c r="C28" i="22"/>
  <c r="D27" i="22"/>
  <c r="J26" i="22"/>
  <c r="M26" i="22" s="1"/>
  <c r="K25" i="22"/>
  <c r="E25" i="22"/>
  <c r="C26" i="22" s="1"/>
  <c r="H26" i="22" s="1"/>
  <c r="K26" i="22" s="1"/>
  <c r="D25" i="22"/>
  <c r="D26" i="22" s="1"/>
  <c r="I26" i="22" s="1"/>
  <c r="L26" i="22" s="1"/>
  <c r="C25" i="22"/>
  <c r="V21" i="22"/>
  <c r="U21" i="22"/>
  <c r="T21" i="22"/>
  <c r="S21" i="22"/>
  <c r="R21" i="22"/>
  <c r="Q21" i="22"/>
  <c r="O21" i="22"/>
  <c r="N21" i="22"/>
  <c r="M21" i="22"/>
  <c r="L21" i="22"/>
  <c r="K21" i="22"/>
  <c r="J21" i="22"/>
  <c r="I21" i="22"/>
  <c r="H21" i="22"/>
  <c r="G21" i="22"/>
  <c r="F21" i="22"/>
  <c r="E21" i="22"/>
  <c r="C21" i="22"/>
  <c r="V20" i="22"/>
  <c r="U20" i="22"/>
  <c r="T20" i="22"/>
  <c r="S20" i="22"/>
  <c r="R20" i="22"/>
  <c r="Q20" i="22"/>
  <c r="O20" i="22"/>
  <c r="N20" i="22"/>
  <c r="M20" i="22"/>
  <c r="L20" i="22"/>
  <c r="K20" i="22"/>
  <c r="J20" i="22"/>
  <c r="I20" i="22"/>
  <c r="H20" i="22"/>
  <c r="G20" i="22"/>
  <c r="F20" i="22"/>
  <c r="E20" i="22"/>
  <c r="C20" i="22"/>
  <c r="U19" i="22"/>
  <c r="T19" i="22"/>
  <c r="S19" i="22"/>
  <c r="R19" i="22"/>
  <c r="Q19" i="22"/>
  <c r="O19" i="22"/>
  <c r="N19" i="22"/>
  <c r="M19" i="22"/>
  <c r="L19" i="22"/>
  <c r="K19" i="22"/>
  <c r="J19" i="22"/>
  <c r="I19" i="22"/>
  <c r="H19" i="22"/>
  <c r="G19" i="22"/>
  <c r="F19" i="22"/>
  <c r="E19" i="22"/>
  <c r="A19" i="22"/>
  <c r="B19" i="22" s="1"/>
  <c r="D19" i="22" s="1"/>
  <c r="V18" i="22"/>
  <c r="T18" i="22"/>
  <c r="S18" i="22"/>
  <c r="R18" i="22"/>
  <c r="Q18" i="22"/>
  <c r="O18" i="22"/>
  <c r="N18" i="22"/>
  <c r="M18" i="22"/>
  <c r="L18" i="22"/>
  <c r="K18" i="22"/>
  <c r="J18" i="22"/>
  <c r="I18" i="22"/>
  <c r="H18" i="22"/>
  <c r="G18" i="22"/>
  <c r="F18" i="22"/>
  <c r="E18" i="22"/>
  <c r="A18" i="22"/>
  <c r="B18" i="22" s="1"/>
  <c r="D18" i="22" s="1"/>
  <c r="V17" i="22"/>
  <c r="U17" i="22"/>
  <c r="S17" i="22"/>
  <c r="R17" i="22"/>
  <c r="Q17" i="22"/>
  <c r="O17" i="22"/>
  <c r="N17" i="22"/>
  <c r="M17" i="22"/>
  <c r="L17" i="22"/>
  <c r="K17" i="22"/>
  <c r="J17" i="22"/>
  <c r="I17" i="22"/>
  <c r="H17" i="22"/>
  <c r="G17" i="22"/>
  <c r="F17" i="22"/>
  <c r="E17" i="22"/>
  <c r="B17" i="22"/>
  <c r="D17" i="22" s="1"/>
  <c r="A17" i="22"/>
  <c r="V16" i="22"/>
  <c r="U16" i="22"/>
  <c r="T16" i="22"/>
  <c r="R16" i="22"/>
  <c r="Q16" i="22"/>
  <c r="O16" i="22"/>
  <c r="N16" i="22"/>
  <c r="M16" i="22"/>
  <c r="L16" i="22"/>
  <c r="K16" i="22"/>
  <c r="J16" i="22"/>
  <c r="I16" i="22"/>
  <c r="H16" i="22"/>
  <c r="G16" i="22"/>
  <c r="F16" i="22"/>
  <c r="E16" i="22"/>
  <c r="A16" i="22"/>
  <c r="B16" i="22" s="1"/>
  <c r="D16" i="22" s="1"/>
  <c r="V15" i="22"/>
  <c r="U15" i="22"/>
  <c r="T15" i="22"/>
  <c r="S15" i="22"/>
  <c r="Q15" i="22"/>
  <c r="O15" i="22"/>
  <c r="N15" i="22"/>
  <c r="M15" i="22"/>
  <c r="L15" i="22"/>
  <c r="K15" i="22"/>
  <c r="J15" i="22"/>
  <c r="I15" i="22"/>
  <c r="H15" i="22"/>
  <c r="G15" i="22"/>
  <c r="F15" i="22"/>
  <c r="E15" i="22"/>
  <c r="A15" i="22"/>
  <c r="B15" i="22" s="1"/>
  <c r="D15" i="22" s="1"/>
  <c r="V14" i="22"/>
  <c r="U14" i="22"/>
  <c r="T14" i="22"/>
  <c r="S14" i="22"/>
  <c r="R14" i="22"/>
  <c r="O14" i="22"/>
  <c r="N14" i="22"/>
  <c r="M14" i="22"/>
  <c r="L14" i="22"/>
  <c r="K14" i="22"/>
  <c r="J14" i="22"/>
  <c r="I14" i="22"/>
  <c r="H14" i="22"/>
  <c r="G14" i="22"/>
  <c r="F14" i="22"/>
  <c r="E14" i="22"/>
  <c r="A14" i="22"/>
  <c r="B14" i="22" s="1"/>
  <c r="D14" i="22" s="1"/>
  <c r="V13" i="22"/>
  <c r="U13" i="22"/>
  <c r="T13" i="22"/>
  <c r="S13" i="22"/>
  <c r="R13" i="22"/>
  <c r="Q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B13" i="22"/>
  <c r="A13" i="22"/>
  <c r="V12" i="22"/>
  <c r="U12" i="22"/>
  <c r="T12" i="22"/>
  <c r="S12" i="22"/>
  <c r="R12" i="22"/>
  <c r="Q12" i="22"/>
  <c r="N12" i="22"/>
  <c r="M12" i="22"/>
  <c r="L12" i="22"/>
  <c r="K12" i="22"/>
  <c r="J12" i="22"/>
  <c r="I12" i="22"/>
  <c r="H12" i="22"/>
  <c r="G12" i="22"/>
  <c r="F12" i="22"/>
  <c r="E12" i="22"/>
  <c r="C12" i="22"/>
  <c r="A12" i="22"/>
  <c r="B12" i="22" s="1"/>
  <c r="D12" i="22" s="1"/>
  <c r="V11" i="22"/>
  <c r="U11" i="22"/>
  <c r="T11" i="22"/>
  <c r="S11" i="22"/>
  <c r="R11" i="22"/>
  <c r="Q11" i="22"/>
  <c r="P11" i="22"/>
  <c r="O11" i="22"/>
  <c r="M11" i="22"/>
  <c r="L11" i="22"/>
  <c r="K11" i="22"/>
  <c r="J11" i="22"/>
  <c r="I11" i="22"/>
  <c r="H11" i="22"/>
  <c r="G11" i="22"/>
  <c r="F11" i="22"/>
  <c r="E11" i="22"/>
  <c r="A11" i="22"/>
  <c r="C11" i="22" s="1"/>
  <c r="V10" i="22"/>
  <c r="U10" i="22"/>
  <c r="T10" i="22"/>
  <c r="S10" i="22"/>
  <c r="R10" i="22"/>
  <c r="Q10" i="22"/>
  <c r="O10" i="22"/>
  <c r="N10" i="22"/>
  <c r="L10" i="22"/>
  <c r="K10" i="22"/>
  <c r="J10" i="22"/>
  <c r="I10" i="22"/>
  <c r="H10" i="22"/>
  <c r="G10" i="22"/>
  <c r="F10" i="22"/>
  <c r="E10" i="22"/>
  <c r="D10" i="22"/>
  <c r="C10" i="22"/>
  <c r="B10" i="22"/>
  <c r="A10" i="22"/>
  <c r="V9" i="22"/>
  <c r="U9" i="22"/>
  <c r="T9" i="22"/>
  <c r="S9" i="22"/>
  <c r="R9" i="22"/>
  <c r="Q9" i="22"/>
  <c r="O9" i="22"/>
  <c r="N9" i="22"/>
  <c r="M9" i="22"/>
  <c r="K9" i="22"/>
  <c r="J9" i="22"/>
  <c r="I9" i="22"/>
  <c r="H9" i="22"/>
  <c r="G9" i="22"/>
  <c r="F9" i="22"/>
  <c r="E9" i="22"/>
  <c r="D9" i="22"/>
  <c r="B9" i="22"/>
  <c r="A9" i="22"/>
  <c r="C9" i="22" s="1"/>
  <c r="V8" i="22"/>
  <c r="U8" i="22"/>
  <c r="T8" i="22"/>
  <c r="S8" i="22"/>
  <c r="R8" i="22"/>
  <c r="Q8" i="22"/>
  <c r="P8" i="22"/>
  <c r="O8" i="22"/>
  <c r="N8" i="22"/>
  <c r="M8" i="22"/>
  <c r="L8" i="22"/>
  <c r="J8" i="22"/>
  <c r="I8" i="22"/>
  <c r="H8" i="22"/>
  <c r="G8" i="22"/>
  <c r="F8" i="22"/>
  <c r="E8" i="22"/>
  <c r="C8" i="22"/>
  <c r="A8" i="22"/>
  <c r="B8" i="22" s="1"/>
  <c r="D8" i="22" s="1"/>
  <c r="V7" i="22"/>
  <c r="U7" i="22"/>
  <c r="T7" i="22"/>
  <c r="S7" i="22"/>
  <c r="R7" i="22"/>
  <c r="Q7" i="22"/>
  <c r="O7" i="22"/>
  <c r="N7" i="22"/>
  <c r="M7" i="22"/>
  <c r="L7" i="22"/>
  <c r="K7" i="22"/>
  <c r="I7" i="22"/>
  <c r="H7" i="22"/>
  <c r="G7" i="22"/>
  <c r="F7" i="22"/>
  <c r="E7" i="22"/>
  <c r="C7" i="22"/>
  <c r="A7" i="22"/>
  <c r="B7" i="22" s="1"/>
  <c r="D7" i="22" s="1"/>
  <c r="J6" i="22"/>
  <c r="H6" i="22"/>
  <c r="G6" i="22"/>
  <c r="F6" i="22"/>
  <c r="E6" i="22"/>
  <c r="C6" i="22"/>
  <c r="A6" i="22"/>
  <c r="B6" i="22" s="1"/>
  <c r="D6" i="22" s="1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G5" i="22"/>
  <c r="F5" i="22"/>
  <c r="E5" i="22"/>
  <c r="C5" i="22"/>
  <c r="B5" i="22"/>
  <c r="D5" i="22" s="1"/>
  <c r="V4" i="22"/>
  <c r="U4" i="22"/>
  <c r="T4" i="22"/>
  <c r="S4" i="22"/>
  <c r="R4" i="22"/>
  <c r="Q4" i="22"/>
  <c r="O4" i="22"/>
  <c r="N4" i="22"/>
  <c r="M4" i="22"/>
  <c r="L4" i="22"/>
  <c r="K4" i="22"/>
  <c r="J4" i="22"/>
  <c r="I4" i="22"/>
  <c r="H4" i="22"/>
  <c r="F4" i="22"/>
  <c r="E4" i="22"/>
  <c r="A4" i="22"/>
  <c r="C4" i="22" s="1"/>
  <c r="V3" i="22"/>
  <c r="U3" i="22"/>
  <c r="T3" i="22"/>
  <c r="S3" i="22"/>
  <c r="R3" i="22"/>
  <c r="Q3" i="22"/>
  <c r="O3" i="22"/>
  <c r="N3" i="22"/>
  <c r="M3" i="22"/>
  <c r="L3" i="22"/>
  <c r="K3" i="22"/>
  <c r="J3" i="22"/>
  <c r="I3" i="22"/>
  <c r="H3" i="22"/>
  <c r="G3" i="22"/>
  <c r="E3" i="22"/>
  <c r="A3" i="22"/>
  <c r="C3" i="22" s="1"/>
  <c r="V2" i="22"/>
  <c r="U2" i="22"/>
  <c r="T2" i="22"/>
  <c r="S2" i="22"/>
  <c r="R2" i="22"/>
  <c r="Q2" i="22"/>
  <c r="O2" i="22"/>
  <c r="N2" i="22"/>
  <c r="M2" i="22"/>
  <c r="L2" i="22"/>
  <c r="K2" i="22"/>
  <c r="J2" i="22"/>
  <c r="I2" i="22"/>
  <c r="H2" i="22"/>
  <c r="G2" i="22"/>
  <c r="F2" i="22"/>
  <c r="A2" i="22"/>
  <c r="B2" i="22" s="1"/>
  <c r="D2" i="22" s="1"/>
  <c r="P1" i="22"/>
  <c r="P16" i="22" s="1"/>
  <c r="D1" i="22"/>
  <c r="B1" i="22"/>
  <c r="N64" i="21"/>
  <c r="D64" i="21"/>
  <c r="B64" i="21"/>
  <c r="D63" i="21"/>
  <c r="B63" i="21"/>
  <c r="C62" i="21"/>
  <c r="P59" i="21"/>
  <c r="N59" i="21"/>
  <c r="P58" i="21"/>
  <c r="O58" i="21"/>
  <c r="N58" i="21"/>
  <c r="J58" i="21"/>
  <c r="R57" i="21"/>
  <c r="Q57" i="21"/>
  <c r="O57" i="21"/>
  <c r="N57" i="21"/>
  <c r="K57" i="21"/>
  <c r="E57" i="21"/>
  <c r="Q56" i="21"/>
  <c r="P56" i="21"/>
  <c r="N56" i="21"/>
  <c r="J56" i="21"/>
  <c r="I57" i="21" s="1"/>
  <c r="D56" i="21"/>
  <c r="R55" i="21"/>
  <c r="Q55" i="21"/>
  <c r="P55" i="21"/>
  <c r="O55" i="21"/>
  <c r="K55" i="21"/>
  <c r="H58" i="21" s="1"/>
  <c r="E55" i="21"/>
  <c r="E60" i="21" s="1"/>
  <c r="P54" i="21"/>
  <c r="N54" i="21"/>
  <c r="P53" i="21"/>
  <c r="O53" i="21"/>
  <c r="N53" i="21"/>
  <c r="R52" i="21"/>
  <c r="Q52" i="21"/>
  <c r="O52" i="21"/>
  <c r="N52" i="21"/>
  <c r="F52" i="21"/>
  <c r="E52" i="21"/>
  <c r="E62" i="21" s="1"/>
  <c r="Q51" i="21"/>
  <c r="P51" i="21"/>
  <c r="N51" i="21"/>
  <c r="E51" i="21"/>
  <c r="D51" i="21"/>
  <c r="D61" i="21" s="1"/>
  <c r="R50" i="21"/>
  <c r="Q50" i="21"/>
  <c r="P50" i="21"/>
  <c r="O50" i="21"/>
  <c r="F50" i="21"/>
  <c r="E50" i="21"/>
  <c r="D50" i="21"/>
  <c r="C50" i="21"/>
  <c r="T44" i="21"/>
  <c r="R44" i="21"/>
  <c r="Q44" i="21"/>
  <c r="S44" i="21" s="1"/>
  <c r="P44" i="21"/>
  <c r="M44" i="21"/>
  <c r="O44" i="21" s="1"/>
  <c r="L44" i="21"/>
  <c r="N44" i="21" s="1"/>
  <c r="K44" i="21"/>
  <c r="J44" i="21"/>
  <c r="I44" i="21"/>
  <c r="J43" i="21"/>
  <c r="K43" i="21" s="1"/>
  <c r="I43" i="21"/>
  <c r="J42" i="21"/>
  <c r="K42" i="21" s="1"/>
  <c r="I42" i="21"/>
  <c r="J41" i="21"/>
  <c r="K41" i="21" s="1"/>
  <c r="I41" i="21"/>
  <c r="T40" i="21"/>
  <c r="R40" i="21"/>
  <c r="Q40" i="21"/>
  <c r="S40" i="21" s="1"/>
  <c r="P40" i="21"/>
  <c r="M40" i="21"/>
  <c r="O40" i="21" s="1"/>
  <c r="L40" i="21"/>
  <c r="N40" i="21" s="1"/>
  <c r="K40" i="21"/>
  <c r="J40" i="21"/>
  <c r="I40" i="21"/>
  <c r="J39" i="21"/>
  <c r="K39" i="21" s="1"/>
  <c r="I39" i="21"/>
  <c r="J38" i="21"/>
  <c r="K38" i="21" s="1"/>
  <c r="I38" i="21"/>
  <c r="B38" i="21"/>
  <c r="K37" i="21"/>
  <c r="T37" i="21" s="1"/>
  <c r="I37" i="21"/>
  <c r="T36" i="21"/>
  <c r="J35" i="21"/>
  <c r="K35" i="21" s="1"/>
  <c r="E35" i="21"/>
  <c r="D35" i="21"/>
  <c r="B35" i="21"/>
  <c r="T34" i="21"/>
  <c r="P34" i="21"/>
  <c r="K34" i="21"/>
  <c r="Q34" i="21" s="1"/>
  <c r="S34" i="21" s="1"/>
  <c r="J34" i="21"/>
  <c r="K33" i="21"/>
  <c r="L33" i="21" s="1"/>
  <c r="N33" i="21" s="1"/>
  <c r="J33" i="21"/>
  <c r="B33" i="21"/>
  <c r="L32" i="21"/>
  <c r="N32" i="21" s="1"/>
  <c r="K32" i="21"/>
  <c r="M32" i="21" s="1"/>
  <c r="O32" i="21" s="1"/>
  <c r="J32" i="21"/>
  <c r="T31" i="21"/>
  <c r="R31" i="21"/>
  <c r="Q31" i="21"/>
  <c r="S31" i="21" s="1"/>
  <c r="P31" i="21"/>
  <c r="M31" i="21"/>
  <c r="O31" i="21" s="1"/>
  <c r="L31" i="21"/>
  <c r="N31" i="21" s="1"/>
  <c r="K31" i="21"/>
  <c r="J31" i="21"/>
  <c r="S30" i="21"/>
  <c r="R30" i="21"/>
  <c r="Q30" i="21"/>
  <c r="N30" i="21"/>
  <c r="M30" i="21"/>
  <c r="O30" i="21" s="1"/>
  <c r="L30" i="21"/>
  <c r="K30" i="21"/>
  <c r="T30" i="21" s="1"/>
  <c r="J30" i="21"/>
  <c r="E30" i="21"/>
  <c r="B30" i="21"/>
  <c r="J29" i="21"/>
  <c r="K29" i="21" s="1"/>
  <c r="S28" i="21"/>
  <c r="Q28" i="21"/>
  <c r="O28" i="21"/>
  <c r="M28" i="21"/>
  <c r="K28" i="21"/>
  <c r="T28" i="21" s="1"/>
  <c r="B28" i="21"/>
  <c r="T27" i="21"/>
  <c r="J26" i="21"/>
  <c r="K26" i="21" s="1"/>
  <c r="R25" i="21"/>
  <c r="Q25" i="21"/>
  <c r="S25" i="21" s="1"/>
  <c r="K25" i="21"/>
  <c r="P25" i="21" s="1"/>
  <c r="J25" i="21"/>
  <c r="E25" i="21"/>
  <c r="D25" i="21"/>
  <c r="B25" i="21"/>
  <c r="J24" i="21"/>
  <c r="K24" i="21" s="1"/>
  <c r="S23" i="21"/>
  <c r="R23" i="21"/>
  <c r="Q23" i="21"/>
  <c r="P23" i="21"/>
  <c r="N23" i="21"/>
  <c r="M23" i="21"/>
  <c r="O23" i="21" s="1"/>
  <c r="L23" i="21"/>
  <c r="K23" i="21"/>
  <c r="T23" i="21" s="1"/>
  <c r="J23" i="21"/>
  <c r="B23" i="21"/>
  <c r="J22" i="21"/>
  <c r="K22" i="21" s="1"/>
  <c r="B22" i="21"/>
  <c r="E22" i="21" s="1"/>
  <c r="T21" i="21"/>
  <c r="P21" i="21"/>
  <c r="K21" i="21"/>
  <c r="Q21" i="21" s="1"/>
  <c r="S21" i="21" s="1"/>
  <c r="J21" i="21"/>
  <c r="B21" i="21"/>
  <c r="B37" i="21" s="1"/>
  <c r="J20" i="21"/>
  <c r="K20" i="21" s="1"/>
  <c r="D20" i="21"/>
  <c r="D30" i="21" s="1"/>
  <c r="C20" i="21"/>
  <c r="C30" i="21" s="1"/>
  <c r="T19" i="21"/>
  <c r="P19" i="21"/>
  <c r="K19" i="21"/>
  <c r="Q19" i="21" s="1"/>
  <c r="S19" i="21" s="1"/>
  <c r="E19" i="21"/>
  <c r="T18" i="21"/>
  <c r="A13" i="21"/>
  <c r="A12" i="21"/>
  <c r="A11" i="21"/>
  <c r="G10" i="21"/>
  <c r="F10" i="21" s="1"/>
  <c r="C10" i="21"/>
  <c r="C12" i="21" s="1"/>
  <c r="A10" i="21"/>
  <c r="C9" i="21"/>
  <c r="K9" i="21" s="1"/>
  <c r="J9" i="21" s="1"/>
  <c r="B9" i="21"/>
  <c r="A9" i="21"/>
  <c r="G8" i="21"/>
  <c r="F8" i="21" s="1"/>
  <c r="C8" i="21"/>
  <c r="K8" i="21" s="1"/>
  <c r="J8" i="21" s="1"/>
  <c r="B8" i="21"/>
  <c r="A8" i="21"/>
  <c r="K7" i="21"/>
  <c r="J7" i="21"/>
  <c r="I7" i="21"/>
  <c r="H7" i="21"/>
  <c r="G7" i="21"/>
  <c r="F7" i="21" s="1"/>
  <c r="E7" i="21"/>
  <c r="D7" i="21"/>
  <c r="C7" i="21"/>
  <c r="B7" i="21"/>
  <c r="A7" i="21"/>
  <c r="K6" i="21"/>
  <c r="J6" i="21" s="1"/>
  <c r="I6" i="21"/>
  <c r="H6" i="21"/>
  <c r="G6" i="21"/>
  <c r="F6" i="21" s="1"/>
  <c r="E6" i="21"/>
  <c r="D6" i="21"/>
  <c r="B6" i="21"/>
  <c r="A6" i="21"/>
  <c r="G5" i="21"/>
  <c r="F5" i="21" s="1"/>
  <c r="C5" i="21"/>
  <c r="K5" i="21" s="1"/>
  <c r="J5" i="21" s="1"/>
  <c r="B5" i="21"/>
  <c r="A5" i="21"/>
  <c r="K4" i="21"/>
  <c r="J4" i="21"/>
  <c r="I4" i="21"/>
  <c r="H4" i="21"/>
  <c r="G4" i="21"/>
  <c r="F4" i="21" s="1"/>
  <c r="C4" i="21"/>
  <c r="E4" i="21" s="1"/>
  <c r="D4" i="21" s="1"/>
  <c r="B4" i="21"/>
  <c r="A4" i="21"/>
  <c r="K2" i="21"/>
  <c r="J2" i="21"/>
  <c r="I2" i="21"/>
  <c r="H2" i="21"/>
  <c r="G2" i="21"/>
  <c r="F2" i="21"/>
  <c r="E2" i="21"/>
  <c r="D2" i="21"/>
  <c r="H6" i="19"/>
  <c r="H2" i="19"/>
  <c r="H1" i="19"/>
  <c r="I795" i="27" l="1"/>
  <c r="J224" i="27"/>
  <c r="I87" i="27"/>
  <c r="J656" i="27"/>
  <c r="I816" i="27"/>
  <c r="J480" i="27"/>
  <c r="I190" i="27"/>
  <c r="I232" i="27"/>
  <c r="I1062" i="27"/>
  <c r="J1084" i="27"/>
  <c r="I83" i="27"/>
  <c r="J212" i="27"/>
  <c r="I26" i="27"/>
  <c r="J170" i="27"/>
  <c r="I786" i="27"/>
  <c r="I653" i="27"/>
  <c r="J699" i="27"/>
  <c r="J740" i="27"/>
  <c r="J89" i="27"/>
  <c r="I817" i="27"/>
  <c r="I9" i="27"/>
  <c r="I30" i="27"/>
  <c r="J49" i="27"/>
  <c r="J70" i="27"/>
  <c r="J88" i="27"/>
  <c r="J108" i="27"/>
  <c r="J128" i="27"/>
  <c r="J152" i="27"/>
  <c r="I216" i="27"/>
  <c r="I724" i="27"/>
  <c r="I1048" i="27"/>
  <c r="I66" i="27"/>
  <c r="J215" i="27"/>
  <c r="J782" i="27"/>
  <c r="J32" i="27"/>
  <c r="I881" i="27"/>
  <c r="I953" i="27"/>
  <c r="I982" i="27"/>
  <c r="I510" i="27"/>
  <c r="J398" i="27"/>
  <c r="I236" i="27"/>
  <c r="I62" i="27"/>
  <c r="J123" i="27"/>
  <c r="J1044" i="27"/>
  <c r="J146" i="27"/>
  <c r="J190" i="27"/>
  <c r="J232" i="27"/>
  <c r="J672" i="27"/>
  <c r="I693" i="27"/>
  <c r="J674" i="27"/>
  <c r="I697" i="27"/>
  <c r="I737" i="27"/>
  <c r="J759" i="27"/>
  <c r="J814" i="27"/>
  <c r="I1044" i="27"/>
  <c r="J1062" i="27"/>
  <c r="J98" i="27"/>
  <c r="J664" i="27"/>
  <c r="J784" i="27"/>
  <c r="J818" i="27"/>
  <c r="J126" i="27"/>
  <c r="I655" i="27"/>
  <c r="J810" i="27"/>
  <c r="J757" i="27"/>
  <c r="J778" i="27"/>
  <c r="J758" i="27"/>
  <c r="J813" i="27"/>
  <c r="J1043" i="27"/>
  <c r="J1061" i="27"/>
  <c r="J1082" i="27"/>
  <c r="I94" i="27"/>
  <c r="I688" i="27"/>
  <c r="I783" i="27"/>
  <c r="J802" i="27"/>
  <c r="J112" i="27"/>
  <c r="J679" i="27"/>
  <c r="I809" i="27"/>
  <c r="J165" i="27"/>
  <c r="I5" i="27"/>
  <c r="J64" i="27"/>
  <c r="J44" i="27"/>
  <c r="I105" i="27"/>
  <c r="I123" i="27"/>
  <c r="J3" i="27"/>
  <c r="I63" i="27"/>
  <c r="I85" i="27"/>
  <c r="J104" i="27"/>
  <c r="I122" i="27"/>
  <c r="I145" i="27"/>
  <c r="I164" i="27"/>
  <c r="I189" i="27"/>
  <c r="J209" i="27"/>
  <c r="J230" i="27"/>
  <c r="J671" i="27"/>
  <c r="J692" i="27"/>
  <c r="J715" i="27"/>
  <c r="J696" i="27"/>
  <c r="I984" i="27"/>
  <c r="J825" i="27"/>
  <c r="I926" i="27"/>
  <c r="J960" i="27"/>
  <c r="I633" i="27"/>
  <c r="I382" i="27"/>
  <c r="J454" i="27"/>
  <c r="I435" i="27"/>
  <c r="J56" i="27"/>
  <c r="I20" i="27"/>
  <c r="I17" i="27"/>
  <c r="I41" i="27"/>
  <c r="I59" i="27"/>
  <c r="I80" i="27"/>
  <c r="I101" i="27"/>
  <c r="I119" i="27"/>
  <c r="I142" i="27"/>
  <c r="I161" i="27"/>
  <c r="I185" i="27"/>
  <c r="J204" i="27"/>
  <c r="I226" i="27"/>
  <c r="J667" i="27"/>
  <c r="J689" i="27"/>
  <c r="I712" i="27"/>
  <c r="J735" i="27"/>
  <c r="J752" i="27"/>
  <c r="J775" i="27"/>
  <c r="J797" i="27"/>
  <c r="I808" i="27"/>
  <c r="J1039" i="27"/>
  <c r="J1057" i="27"/>
  <c r="J1079" i="27"/>
  <c r="J118" i="27"/>
  <c r="J728" i="27"/>
  <c r="J806" i="27"/>
  <c r="I43" i="27"/>
  <c r="I522" i="27"/>
  <c r="J201" i="27"/>
  <c r="J96" i="27"/>
  <c r="J669" i="27"/>
  <c r="I819" i="27"/>
  <c r="I215" i="27"/>
  <c r="J8" i="27"/>
  <c r="J28" i="27"/>
  <c r="J764" i="27"/>
  <c r="I669" i="27"/>
  <c r="J885" i="27"/>
  <c r="I782" i="27"/>
  <c r="J596" i="27"/>
  <c r="I805" i="27"/>
  <c r="I34" i="27"/>
  <c r="I182" i="27"/>
  <c r="I751" i="27"/>
  <c r="I1069" i="27"/>
  <c r="J66" i="27"/>
  <c r="J542" i="27"/>
  <c r="J457" i="27"/>
  <c r="I19" i="27"/>
  <c r="J163" i="27"/>
  <c r="I208" i="27"/>
  <c r="I670" i="27"/>
  <c r="I714" i="27"/>
  <c r="J755" i="27"/>
  <c r="I799" i="27"/>
  <c r="I1042" i="27"/>
  <c r="I1081" i="27"/>
  <c r="J711" i="27"/>
  <c r="J22" i="27"/>
  <c r="J678" i="27"/>
  <c r="I803" i="27"/>
  <c r="J188" i="27"/>
  <c r="I229" i="27"/>
  <c r="J691" i="27"/>
  <c r="I695" i="27"/>
  <c r="J777" i="27"/>
  <c r="I812" i="27"/>
  <c r="J1060" i="27"/>
  <c r="I90" i="27"/>
  <c r="I780" i="27"/>
  <c r="J140" i="27"/>
  <c r="I167" i="27"/>
  <c r="J187" i="27"/>
  <c r="J84" i="27"/>
  <c r="I61" i="27"/>
  <c r="J103" i="27"/>
  <c r="J144" i="27"/>
  <c r="I172" i="27"/>
  <c r="J192" i="27"/>
  <c r="J676" i="27"/>
  <c r="J761" i="27"/>
  <c r="J779" i="27"/>
  <c r="I1046" i="27"/>
  <c r="J1065" i="27"/>
  <c r="I79" i="27"/>
  <c r="J227" i="27"/>
  <c r="J181" i="27"/>
  <c r="J661" i="27"/>
  <c r="J817" i="27"/>
  <c r="J121" i="27"/>
  <c r="I2" i="27"/>
  <c r="I915" i="27"/>
  <c r="I434" i="27"/>
  <c r="J500" i="27"/>
  <c r="J628" i="27"/>
  <c r="I590" i="27"/>
  <c r="I810" i="27"/>
  <c r="J213" i="27"/>
  <c r="J653" i="27"/>
  <c r="I761" i="27"/>
  <c r="I779" i="27"/>
  <c r="J1046" i="27"/>
  <c r="I1065" i="27"/>
  <c r="I1087" i="27"/>
  <c r="J79" i="27"/>
  <c r="J762" i="27"/>
  <c r="I89" i="27"/>
  <c r="I846" i="27"/>
  <c r="J345" i="27"/>
  <c r="J631" i="27"/>
  <c r="I611" i="27"/>
  <c r="I492" i="27"/>
  <c r="J613" i="27"/>
  <c r="J182" i="27"/>
  <c r="I192" i="27"/>
  <c r="I98" i="27"/>
  <c r="J115" i="27"/>
  <c r="I179" i="27"/>
  <c r="J198" i="27"/>
  <c r="J221" i="27"/>
  <c r="I662" i="27"/>
  <c r="J684" i="27"/>
  <c r="J706" i="27"/>
  <c r="I731" i="27"/>
  <c r="I747" i="27"/>
  <c r="I770" i="27"/>
  <c r="I790" i="27"/>
  <c r="I801" i="27"/>
  <c r="I1033" i="27"/>
  <c r="I1052" i="27"/>
  <c r="I1075" i="27"/>
  <c r="J129" i="27"/>
  <c r="J717" i="27"/>
  <c r="J1058" i="27"/>
  <c r="I24" i="27"/>
  <c r="I307" i="27"/>
  <c r="J751" i="27"/>
  <c r="I676" i="27"/>
  <c r="J18" i="27"/>
  <c r="J42" i="27"/>
  <c r="J60" i="27"/>
  <c r="I82" i="27"/>
  <c r="I102" i="27"/>
  <c r="I120" i="27"/>
  <c r="I143" i="27"/>
  <c r="I162" i="27"/>
  <c r="J186" i="27"/>
  <c r="I206" i="27"/>
  <c r="J228" i="27"/>
  <c r="J668" i="27"/>
  <c r="J690" i="27"/>
  <c r="J713" i="27"/>
  <c r="J736" i="27"/>
  <c r="J753" i="27"/>
  <c r="J776" i="27"/>
  <c r="I798" i="27"/>
  <c r="J811" i="27"/>
  <c r="I1041" i="27"/>
  <c r="J1059" i="27"/>
  <c r="I1080" i="27"/>
  <c r="J124" i="27"/>
  <c r="J709" i="27"/>
  <c r="J815" i="27"/>
  <c r="J4" i="27"/>
  <c r="I134" i="27"/>
  <c r="I704" i="27"/>
  <c r="I1051" i="27"/>
  <c r="I52" i="27"/>
  <c r="I74" i="27"/>
  <c r="J93" i="27"/>
  <c r="I113" i="27"/>
  <c r="J133" i="27"/>
  <c r="J155" i="27"/>
  <c r="J178" i="27"/>
  <c r="J197" i="27"/>
  <c r="I220" i="27"/>
  <c r="J660" i="27"/>
  <c r="J683" i="27"/>
  <c r="J705" i="27"/>
  <c r="I730" i="27"/>
  <c r="J746" i="27"/>
  <c r="J769" i="27"/>
  <c r="J789" i="27"/>
  <c r="I800" i="27"/>
  <c r="J1032" i="27"/>
  <c r="J1093" i="27"/>
  <c r="J1074" i="27"/>
  <c r="I166" i="27"/>
  <c r="I756" i="27"/>
  <c r="I1055" i="27"/>
  <c r="I664" i="27"/>
  <c r="J819" i="27"/>
  <c r="I674" i="27"/>
  <c r="I96" i="27"/>
  <c r="I1030" i="27"/>
  <c r="I872" i="27"/>
  <c r="I473" i="27"/>
  <c r="I458" i="27"/>
  <c r="I335" i="27"/>
  <c r="I567" i="27"/>
  <c r="I187" i="27"/>
  <c r="J15" i="27"/>
  <c r="J37" i="27"/>
  <c r="I55" i="27"/>
  <c r="I77" i="27"/>
  <c r="I99" i="27"/>
  <c r="J116" i="27"/>
  <c r="I139" i="27"/>
  <c r="I159" i="27"/>
  <c r="J442" i="27"/>
  <c r="J314" i="27"/>
  <c r="J423" i="27"/>
  <c r="J545" i="27"/>
  <c r="J5" i="27"/>
  <c r="I44" i="27"/>
  <c r="I862" i="27"/>
  <c r="I759" i="27"/>
  <c r="I971" i="27"/>
  <c r="I610" i="27"/>
  <c r="I577" i="27"/>
  <c r="J191" i="27"/>
  <c r="J1045" i="27"/>
  <c r="J816" i="27"/>
  <c r="I112" i="27"/>
  <c r="I11" i="27"/>
  <c r="I32" i="27"/>
  <c r="I51" i="27"/>
  <c r="J73" i="27"/>
  <c r="J92" i="27"/>
  <c r="J111" i="27"/>
  <c r="I131" i="27"/>
  <c r="J154" i="27"/>
  <c r="J1085" i="27"/>
  <c r="I323" i="27"/>
  <c r="J380" i="27"/>
  <c r="I328" i="27"/>
  <c r="I609" i="27"/>
  <c r="I296" i="27"/>
  <c r="J248" i="27"/>
  <c r="I543" i="27"/>
  <c r="J649" i="27"/>
  <c r="I254" i="27"/>
  <c r="I255" i="27"/>
  <c r="I56" i="27"/>
  <c r="I211" i="27"/>
  <c r="I16" i="27"/>
  <c r="J38" i="27"/>
  <c r="I57" i="27"/>
  <c r="J78" i="27"/>
  <c r="I100" i="27"/>
  <c r="J117" i="27"/>
  <c r="I141" i="27"/>
  <c r="J160" i="27"/>
  <c r="I184" i="27"/>
  <c r="I202" i="27"/>
  <c r="I225" i="27"/>
  <c r="I666" i="27"/>
  <c r="I687" i="27"/>
  <c r="I710" i="27"/>
  <c r="J734" i="27"/>
  <c r="I750" i="27"/>
  <c r="I774" i="27"/>
  <c r="I794" i="27"/>
  <c r="I807" i="27"/>
  <c r="I1038" i="27"/>
  <c r="J1056" i="27"/>
  <c r="I1078" i="27"/>
  <c r="I110" i="27"/>
  <c r="I721" i="27"/>
  <c r="J1037" i="27"/>
  <c r="I39" i="27"/>
  <c r="J10" i="27"/>
  <c r="J31" i="27"/>
  <c r="I195" i="27"/>
  <c r="I702" i="27"/>
  <c r="I40" i="27"/>
  <c r="J219" i="27"/>
  <c r="I673" i="27"/>
  <c r="I822" i="27"/>
  <c r="I1019" i="27"/>
  <c r="I319" i="27"/>
  <c r="I298" i="27"/>
  <c r="I614" i="27"/>
  <c r="I640" i="27"/>
  <c r="I641" i="27"/>
  <c r="J694" i="27"/>
  <c r="J1063" i="27"/>
  <c r="J795" i="27"/>
  <c r="J24" i="27"/>
  <c r="I45" i="27"/>
  <c r="J172" i="27"/>
  <c r="I213" i="27"/>
  <c r="I699" i="27"/>
  <c r="I722" i="27"/>
  <c r="I740" i="27"/>
  <c r="I969" i="27"/>
  <c r="J919" i="27"/>
  <c r="J887" i="27"/>
  <c r="J428" i="27"/>
  <c r="I286" i="27"/>
  <c r="I355" i="27"/>
  <c r="I820" i="27"/>
  <c r="J2" i="27"/>
  <c r="J106" i="27"/>
  <c r="I1086" i="27"/>
  <c r="J125" i="27"/>
  <c r="J71" i="27"/>
  <c r="I675" i="27"/>
  <c r="J925" i="27"/>
  <c r="I64" i="27"/>
  <c r="J105" i="27"/>
  <c r="I146" i="27"/>
  <c r="I165" i="27"/>
  <c r="I210" i="27"/>
  <c r="I672" i="27"/>
  <c r="J693" i="27"/>
  <c r="J697" i="27"/>
  <c r="I716" i="27"/>
  <c r="J737" i="27"/>
  <c r="I814" i="27"/>
  <c r="I1084" i="27"/>
  <c r="I784" i="27"/>
  <c r="J343" i="27"/>
  <c r="I506" i="27"/>
  <c r="J698" i="27"/>
  <c r="I104" i="27"/>
  <c r="J147" i="27"/>
  <c r="J720" i="27"/>
  <c r="I129" i="27"/>
  <c r="J61" i="27"/>
  <c r="J670" i="27"/>
  <c r="J695" i="27"/>
  <c r="J812" i="27"/>
  <c r="J1042" i="27"/>
  <c r="I1060" i="27"/>
  <c r="J1081" i="27"/>
  <c r="I22" i="27"/>
  <c r="J738" i="27"/>
  <c r="J101" i="27"/>
  <c r="J827" i="27"/>
  <c r="I1026" i="27"/>
  <c r="I962" i="27"/>
  <c r="I931" i="27"/>
  <c r="I234" i="27"/>
  <c r="J760" i="27"/>
  <c r="I944" i="27"/>
  <c r="J966" i="27"/>
  <c r="I429" i="27"/>
  <c r="I437" i="27"/>
  <c r="I525" i="27"/>
  <c r="I960" i="27"/>
  <c r="J557" i="27"/>
  <c r="J602" i="27"/>
  <c r="I329" i="27"/>
  <c r="J770" i="27"/>
  <c r="J1033" i="27"/>
  <c r="I198" i="27"/>
  <c r="I684" i="27"/>
  <c r="I856" i="27"/>
  <c r="I884" i="27"/>
  <c r="J365" i="27"/>
  <c r="J284" i="27"/>
  <c r="J619" i="27"/>
  <c r="I486" i="27"/>
  <c r="I890" i="27"/>
  <c r="J866" i="27"/>
  <c r="J860" i="27"/>
  <c r="J487" i="27"/>
  <c r="J400" i="27"/>
  <c r="I494" i="27"/>
  <c r="J317" i="27"/>
  <c r="J798" i="27"/>
  <c r="J1087" i="27"/>
  <c r="J688" i="27"/>
  <c r="J87" i="27"/>
  <c r="I717" i="27"/>
  <c r="I656" i="27"/>
  <c r="I326" i="27"/>
  <c r="I300" i="27"/>
  <c r="I511" i="27"/>
  <c r="I579" i="27"/>
  <c r="J164" i="27"/>
  <c r="I221" i="27"/>
  <c r="J149" i="27"/>
  <c r="J790" i="27"/>
  <c r="I925" i="27"/>
  <c r="I128" i="27"/>
  <c r="I762" i="27"/>
  <c r="I14" i="27"/>
  <c r="J36" i="27"/>
  <c r="I938" i="27"/>
  <c r="I902" i="27"/>
  <c r="I877" i="27"/>
  <c r="I368" i="27"/>
  <c r="J291" i="27"/>
  <c r="J333" i="27"/>
  <c r="I422" i="27"/>
  <c r="J293" i="27"/>
  <c r="I274" i="27"/>
  <c r="I600" i="27"/>
  <c r="I519" i="27"/>
  <c r="J62" i="27"/>
  <c r="J272" i="27"/>
  <c r="J63" i="27"/>
  <c r="J809" i="27"/>
  <c r="I679" i="27"/>
  <c r="I766" i="27"/>
  <c r="I1064" i="27"/>
  <c r="I1015" i="27"/>
  <c r="J799" i="27"/>
  <c r="I706" i="27"/>
  <c r="J731" i="27"/>
  <c r="I205" i="27"/>
  <c r="J85" i="27"/>
  <c r="J189" i="27"/>
  <c r="J722" i="27"/>
  <c r="I3" i="27"/>
  <c r="J897" i="27"/>
  <c r="I1014" i="27"/>
  <c r="J599" i="27"/>
  <c r="J397" i="27"/>
  <c r="J714" i="27"/>
  <c r="J662" i="27"/>
  <c r="I898" i="27"/>
  <c r="J383" i="27"/>
  <c r="J620" i="27"/>
  <c r="J1052" i="27"/>
  <c r="J179" i="27"/>
  <c r="J1075" i="27"/>
  <c r="I1058" i="27"/>
  <c r="J716" i="27"/>
  <c r="I840" i="27"/>
  <c r="I892" i="27"/>
  <c r="I1029" i="27"/>
  <c r="I875" i="27"/>
  <c r="J286" i="27"/>
  <c r="I649" i="27"/>
  <c r="I583" i="27"/>
  <c r="I244" i="27"/>
  <c r="I471" i="27"/>
  <c r="I411" i="27"/>
  <c r="I557" i="27"/>
  <c r="J801" i="27"/>
  <c r="J83" i="27"/>
  <c r="I593" i="27"/>
  <c r="I532" i="27"/>
  <c r="I320" i="27"/>
  <c r="J783" i="27"/>
  <c r="J210" i="27"/>
  <c r="J747" i="27"/>
  <c r="I49" i="27"/>
  <c r="J834" i="27"/>
  <c r="J954" i="27"/>
  <c r="I907" i="27"/>
  <c r="I528" i="27"/>
  <c r="J479" i="27"/>
  <c r="I603" i="27"/>
  <c r="I491" i="27"/>
  <c r="I332" i="27"/>
  <c r="J94" i="27"/>
  <c r="I755" i="27"/>
  <c r="I847" i="27"/>
  <c r="J846" i="27"/>
  <c r="J208" i="27"/>
  <c r="I691" i="27"/>
  <c r="I605" i="27"/>
  <c r="J358" i="27"/>
  <c r="I777" i="27"/>
  <c r="J229" i="27"/>
  <c r="J206" i="27"/>
  <c r="J90" i="27"/>
  <c r="I690" i="27"/>
  <c r="I126" i="27"/>
  <c r="J655" i="27"/>
  <c r="J995" i="27"/>
  <c r="I983" i="27"/>
  <c r="J940" i="27"/>
  <c r="I266" i="27"/>
  <c r="J283" i="27"/>
  <c r="J523" i="27"/>
  <c r="J484" i="27"/>
  <c r="I595" i="27"/>
  <c r="I252" i="27"/>
  <c r="I917" i="27"/>
  <c r="J947" i="27"/>
  <c r="I263" i="27"/>
  <c r="I341" i="27"/>
  <c r="I308" i="27"/>
  <c r="J244" i="27"/>
  <c r="I265" i="27"/>
  <c r="I478" i="27"/>
  <c r="I501" i="27"/>
  <c r="I906" i="27"/>
  <c r="J161" i="27"/>
  <c r="I38" i="27"/>
  <c r="I228" i="27"/>
  <c r="I1057" i="27"/>
  <c r="I828" i="27"/>
  <c r="I821" i="27"/>
  <c r="I848" i="27"/>
  <c r="J915" i="27"/>
  <c r="I967" i="27"/>
  <c r="I347" i="27"/>
  <c r="J249" i="27"/>
  <c r="I410" i="27"/>
  <c r="I450" i="27"/>
  <c r="I629" i="27"/>
  <c r="I517" i="27"/>
  <c r="J282" i="27"/>
  <c r="I246" i="27"/>
  <c r="I424" i="27"/>
  <c r="J458" i="27"/>
  <c r="I753" i="27"/>
  <c r="J59" i="27"/>
  <c r="J122" i="27"/>
  <c r="I93" i="27"/>
  <c r="I155" i="27"/>
  <c r="I811" i="27"/>
  <c r="I1056" i="27"/>
  <c r="I844" i="27"/>
  <c r="I870" i="27"/>
  <c r="I940" i="27"/>
  <c r="I324" i="27"/>
  <c r="I312" i="27"/>
  <c r="J406" i="27"/>
  <c r="I487" i="27"/>
  <c r="I483" i="27"/>
  <c r="J255" i="27"/>
  <c r="I474" i="27"/>
  <c r="I287" i="27"/>
  <c r="I607" i="27"/>
  <c r="I273" i="27"/>
  <c r="I886" i="27"/>
  <c r="J57" i="27"/>
  <c r="J120" i="27"/>
  <c r="I713" i="27"/>
  <c r="I1006" i="27"/>
  <c r="I981" i="27"/>
  <c r="I542" i="27"/>
  <c r="J407" i="27"/>
  <c r="I354" i="27"/>
  <c r="J529" i="27"/>
  <c r="I349" i="27"/>
  <c r="J552" i="27"/>
  <c r="I476" i="27"/>
  <c r="I533" i="27"/>
  <c r="I540" i="27"/>
  <c r="I371" i="27"/>
  <c r="I247" i="27"/>
  <c r="J52" i="27"/>
  <c r="J119" i="27"/>
  <c r="I203" i="27"/>
  <c r="J796" i="27"/>
  <c r="J1092" i="27"/>
  <c r="J278" i="27"/>
  <c r="J20" i="27"/>
  <c r="J1080" i="27"/>
  <c r="I176" i="27"/>
  <c r="I196" i="27"/>
  <c r="I218" i="27"/>
  <c r="I659" i="27"/>
  <c r="I682" i="27"/>
  <c r="I703" i="27"/>
  <c r="I727" i="27"/>
  <c r="I745" i="27"/>
  <c r="I768" i="27"/>
  <c r="I788" i="27"/>
  <c r="I1050" i="27"/>
  <c r="I1031" i="27"/>
  <c r="I1091" i="27"/>
  <c r="I1073" i="27"/>
  <c r="I177" i="27"/>
  <c r="I754" i="27"/>
  <c r="I1085" i="27"/>
  <c r="J822" i="27"/>
  <c r="J938" i="27"/>
  <c r="I908" i="27"/>
  <c r="I1002" i="27"/>
  <c r="I883" i="27"/>
  <c r="J931" i="27"/>
  <c r="I867" i="27"/>
  <c r="I295" i="27"/>
  <c r="I297" i="27"/>
  <c r="I393" i="27"/>
  <c r="I512" i="27"/>
  <c r="I616" i="27"/>
  <c r="I459" i="27"/>
  <c r="I598" i="27"/>
  <c r="I461" i="27"/>
  <c r="I625" i="27"/>
  <c r="I445" i="27"/>
  <c r="J19" i="27"/>
  <c r="J113" i="27"/>
  <c r="I186" i="27"/>
  <c r="I776" i="27"/>
  <c r="I50" i="27"/>
  <c r="I72" i="27"/>
  <c r="I91" i="27"/>
  <c r="I109" i="27"/>
  <c r="I130" i="27"/>
  <c r="I153" i="27"/>
  <c r="J175" i="27"/>
  <c r="J195" i="27"/>
  <c r="J217" i="27"/>
  <c r="J658" i="27"/>
  <c r="J681" i="27"/>
  <c r="J702" i="27"/>
  <c r="J725" i="27"/>
  <c r="J744" i="27"/>
  <c r="J767" i="27"/>
  <c r="J786" i="27"/>
  <c r="J1049" i="27"/>
  <c r="J1072" i="27"/>
  <c r="J1090" i="27"/>
  <c r="I170" i="27"/>
  <c r="I741" i="27"/>
  <c r="J1083" i="27"/>
  <c r="I893" i="27"/>
  <c r="I866" i="27"/>
  <c r="I403" i="27"/>
  <c r="J502" i="27"/>
  <c r="J379" i="27"/>
  <c r="I288" i="27"/>
  <c r="I503" i="27"/>
  <c r="I504" i="27"/>
  <c r="J651" i="27"/>
  <c r="I238" i="27"/>
  <c r="J614" i="27"/>
  <c r="I241" i="27"/>
  <c r="J580" i="27"/>
  <c r="I555" i="27"/>
  <c r="I499" i="27"/>
  <c r="J162" i="27"/>
  <c r="J16" i="27"/>
  <c r="J840" i="27"/>
  <c r="I1013" i="27"/>
  <c r="J591" i="27"/>
  <c r="I386" i="27"/>
  <c r="I568" i="27"/>
  <c r="J11" i="27"/>
  <c r="J82" i="27"/>
  <c r="J774" i="27"/>
  <c r="I668" i="27"/>
  <c r="J830" i="27"/>
  <c r="I951" i="27"/>
  <c r="J1010" i="27"/>
  <c r="J1030" i="27"/>
  <c r="I863" i="27"/>
  <c r="J446" i="27"/>
  <c r="I390" i="27"/>
  <c r="I343" i="27"/>
  <c r="J331" i="27"/>
  <c r="J328" i="27"/>
  <c r="I333" i="27"/>
  <c r="I400" i="27"/>
  <c r="J481" i="27"/>
  <c r="J413" i="27"/>
  <c r="J570" i="27"/>
  <c r="I1059" i="27"/>
  <c r="J80" i="27"/>
  <c r="J145" i="27"/>
  <c r="I736" i="27"/>
  <c r="J132" i="27"/>
  <c r="I729" i="27"/>
  <c r="I1040" i="27"/>
  <c r="I843" i="27"/>
  <c r="I936" i="27"/>
  <c r="J972" i="27"/>
  <c r="I1025" i="27"/>
  <c r="I444" i="27"/>
  <c r="I622" i="27"/>
  <c r="J522" i="27"/>
  <c r="I440" i="27"/>
  <c r="I248" i="27"/>
  <c r="I279" i="27"/>
  <c r="J634" i="27"/>
  <c r="I594" i="27"/>
  <c r="I537" i="27"/>
  <c r="I378" i="27"/>
  <c r="J74" i="27"/>
  <c r="J143" i="27"/>
  <c r="J1041" i="27"/>
  <c r="I383" i="27"/>
  <c r="I889" i="27"/>
  <c r="J142" i="27"/>
  <c r="I183" i="27"/>
  <c r="J200" i="27"/>
  <c r="I223" i="27"/>
  <c r="I665" i="27"/>
  <c r="I686" i="27"/>
  <c r="J708" i="27"/>
  <c r="J733" i="27"/>
  <c r="J749" i="27"/>
  <c r="J772" i="27"/>
  <c r="J792" i="27"/>
  <c r="J805" i="27"/>
  <c r="J1035" i="27"/>
  <c r="J1054" i="27"/>
  <c r="J1077" i="27"/>
  <c r="I137" i="27"/>
  <c r="J719" i="27"/>
  <c r="J1036" i="27"/>
  <c r="J34" i="27"/>
  <c r="J929" i="27"/>
  <c r="I899" i="27"/>
  <c r="I1028" i="27"/>
  <c r="I1016" i="27"/>
  <c r="I896" i="27"/>
  <c r="J953" i="27"/>
  <c r="I977" i="27"/>
  <c r="J900" i="27"/>
  <c r="I449" i="27"/>
  <c r="I325" i="27"/>
  <c r="J447" i="27"/>
  <c r="I269" i="27"/>
  <c r="I582" i="27"/>
  <c r="I290" i="27"/>
  <c r="I358" i="27"/>
  <c r="I563" i="27"/>
  <c r="I647" i="27"/>
  <c r="J334" i="27"/>
  <c r="I404" i="27"/>
  <c r="I396" i="27"/>
  <c r="I496" i="27"/>
  <c r="I457" i="27"/>
  <c r="J344" i="27"/>
  <c r="J277" i="27"/>
  <c r="I836" i="27"/>
  <c r="J41" i="27"/>
  <c r="I133" i="27"/>
  <c r="I54" i="27"/>
  <c r="J76" i="27"/>
  <c r="I97" i="27"/>
  <c r="I115" i="27"/>
  <c r="I138" i="27"/>
  <c r="I158" i="27"/>
  <c r="I171" i="27"/>
  <c r="I773" i="27"/>
  <c r="I1068" i="27"/>
  <c r="I650" i="27"/>
  <c r="J730" i="27"/>
  <c r="I13" i="27"/>
  <c r="J35" i="27"/>
  <c r="J935" i="27"/>
  <c r="I922" i="27"/>
  <c r="J943" i="27"/>
  <c r="I918" i="27"/>
  <c r="I952" i="27"/>
  <c r="I864" i="27"/>
  <c r="I1008" i="27"/>
  <c r="I384" i="27"/>
  <c r="I452" i="27"/>
  <c r="J270" i="27"/>
  <c r="I549" i="27"/>
  <c r="I342" i="27"/>
  <c r="I281" i="27"/>
  <c r="I631" i="27"/>
  <c r="J456" i="27"/>
  <c r="I367" i="27"/>
  <c r="I316" i="27"/>
  <c r="I334" i="27"/>
  <c r="I571" i="27"/>
  <c r="I615" i="27"/>
  <c r="I497" i="27"/>
  <c r="I387" i="27"/>
  <c r="I475" i="27"/>
  <c r="J575" i="27"/>
  <c r="J539" i="27"/>
  <c r="J158" i="27"/>
  <c r="J202" i="27"/>
  <c r="J807" i="27"/>
  <c r="J721" i="27"/>
  <c r="J134" i="27"/>
  <c r="I1054" i="27"/>
  <c r="J857" i="27"/>
  <c r="I835" i="27"/>
  <c r="I958" i="27"/>
  <c r="J903" i="27"/>
  <c r="I995" i="27"/>
  <c r="I980" i="27"/>
  <c r="I428" i="27"/>
  <c r="I364" i="27"/>
  <c r="I508" i="27"/>
  <c r="I318" i="27"/>
  <c r="I345" i="27"/>
  <c r="I436" i="27"/>
  <c r="I545" i="27"/>
  <c r="I409" i="27"/>
  <c r="I243" i="27"/>
  <c r="J307" i="27"/>
  <c r="I352" i="27"/>
  <c r="I507" i="27"/>
  <c r="I264" i="27"/>
  <c r="I550" i="27"/>
  <c r="I294" i="27"/>
  <c r="I394" i="27"/>
  <c r="I412" i="27"/>
  <c r="J584" i="27"/>
  <c r="I591" i="27"/>
  <c r="J411" i="27"/>
  <c r="J492" i="27"/>
  <c r="I612" i="27"/>
  <c r="J581" i="27"/>
  <c r="I558" i="27"/>
  <c r="I374" i="27"/>
  <c r="I465" i="27"/>
  <c r="I362" i="27"/>
  <c r="I643" i="27"/>
  <c r="J199" i="27"/>
  <c r="J1076" i="27"/>
  <c r="J14" i="27"/>
  <c r="J55" i="27"/>
  <c r="J666" i="27"/>
  <c r="J712" i="27"/>
  <c r="I116" i="27"/>
  <c r="I200" i="27"/>
  <c r="I728" i="27"/>
  <c r="J955" i="27"/>
  <c r="I943" i="27"/>
  <c r="I999" i="27"/>
  <c r="I894" i="27"/>
  <c r="I1001" i="27"/>
  <c r="J883" i="27"/>
  <c r="J898" i="27"/>
  <c r="I1011" i="27"/>
  <c r="I963" i="27"/>
  <c r="J1025" i="27"/>
  <c r="J426" i="27"/>
  <c r="I315" i="27"/>
  <c r="J285" i="27"/>
  <c r="J609" i="27"/>
  <c r="I284" i="27"/>
  <c r="J424" i="27"/>
  <c r="J257" i="27"/>
  <c r="I637" i="27"/>
  <c r="J537" i="27"/>
  <c r="I330" i="27"/>
  <c r="I570" i="27"/>
  <c r="J386" i="27"/>
  <c r="J532" i="27"/>
  <c r="J808" i="27"/>
  <c r="J853" i="27"/>
  <c r="J114" i="27"/>
  <c r="J732" i="27"/>
  <c r="J13" i="27"/>
  <c r="J54" i="27"/>
  <c r="J100" i="27"/>
  <c r="J665" i="27"/>
  <c r="J710" i="27"/>
  <c r="J800" i="27"/>
  <c r="J756" i="27"/>
  <c r="J803" i="27"/>
  <c r="I36" i="27"/>
  <c r="I667" i="27"/>
  <c r="I708" i="27"/>
  <c r="I824" i="27"/>
  <c r="J833" i="27"/>
  <c r="I941" i="27"/>
  <c r="I950" i="27"/>
  <c r="I910" i="27"/>
  <c r="J382" i="27"/>
  <c r="J12" i="27"/>
  <c r="J685" i="27"/>
  <c r="I1066" i="27"/>
  <c r="J99" i="27"/>
  <c r="J43" i="27"/>
  <c r="J1051" i="27"/>
  <c r="I35" i="27"/>
  <c r="I76" i="27"/>
  <c r="I752" i="27"/>
  <c r="I797" i="27"/>
  <c r="I719" i="27"/>
  <c r="I140" i="27"/>
  <c r="J7" i="27"/>
  <c r="J27" i="27"/>
  <c r="J48" i="27"/>
  <c r="J67" i="27"/>
  <c r="J86" i="27"/>
  <c r="J107" i="27"/>
  <c r="J169" i="27"/>
  <c r="J151" i="27"/>
  <c r="I174" i="27"/>
  <c r="J194" i="27"/>
  <c r="J216" i="27"/>
  <c r="J657" i="27"/>
  <c r="J680" i="27"/>
  <c r="J701" i="27"/>
  <c r="J724" i="27"/>
  <c r="J743" i="27"/>
  <c r="J765" i="27"/>
  <c r="J785" i="27"/>
  <c r="J1048" i="27"/>
  <c r="J1070" i="27"/>
  <c r="J1089" i="27"/>
  <c r="J29" i="27"/>
  <c r="J207" i="27"/>
  <c r="I739" i="27"/>
  <c r="J58" i="27"/>
  <c r="J69" i="27"/>
  <c r="I231" i="27"/>
  <c r="J1029" i="27"/>
  <c r="J923" i="27"/>
  <c r="I1021" i="27"/>
  <c r="I407" i="27"/>
  <c r="I485" i="27"/>
  <c r="J505" i="27"/>
  <c r="I648" i="27"/>
  <c r="J378" i="27"/>
  <c r="I369" i="27"/>
  <c r="I405" i="27"/>
  <c r="I623" i="27"/>
  <c r="J483" i="27"/>
  <c r="J396" i="27"/>
  <c r="I256" i="27"/>
  <c r="J632" i="27"/>
  <c r="I634" i="27"/>
  <c r="J241" i="27"/>
  <c r="I267" i="27"/>
  <c r="J499" i="27"/>
  <c r="J180" i="27"/>
  <c r="I136" i="27"/>
  <c r="J51" i="27"/>
  <c r="J97" i="27"/>
  <c r="J139" i="27"/>
  <c r="J110" i="27"/>
  <c r="J39" i="27"/>
  <c r="J1040" i="27"/>
  <c r="I111" i="27"/>
  <c r="I749" i="27"/>
  <c r="I792" i="27"/>
  <c r="J6" i="27"/>
  <c r="J25" i="27"/>
  <c r="J46" i="27"/>
  <c r="J65" i="27"/>
  <c r="J127" i="27"/>
  <c r="J148" i="27"/>
  <c r="J168" i="27"/>
  <c r="J150" i="27"/>
  <c r="J173" i="27"/>
  <c r="J193" i="27"/>
  <c r="J214" i="27"/>
  <c r="J654" i="27"/>
  <c r="J677" i="27"/>
  <c r="J700" i="27"/>
  <c r="J723" i="27"/>
  <c r="J742" i="27"/>
  <c r="J763" i="27"/>
  <c r="J781" i="27"/>
  <c r="J1047" i="27"/>
  <c r="J1067" i="27"/>
  <c r="J1088" i="27"/>
  <c r="J81" i="27"/>
  <c r="I201" i="27"/>
  <c r="I764" i="27"/>
  <c r="J47" i="27"/>
  <c r="J68" i="27"/>
  <c r="J787" i="27"/>
  <c r="J856" i="27"/>
  <c r="I827" i="27"/>
  <c r="I845" i="27"/>
  <c r="J990" i="27"/>
  <c r="J989" i="27"/>
  <c r="I985" i="27"/>
  <c r="I1024" i="27"/>
  <c r="I939" i="27"/>
  <c r="J1028" i="27"/>
  <c r="I994" i="27"/>
  <c r="J907" i="27"/>
  <c r="J1008" i="27"/>
  <c r="I998" i="27"/>
  <c r="J971" i="27"/>
  <c r="I608" i="27"/>
  <c r="I626" i="27"/>
  <c r="I311" i="27"/>
  <c r="I569" i="27"/>
  <c r="I430" i="27"/>
  <c r="I580" i="27"/>
  <c r="J459" i="27"/>
  <c r="I561" i="27"/>
  <c r="I516" i="27"/>
  <c r="I337" i="27"/>
  <c r="I277" i="27"/>
  <c r="J621" i="27"/>
  <c r="J33" i="27"/>
  <c r="J707" i="27"/>
  <c r="I156" i="27"/>
  <c r="J138" i="27"/>
  <c r="J185" i="27"/>
  <c r="J750" i="27"/>
  <c r="J137" i="27"/>
  <c r="I31" i="27"/>
  <c r="I108" i="27"/>
  <c r="I1039" i="27"/>
  <c r="I1079" i="27"/>
  <c r="J157" i="27"/>
  <c r="J791" i="27"/>
  <c r="I726" i="27"/>
  <c r="J184" i="27"/>
  <c r="J794" i="27"/>
  <c r="I28" i="27"/>
  <c r="I1035" i="27"/>
  <c r="I1077" i="27"/>
  <c r="I831" i="27"/>
  <c r="I904" i="27"/>
  <c r="J973" i="27"/>
  <c r="I1003" i="27"/>
  <c r="I966" i="27"/>
  <c r="J983" i="27"/>
  <c r="I949" i="27"/>
  <c r="J445" i="27"/>
  <c r="J525" i="27"/>
  <c r="I546" i="27"/>
  <c r="I385" i="27"/>
  <c r="I338" i="27"/>
  <c r="I414" i="27"/>
  <c r="I639" i="27"/>
  <c r="I427" i="27"/>
  <c r="I360" i="27"/>
  <c r="J443" i="27"/>
  <c r="I348" i="27"/>
  <c r="J222" i="27"/>
  <c r="I718" i="27"/>
  <c r="J131" i="27"/>
  <c r="J183" i="27"/>
  <c r="J225" i="27"/>
  <c r="J962" i="27"/>
  <c r="J921" i="27"/>
  <c r="J951" i="27"/>
  <c r="J847" i="27"/>
  <c r="J896" i="27"/>
  <c r="J323" i="27"/>
  <c r="I304" i="27"/>
  <c r="J645" i="27"/>
  <c r="I380" i="27"/>
  <c r="I502" i="27"/>
  <c r="I291" i="27"/>
  <c r="I270" i="27"/>
  <c r="J266" i="27"/>
  <c r="I283" i="27"/>
  <c r="J563" i="27"/>
  <c r="I421" i="27"/>
  <c r="I523" i="27"/>
  <c r="J611" i="27"/>
  <c r="J234" i="27"/>
  <c r="J618" i="27"/>
  <c r="I619" i="27"/>
  <c r="I578" i="27"/>
  <c r="I370" i="27"/>
  <c r="I602" i="27"/>
  <c r="J526" i="27"/>
  <c r="I854" i="27"/>
  <c r="I945" i="27"/>
  <c r="I204" i="27"/>
  <c r="J663" i="27"/>
  <c r="J1034" i="27"/>
  <c r="I1071" i="27"/>
  <c r="J223" i="27"/>
  <c r="I1037" i="27"/>
  <c r="J984" i="27"/>
  <c r="J892" i="27"/>
  <c r="J1005" i="27"/>
  <c r="I986" i="27"/>
  <c r="I442" i="27"/>
  <c r="J299" i="27"/>
  <c r="J547" i="27"/>
  <c r="I479" i="27"/>
  <c r="I470" i="27"/>
  <c r="J617" i="27"/>
  <c r="I454" i="27"/>
  <c r="J920" i="27"/>
  <c r="J95" i="27"/>
  <c r="J1053" i="27"/>
  <c r="J687" i="27"/>
  <c r="J1038" i="27"/>
  <c r="J704" i="27"/>
  <c r="I735" i="27"/>
  <c r="I1036" i="27"/>
  <c r="J1013" i="27"/>
  <c r="J393" i="27"/>
  <c r="I484" i="27"/>
  <c r="I432" i="27"/>
  <c r="J471" i="27"/>
  <c r="I493" i="27"/>
  <c r="I455" i="27"/>
  <c r="I521" i="27"/>
  <c r="I560" i="27"/>
  <c r="I613" i="27"/>
  <c r="J553" i="27"/>
  <c r="J335" i="27"/>
  <c r="I322" i="27"/>
  <c r="J135" i="27"/>
  <c r="J771" i="27"/>
  <c r="J220" i="27"/>
  <c r="J686" i="27"/>
  <c r="J1078" i="27"/>
  <c r="J729" i="27"/>
  <c r="I15" i="27"/>
  <c r="I734" i="27"/>
  <c r="I859" i="27"/>
  <c r="J836" i="27"/>
  <c r="I930" i="27"/>
  <c r="J888" i="27"/>
  <c r="J889" i="27"/>
  <c r="I905" i="27"/>
  <c r="I887" i="27"/>
  <c r="J875" i="27"/>
  <c r="I448" i="27"/>
  <c r="I249" i="27"/>
  <c r="J320" i="27"/>
  <c r="J341" i="27"/>
  <c r="I278" i="27"/>
  <c r="J641" i="27"/>
  <c r="I282" i="27"/>
  <c r="J75" i="27"/>
  <c r="J804" i="27"/>
  <c r="J77" i="27"/>
  <c r="I733" i="27"/>
  <c r="I775" i="27"/>
  <c r="I37" i="27"/>
  <c r="I78" i="27"/>
  <c r="I117" i="27"/>
  <c r="J141" i="27"/>
  <c r="I160" i="27"/>
  <c r="J226" i="27"/>
  <c r="I689" i="27"/>
  <c r="I118" i="27"/>
  <c r="I806" i="27"/>
  <c r="I678" i="27"/>
  <c r="I961" i="27"/>
  <c r="I929" i="27"/>
  <c r="I932" i="27"/>
  <c r="J890" i="27"/>
  <c r="I909" i="27"/>
  <c r="I897" i="27"/>
  <c r="J977" i="27"/>
  <c r="I860" i="27"/>
  <c r="J605" i="27"/>
  <c r="I271" i="27"/>
  <c r="J467" i="27"/>
  <c r="I293" i="27"/>
  <c r="I420" i="27"/>
  <c r="I552" i="27"/>
  <c r="J265" i="27"/>
  <c r="I635" i="27"/>
  <c r="J514" i="27"/>
  <c r="I601" i="27"/>
  <c r="I559" i="27"/>
  <c r="J633" i="27"/>
  <c r="J276" i="27"/>
  <c r="J551" i="27"/>
  <c r="J650" i="27"/>
  <c r="I309" i="27"/>
  <c r="I576" i="27"/>
  <c r="I21" i="27"/>
  <c r="J53" i="27"/>
  <c r="J748" i="27"/>
  <c r="I853" i="27"/>
  <c r="I920" i="27"/>
  <c r="J363" i="27"/>
  <c r="J316" i="27"/>
  <c r="J295" i="27"/>
  <c r="J387" i="27"/>
  <c r="J246" i="27"/>
  <c r="J1003" i="27"/>
  <c r="J347" i="27"/>
  <c r="J308" i="27"/>
  <c r="J476" i="27"/>
  <c r="J17" i="27"/>
  <c r="J102" i="27"/>
  <c r="J177" i="27"/>
  <c r="J741" i="27"/>
  <c r="I197" i="27"/>
  <c r="I705" i="27"/>
  <c r="I789" i="27"/>
  <c r="I1074" i="27"/>
  <c r="I711" i="27"/>
  <c r="I1083" i="27"/>
  <c r="I955" i="27"/>
  <c r="I954" i="27"/>
  <c r="I1005" i="27"/>
  <c r="J963" i="27"/>
  <c r="I900" i="27"/>
  <c r="I873" i="27"/>
  <c r="I645" i="27"/>
  <c r="I505" i="27"/>
  <c r="I379" i="27"/>
  <c r="I651" i="27"/>
  <c r="I573" i="27"/>
  <c r="I621" i="27"/>
  <c r="I785" i="27"/>
  <c r="I876" i="27"/>
  <c r="J434" i="27"/>
  <c r="I351" i="27"/>
  <c r="I498" i="27"/>
  <c r="I27" i="27"/>
  <c r="I107" i="27"/>
  <c r="I924" i="27"/>
  <c r="J926" i="27"/>
  <c r="I997" i="27"/>
  <c r="I937" i="27"/>
  <c r="J1019" i="27"/>
  <c r="J1001" i="27"/>
  <c r="I903" i="27"/>
  <c r="I934" i="27"/>
  <c r="I871" i="27"/>
  <c r="I1027" i="27"/>
  <c r="I389" i="27"/>
  <c r="I331" i="27"/>
  <c r="J410" i="27"/>
  <c r="J452" i="27"/>
  <c r="I391" i="27"/>
  <c r="I301" i="27"/>
  <c r="I431" i="27"/>
  <c r="I467" i="27"/>
  <c r="I262" i="27"/>
  <c r="I572" i="27"/>
  <c r="I592" i="27"/>
  <c r="I597" i="27"/>
  <c r="I620" i="27"/>
  <c r="J501" i="27"/>
  <c r="I357" i="27"/>
  <c r="I413" i="27"/>
  <c r="J590" i="27"/>
  <c r="I551" i="27"/>
  <c r="I317" i="27"/>
  <c r="I361" i="27"/>
  <c r="J329" i="27"/>
  <c r="I683" i="27"/>
  <c r="I769" i="27"/>
  <c r="I1093" i="27"/>
  <c r="I6" i="27"/>
  <c r="I25" i="27"/>
  <c r="I46" i="27"/>
  <c r="I65" i="27"/>
  <c r="I127" i="27"/>
  <c r="I148" i="27"/>
  <c r="I168" i="27"/>
  <c r="I150" i="27"/>
  <c r="I173" i="27"/>
  <c r="I193" i="27"/>
  <c r="I214" i="27"/>
  <c r="I654" i="27"/>
  <c r="I677" i="27"/>
  <c r="I700" i="27"/>
  <c r="I723" i="27"/>
  <c r="I742" i="27"/>
  <c r="I763" i="27"/>
  <c r="I781" i="27"/>
  <c r="I1047" i="27"/>
  <c r="I1067" i="27"/>
  <c r="I1088" i="27"/>
  <c r="I81" i="27"/>
  <c r="I68" i="27"/>
  <c r="I219" i="27"/>
  <c r="I787" i="27"/>
  <c r="I993" i="27"/>
  <c r="I644" i="27"/>
  <c r="I10" i="27"/>
  <c r="I92" i="27"/>
  <c r="I178" i="27"/>
  <c r="I681" i="27"/>
  <c r="I767" i="27"/>
  <c r="I1090" i="27"/>
  <c r="I851" i="27"/>
  <c r="I914" i="27"/>
  <c r="I857" i="27"/>
  <c r="I968" i="27"/>
  <c r="I992" i="27"/>
  <c r="J944" i="27"/>
  <c r="I946" i="27"/>
  <c r="I1000" i="27"/>
  <c r="J980" i="27"/>
  <c r="J982" i="27"/>
  <c r="I838" i="27"/>
  <c r="I1007" i="27"/>
  <c r="I842" i="27"/>
  <c r="I373" i="27"/>
  <c r="I565" i="27"/>
  <c r="I305" i="27"/>
  <c r="I527" i="27"/>
  <c r="I299" i="27"/>
  <c r="J420" i="27"/>
  <c r="I253" i="27"/>
  <c r="I531" i="27"/>
  <c r="I237" i="27"/>
  <c r="I314" i="27"/>
  <c r="I534" i="27"/>
  <c r="I599" i="27"/>
  <c r="I642" i="27"/>
  <c r="I239" i="27"/>
  <c r="I979" i="27"/>
  <c r="I233" i="27"/>
  <c r="I469" i="27"/>
  <c r="J780" i="27"/>
  <c r="I8" i="27"/>
  <c r="I88" i="27"/>
  <c r="I175" i="27"/>
  <c r="I680" i="27"/>
  <c r="I765" i="27"/>
  <c r="I1089" i="27"/>
  <c r="I69" i="27"/>
  <c r="J835" i="27"/>
  <c r="J950" i="27"/>
  <c r="J1015" i="27"/>
  <c r="J403" i="27"/>
  <c r="J298" i="27"/>
  <c r="J623" i="27"/>
  <c r="J647" i="27"/>
  <c r="J558" i="27"/>
  <c r="J337" i="27"/>
  <c r="I978" i="27"/>
  <c r="I632" i="27"/>
  <c r="J1071" i="27"/>
  <c r="I7" i="27"/>
  <c r="I86" i="27"/>
  <c r="I830" i="27"/>
  <c r="I928" i="27"/>
  <c r="I921" i="27"/>
  <c r="I919" i="27"/>
  <c r="I996" i="27"/>
  <c r="J945" i="27"/>
  <c r="I878" i="27"/>
  <c r="I882" i="27"/>
  <c r="I1009" i="27"/>
  <c r="J893" i="27"/>
  <c r="J910" i="27"/>
  <c r="J905" i="27"/>
  <c r="I913" i="27"/>
  <c r="I923" i="27"/>
  <c r="J269" i="27"/>
  <c r="J528" i="27"/>
  <c r="I439" i="27"/>
  <c r="J582" i="27"/>
  <c r="I482" i="27"/>
  <c r="I377" i="27"/>
  <c r="J355" i="27"/>
  <c r="I529" i="27"/>
  <c r="I417" i="27"/>
  <c r="I275" i="27"/>
  <c r="I280" i="27"/>
  <c r="J583" i="27"/>
  <c r="J404" i="27"/>
  <c r="J254" i="27"/>
  <c r="I395" i="27"/>
  <c r="I584" i="27"/>
  <c r="J236" i="27"/>
  <c r="J474" i="27"/>
  <c r="I628" i="27"/>
  <c r="J475" i="27"/>
  <c r="J568" i="27"/>
  <c r="J309" i="27"/>
  <c r="I375" i="27"/>
  <c r="I336" i="27"/>
  <c r="J726" i="27"/>
  <c r="I660" i="27"/>
  <c r="I746" i="27"/>
  <c r="I1032" i="27"/>
  <c r="I124" i="27"/>
  <c r="I709" i="27"/>
  <c r="I815" i="27"/>
  <c r="I4" i="27"/>
  <c r="I823" i="27"/>
  <c r="I990" i="27"/>
  <c r="J409" i="27"/>
  <c r="I509" i="27"/>
  <c r="I547" i="27"/>
  <c r="I513" i="27"/>
  <c r="I456" i="27"/>
  <c r="J579" i="27"/>
  <c r="I541" i="27"/>
  <c r="I258" i="27"/>
  <c r="I321" i="27"/>
  <c r="I433" i="27"/>
  <c r="J486" i="27"/>
  <c r="J371" i="27"/>
  <c r="I397" i="27"/>
  <c r="I556" i="27"/>
  <c r="I701" i="27"/>
  <c r="I29" i="27"/>
  <c r="I947" i="27"/>
  <c r="J156" i="27"/>
  <c r="J1068" i="27"/>
  <c r="I73" i="27"/>
  <c r="I154" i="27"/>
  <c r="I658" i="27"/>
  <c r="I744" i="27"/>
  <c r="I1072" i="27"/>
  <c r="I627" i="27"/>
  <c r="J26" i="27"/>
  <c r="J773" i="27"/>
  <c r="J1064" i="27"/>
  <c r="I70" i="27"/>
  <c r="I152" i="27"/>
  <c r="I657" i="27"/>
  <c r="I743" i="27"/>
  <c r="I1070" i="27"/>
  <c r="I796" i="27"/>
  <c r="J969" i="27"/>
  <c r="I970" i="27"/>
  <c r="J961" i="27"/>
  <c r="I942" i="27"/>
  <c r="I927" i="27"/>
  <c r="I989" i="27"/>
  <c r="J894" i="27"/>
  <c r="I1010" i="27"/>
  <c r="J932" i="27"/>
  <c r="I885" i="27"/>
  <c r="J909" i="27"/>
  <c r="I975" i="27"/>
  <c r="J864" i="27"/>
  <c r="I826" i="27"/>
  <c r="I948" i="27"/>
  <c r="I447" i="27"/>
  <c r="I438" i="27"/>
  <c r="I327" i="27"/>
  <c r="I310" i="27"/>
  <c r="J271" i="27"/>
  <c r="I586" i="27"/>
  <c r="I365" i="27"/>
  <c r="J421" i="27"/>
  <c r="J510" i="27"/>
  <c r="I401" i="27"/>
  <c r="J504" i="27"/>
  <c r="I524" i="27"/>
  <c r="I260" i="27"/>
  <c r="I257" i="27"/>
  <c r="I581" i="27"/>
  <c r="I453" i="27"/>
  <c r="I553" i="27"/>
  <c r="I480" i="27"/>
  <c r="J374" i="27"/>
  <c r="J506" i="27"/>
  <c r="J322" i="27"/>
  <c r="J519" i="27"/>
  <c r="I972" i="27"/>
  <c r="I624" i="27"/>
  <c r="J540" i="27"/>
  <c r="I617" i="27"/>
  <c r="J1066" i="27"/>
  <c r="J171" i="27"/>
  <c r="J766" i="27"/>
  <c r="I67" i="27"/>
  <c r="I151" i="27"/>
  <c r="I207" i="27"/>
  <c r="J859" i="27"/>
  <c r="I973" i="27"/>
  <c r="J886" i="27"/>
  <c r="I408" i="27"/>
  <c r="I426" i="27"/>
  <c r="J315" i="27"/>
  <c r="J405" i="27"/>
  <c r="J352" i="27"/>
  <c r="J414" i="27"/>
  <c r="I235" i="27"/>
  <c r="J559" i="27"/>
  <c r="J465" i="27"/>
  <c r="J493" i="27"/>
  <c r="I392" i="27"/>
  <c r="J718" i="27"/>
  <c r="J23" i="27"/>
  <c r="J205" i="27"/>
  <c r="J824" i="27"/>
  <c r="I888" i="27"/>
  <c r="J622" i="27"/>
  <c r="I406" i="27"/>
  <c r="J478" i="27"/>
  <c r="I500" i="27"/>
  <c r="I575" i="27"/>
  <c r="J21" i="27"/>
  <c r="I194" i="27"/>
  <c r="J843" i="27"/>
  <c r="I959" i="27"/>
  <c r="J136" i="27"/>
  <c r="J1055" i="27"/>
  <c r="J203" i="27"/>
  <c r="I217" i="27"/>
  <c r="I725" i="27"/>
  <c r="I1049" i="27"/>
  <c r="I834" i="27"/>
  <c r="I1017" i="27"/>
  <c r="J899" i="27"/>
  <c r="I1022" i="27"/>
  <c r="I868" i="27"/>
  <c r="I976" i="27"/>
  <c r="I879" i="27"/>
  <c r="I363" i="27"/>
  <c r="J436" i="27"/>
  <c r="J290" i="27"/>
  <c r="I606" i="27"/>
  <c r="I646" i="27"/>
  <c r="I250" i="27"/>
  <c r="I416" i="27"/>
  <c r="I292" i="27"/>
  <c r="I544" i="27"/>
  <c r="I242" i="27"/>
  <c r="I618" i="27"/>
  <c r="J601" i="27"/>
  <c r="I538" i="27"/>
  <c r="I481" i="27"/>
  <c r="I344" i="27"/>
  <c r="I596" i="27"/>
  <c r="J600" i="27"/>
  <c r="I423" i="27"/>
  <c r="J435" i="27"/>
  <c r="J332" i="27"/>
  <c r="J508" i="27"/>
  <c r="J640" i="27"/>
  <c r="J521" i="27"/>
  <c r="J370" i="27"/>
  <c r="J166" i="27"/>
  <c r="J754" i="27"/>
  <c r="I48" i="27"/>
  <c r="I169" i="27"/>
  <c r="I855" i="27"/>
  <c r="J854" i="27"/>
  <c r="I825" i="27"/>
  <c r="J845" i="27"/>
  <c r="I833" i="27"/>
  <c r="I935" i="27"/>
  <c r="I991" i="27"/>
  <c r="J939" i="27"/>
  <c r="J918" i="27"/>
  <c r="J881" i="27"/>
  <c r="I1004" i="27"/>
  <c r="J952" i="27"/>
  <c r="I869" i="27"/>
  <c r="I865" i="27"/>
  <c r="I446" i="27"/>
  <c r="I588" i="27"/>
  <c r="I562" i="27"/>
  <c r="I462" i="27"/>
  <c r="I376" i="27"/>
  <c r="I285" i="27"/>
  <c r="J430" i="27"/>
  <c r="J629" i="27"/>
  <c r="I419" i="27"/>
  <c r="J503" i="27"/>
  <c r="I464" i="27"/>
  <c r="I251" i="27"/>
  <c r="I398" i="27"/>
  <c r="I514" i="27"/>
  <c r="I520" i="27"/>
  <c r="I536" i="27"/>
  <c r="I460" i="27"/>
  <c r="J578" i="27"/>
  <c r="I276" i="27"/>
  <c r="J470" i="27"/>
  <c r="I468" i="27"/>
  <c r="I526" i="27"/>
  <c r="I302" i="27"/>
  <c r="I443" i="27"/>
  <c r="I272" i="27"/>
  <c r="I539" i="27"/>
  <c r="J837" i="27"/>
  <c r="I837" i="27"/>
  <c r="I852" i="27"/>
  <c r="I974" i="27"/>
  <c r="J974" i="27"/>
  <c r="J339" i="27"/>
  <c r="I339" i="27"/>
  <c r="I530" i="27"/>
  <c r="J530" i="27"/>
  <c r="J346" i="27"/>
  <c r="I346" i="27"/>
  <c r="I415" i="27"/>
  <c r="J415" i="27"/>
  <c r="J9" i="27"/>
  <c r="J30" i="27"/>
  <c r="J50" i="27"/>
  <c r="J72" i="27"/>
  <c r="J91" i="27"/>
  <c r="J109" i="27"/>
  <c r="J130" i="27"/>
  <c r="J153" i="27"/>
  <c r="J176" i="27"/>
  <c r="J196" i="27"/>
  <c r="J218" i="27"/>
  <c r="J659" i="27"/>
  <c r="J682" i="27"/>
  <c r="J703" i="27"/>
  <c r="J727" i="27"/>
  <c r="J745" i="27"/>
  <c r="J768" i="27"/>
  <c r="J788" i="27"/>
  <c r="J1050" i="27"/>
  <c r="J1031" i="27"/>
  <c r="J1091" i="27"/>
  <c r="J1073" i="27"/>
  <c r="J988" i="27"/>
  <c r="I988" i="27"/>
  <c r="I1018" i="27"/>
  <c r="J1018" i="27"/>
  <c r="J463" i="27"/>
  <c r="I463" i="27"/>
  <c r="I402" i="27"/>
  <c r="J402" i="27"/>
  <c r="J841" i="27"/>
  <c r="I841" i="27"/>
  <c r="J174" i="27"/>
  <c r="I1012" i="27"/>
  <c r="J1012" i="27"/>
  <c r="J303" i="27"/>
  <c r="I303" i="27"/>
  <c r="I548" i="27"/>
  <c r="J548" i="27"/>
  <c r="J638" i="27"/>
  <c r="I638" i="27"/>
  <c r="I477" i="27"/>
  <c r="J477" i="27"/>
  <c r="J739" i="27"/>
  <c r="J957" i="27"/>
  <c r="I957" i="27"/>
  <c r="J372" i="27"/>
  <c r="I372" i="27"/>
  <c r="I268" i="27"/>
  <c r="J268" i="27"/>
  <c r="J636" i="27"/>
  <c r="I636" i="27"/>
  <c r="I587" i="27"/>
  <c r="J587" i="27"/>
  <c r="J231" i="27"/>
  <c r="I849" i="27"/>
  <c r="J849" i="27"/>
  <c r="J604" i="27"/>
  <c r="I604" i="27"/>
  <c r="I574" i="27"/>
  <c r="J574" i="27"/>
  <c r="J564" i="27"/>
  <c r="I564" i="27"/>
  <c r="I18" i="27"/>
  <c r="I42" i="27"/>
  <c r="I60" i="27"/>
  <c r="I84" i="27"/>
  <c r="I103" i="27"/>
  <c r="I121" i="27"/>
  <c r="I144" i="27"/>
  <c r="I163" i="27"/>
  <c r="I188" i="27"/>
  <c r="I209" i="27"/>
  <c r="I230" i="27"/>
  <c r="I671" i="27"/>
  <c r="I692" i="27"/>
  <c r="I715" i="27"/>
  <c r="I696" i="27"/>
  <c r="I757" i="27"/>
  <c r="I778" i="27"/>
  <c r="I758" i="27"/>
  <c r="I813" i="27"/>
  <c r="I1043" i="27"/>
  <c r="I1061" i="27"/>
  <c r="I1082" i="27"/>
  <c r="I933" i="27"/>
  <c r="J933" i="27"/>
  <c r="J356" i="27"/>
  <c r="I356" i="27"/>
  <c r="I489" i="27"/>
  <c r="J489" i="27"/>
  <c r="I566" i="27"/>
  <c r="J566" i="27"/>
  <c r="J366" i="27"/>
  <c r="I366" i="27"/>
  <c r="I353" i="27"/>
  <c r="J353" i="27"/>
  <c r="J956" i="27"/>
  <c r="I956" i="27"/>
  <c r="I911" i="27"/>
  <c r="J911" i="27"/>
  <c r="J916" i="27"/>
  <c r="I916" i="27"/>
  <c r="I912" i="27"/>
  <c r="J912" i="27"/>
  <c r="J350" i="27"/>
  <c r="I350" i="27"/>
  <c r="I490" i="27"/>
  <c r="J490" i="27"/>
  <c r="J495" i="27"/>
  <c r="I495" i="27"/>
  <c r="I861" i="27"/>
  <c r="I880" i="27"/>
  <c r="J880" i="27"/>
  <c r="J965" i="27"/>
  <c r="I965" i="27"/>
  <c r="I874" i="27"/>
  <c r="J874" i="27"/>
  <c r="J245" i="27"/>
  <c r="I245" i="27"/>
  <c r="I259" i="27"/>
  <c r="J259" i="27"/>
  <c r="J793" i="27"/>
  <c r="J891" i="27"/>
  <c r="I891" i="27"/>
  <c r="I451" i="27"/>
  <c r="J451" i="27"/>
  <c r="J472" i="27"/>
  <c r="I472" i="27"/>
  <c r="I554" i="27"/>
  <c r="J554" i="27"/>
  <c r="J313" i="27"/>
  <c r="I313" i="27"/>
  <c r="J839" i="27"/>
  <c r="I839" i="27"/>
  <c r="J425" i="27"/>
  <c r="I425" i="27"/>
  <c r="I441" i="27"/>
  <c r="J441" i="27"/>
  <c r="J515" i="27"/>
  <c r="I515" i="27"/>
  <c r="J359" i="27"/>
  <c r="I359" i="27"/>
  <c r="I858" i="27"/>
  <c r="J858" i="27"/>
  <c r="J585" i="27"/>
  <c r="I585" i="27"/>
  <c r="I589" i="27"/>
  <c r="J589" i="27"/>
  <c r="I488" i="27"/>
  <c r="J488" i="27"/>
  <c r="I12" i="27"/>
  <c r="I33" i="27"/>
  <c r="I53" i="27"/>
  <c r="I75" i="27"/>
  <c r="I95" i="27"/>
  <c r="I114" i="27"/>
  <c r="I135" i="27"/>
  <c r="I157" i="27"/>
  <c r="I180" i="27"/>
  <c r="I199" i="27"/>
  <c r="I222" i="27"/>
  <c r="I663" i="27"/>
  <c r="I685" i="27"/>
  <c r="I707" i="27"/>
  <c r="I732" i="27"/>
  <c r="I748" i="27"/>
  <c r="I771" i="27"/>
  <c r="I791" i="27"/>
  <c r="I804" i="27"/>
  <c r="I1034" i="27"/>
  <c r="I1053" i="27"/>
  <c r="I1076" i="27"/>
  <c r="I829" i="27"/>
  <c r="J829" i="27"/>
  <c r="J964" i="27"/>
  <c r="I964" i="27"/>
  <c r="I1020" i="27"/>
  <c r="J1020" i="27"/>
  <c r="J340" i="27"/>
  <c r="I340" i="27"/>
  <c r="I418" i="27"/>
  <c r="J418" i="27"/>
  <c r="I289" i="27"/>
  <c r="J289" i="27"/>
  <c r="J466" i="27"/>
  <c r="I466" i="27"/>
  <c r="I832" i="27"/>
  <c r="J832" i="27"/>
  <c r="J1023" i="27"/>
  <c r="I1023" i="27"/>
  <c r="I850" i="27"/>
  <c r="J850" i="27"/>
  <c r="J630" i="27"/>
  <c r="I630" i="27"/>
  <c r="I399" i="27"/>
  <c r="J399" i="27"/>
  <c r="J895" i="27"/>
  <c r="I895" i="27"/>
  <c r="J987" i="27"/>
  <c r="I987" i="27"/>
  <c r="I388" i="27"/>
  <c r="J388" i="27"/>
  <c r="J652" i="27"/>
  <c r="I652" i="27"/>
  <c r="I240" i="27"/>
  <c r="J240" i="27"/>
  <c r="I261" i="27"/>
  <c r="J261" i="27"/>
  <c r="I518" i="27"/>
  <c r="J518" i="27"/>
  <c r="I901" i="27"/>
  <c r="J901" i="27"/>
  <c r="J306" i="27"/>
  <c r="I306" i="27"/>
  <c r="I381" i="27"/>
  <c r="J381" i="27"/>
  <c r="J535" i="27"/>
  <c r="I535" i="27"/>
  <c r="J855" i="27"/>
  <c r="J823" i="27"/>
  <c r="J1026" i="27"/>
  <c r="J927" i="27"/>
  <c r="J937" i="27"/>
  <c r="J1024" i="27"/>
  <c r="J1000" i="27"/>
  <c r="J986" i="27"/>
  <c r="J884" i="27"/>
  <c r="J981" i="27"/>
  <c r="J865" i="27"/>
  <c r="J948" i="27"/>
  <c r="J842" i="27"/>
  <c r="J873" i="27"/>
  <c r="J408" i="27"/>
  <c r="J429" i="27"/>
  <c r="J437" i="27"/>
  <c r="J368" i="27"/>
  <c r="J377" i="27"/>
  <c r="J354" i="27"/>
  <c r="J250" i="27"/>
  <c r="J509" i="27"/>
  <c r="J431" i="27"/>
  <c r="J569" i="27"/>
  <c r="J610" i="27"/>
  <c r="J394" i="27"/>
  <c r="J251" i="27"/>
  <c r="J260" i="27"/>
  <c r="J237" i="27"/>
  <c r="J573" i="27"/>
  <c r="J235" i="27"/>
  <c r="J533" i="27"/>
  <c r="J577" i="27"/>
  <c r="J433" i="27"/>
  <c r="J469" i="27"/>
  <c r="J576" i="27"/>
  <c r="J851" i="27"/>
  <c r="J831" i="27"/>
  <c r="J928" i="27"/>
  <c r="J922" i="27"/>
  <c r="J999" i="27"/>
  <c r="J959" i="27"/>
  <c r="J904" i="27"/>
  <c r="J917" i="27"/>
  <c r="J1011" i="27"/>
  <c r="J870" i="27"/>
  <c r="J913" i="27"/>
  <c r="J993" i="27"/>
  <c r="J879" i="27"/>
  <c r="J449" i="27"/>
  <c r="J389" i="27"/>
  <c r="J384" i="27"/>
  <c r="J247" i="27"/>
  <c r="J648" i="27"/>
  <c r="J376" i="27"/>
  <c r="J586" i="27"/>
  <c r="J527" i="27"/>
  <c r="J507" i="27"/>
  <c r="J288" i="27"/>
  <c r="J422" i="27"/>
  <c r="J274" i="27"/>
  <c r="J412" i="27"/>
  <c r="J395" i="27"/>
  <c r="J233" i="27"/>
  <c r="J242" i="27"/>
  <c r="J513" i="27"/>
  <c r="J597" i="27"/>
  <c r="J598" i="27"/>
  <c r="J362" i="27"/>
  <c r="J828" i="27"/>
  <c r="J821" i="27"/>
  <c r="J1017" i="27"/>
  <c r="J941" i="27"/>
  <c r="J991" i="27"/>
  <c r="J930" i="27"/>
  <c r="J1002" i="27"/>
  <c r="J877" i="27"/>
  <c r="J1009" i="27"/>
  <c r="J979" i="27"/>
  <c r="J976" i="27"/>
  <c r="J1014" i="27"/>
  <c r="J1027" i="27"/>
  <c r="J324" i="27"/>
  <c r="J364" i="27"/>
  <c r="J319" i="27"/>
  <c r="J462" i="27"/>
  <c r="J310" i="27"/>
  <c r="J305" i="27"/>
  <c r="J243" i="27"/>
  <c r="J311" i="27"/>
  <c r="J338" i="27"/>
  <c r="J342" i="27"/>
  <c r="J294" i="27"/>
  <c r="J280" i="27"/>
  <c r="J644" i="27"/>
  <c r="J544" i="27"/>
  <c r="J571" i="27"/>
  <c r="J592" i="27"/>
  <c r="J639" i="27"/>
  <c r="J455" i="27"/>
  <c r="J496" i="27"/>
  <c r="J460" i="27"/>
  <c r="J516" i="27"/>
  <c r="J360" i="27"/>
  <c r="J595" i="27"/>
  <c r="J361" i="27"/>
  <c r="J252" i="27"/>
  <c r="J968" i="27"/>
  <c r="J936" i="27"/>
  <c r="J996" i="27"/>
  <c r="J958" i="27"/>
  <c r="J1016" i="27"/>
  <c r="J862" i="27"/>
  <c r="J1004" i="27"/>
  <c r="J975" i="27"/>
  <c r="J838" i="27"/>
  <c r="J967" i="27"/>
  <c r="J867" i="27"/>
  <c r="J390" i="27"/>
  <c r="J608" i="27"/>
  <c r="J444" i="27"/>
  <c r="J439" i="27"/>
  <c r="J375" i="27"/>
  <c r="J606" i="27"/>
  <c r="J546" i="27"/>
  <c r="J391" i="27"/>
  <c r="J450" i="27"/>
  <c r="J550" i="27"/>
  <c r="J349" i="27"/>
  <c r="J419" i="27"/>
  <c r="J401" i="27"/>
  <c r="J253" i="27"/>
  <c r="J256" i="27"/>
  <c r="J593" i="27"/>
  <c r="J494" i="27"/>
  <c r="J497" i="27"/>
  <c r="J517" i="27"/>
  <c r="J541" i="27"/>
  <c r="J287" i="27"/>
  <c r="J607" i="27"/>
  <c r="J258" i="27"/>
  <c r="J392" i="27"/>
  <c r="J267" i="27"/>
  <c r="J239" i="27"/>
  <c r="J861" i="27"/>
  <c r="J852" i="27"/>
  <c r="J942" i="27"/>
  <c r="J997" i="27"/>
  <c r="J985" i="27"/>
  <c r="J946" i="27"/>
  <c r="J848" i="27"/>
  <c r="J1006" i="27"/>
  <c r="J994" i="27"/>
  <c r="J869" i="27"/>
  <c r="J826" i="27"/>
  <c r="J1007" i="27"/>
  <c r="J1021" i="27"/>
  <c r="J326" i="27"/>
  <c r="J263" i="27"/>
  <c r="J318" i="27"/>
  <c r="J485" i="27"/>
  <c r="J482" i="27"/>
  <c r="J351" i="27"/>
  <c r="J646" i="27"/>
  <c r="J296" i="27"/>
  <c r="J301" i="27"/>
  <c r="J279" i="27"/>
  <c r="J543" i="27"/>
  <c r="J281" i="27"/>
  <c r="J464" i="27"/>
  <c r="J524" i="27"/>
  <c r="J531" i="27"/>
  <c r="J615" i="27"/>
  <c r="J512" i="27"/>
  <c r="J616" i="27"/>
  <c r="J560" i="27"/>
  <c r="J538" i="27"/>
  <c r="J330" i="27"/>
  <c r="J357" i="27"/>
  <c r="J603" i="27"/>
  <c r="J321" i="27"/>
  <c r="J336" i="27"/>
  <c r="J491" i="27"/>
  <c r="J906" i="27"/>
  <c r="J844" i="27"/>
  <c r="J970" i="27"/>
  <c r="J924" i="27"/>
  <c r="J908" i="27"/>
  <c r="J992" i="27"/>
  <c r="J902" i="27"/>
  <c r="J878" i="27"/>
  <c r="J876" i="27"/>
  <c r="J1022" i="27"/>
  <c r="J872" i="27"/>
  <c r="J934" i="27"/>
  <c r="J998" i="27"/>
  <c r="J448" i="27"/>
  <c r="J367" i="27"/>
  <c r="J588" i="27"/>
  <c r="J438" i="27"/>
  <c r="J373" i="27"/>
  <c r="J440" i="27"/>
  <c r="J348" i="27"/>
  <c r="J369" i="27"/>
  <c r="J385" i="27"/>
  <c r="J549" i="27"/>
  <c r="J417" i="27"/>
  <c r="J627" i="27"/>
  <c r="J416" i="27"/>
  <c r="J432" i="27"/>
  <c r="J262" i="27"/>
  <c r="J238" i="27"/>
  <c r="J594" i="27"/>
  <c r="J473" i="27"/>
  <c r="J520" i="27"/>
  <c r="J453" i="27"/>
  <c r="J561" i="27"/>
  <c r="J427" i="27"/>
  <c r="J567" i="27"/>
  <c r="J534" i="27"/>
  <c r="J468" i="27"/>
  <c r="J273" i="27"/>
  <c r="J498" i="27"/>
  <c r="J914" i="27"/>
  <c r="J882" i="27"/>
  <c r="J978" i="27"/>
  <c r="J868" i="27"/>
  <c r="J949" i="27"/>
  <c r="J871" i="27"/>
  <c r="J863" i="27"/>
  <c r="J325" i="27"/>
  <c r="J304" i="27"/>
  <c r="J562" i="27"/>
  <c r="J327" i="27"/>
  <c r="J565" i="27"/>
  <c r="J626" i="27"/>
  <c r="J312" i="27"/>
  <c r="J300" i="27"/>
  <c r="J264" i="27"/>
  <c r="J297" i="27"/>
  <c r="J275" i="27"/>
  <c r="J624" i="27"/>
  <c r="J292" i="27"/>
  <c r="J511" i="27"/>
  <c r="J572" i="27"/>
  <c r="J635" i="27"/>
  <c r="J612" i="27"/>
  <c r="J637" i="27"/>
  <c r="J536" i="27"/>
  <c r="J461" i="27"/>
  <c r="J625" i="27"/>
  <c r="J643" i="27"/>
  <c r="J555" i="27"/>
  <c r="J642" i="27"/>
  <c r="J302" i="27"/>
  <c r="J556" i="27"/>
  <c r="C34" i="22"/>
  <c r="H34" i="22" s="1"/>
  <c r="K34" i="22" s="1"/>
  <c r="C2" i="22"/>
  <c r="P21" i="22"/>
  <c r="P3" i="22"/>
  <c r="B4" i="22"/>
  <c r="D4" i="22" s="1"/>
  <c r="P12" i="22"/>
  <c r="P10" i="22"/>
  <c r="P17" i="22"/>
  <c r="B3" i="22"/>
  <c r="D3" i="22" s="1"/>
  <c r="P7" i="22"/>
  <c r="P4" i="22"/>
  <c r="P14" i="22"/>
  <c r="P18" i="22"/>
  <c r="B11" i="22"/>
  <c r="D11" i="22" s="1"/>
  <c r="P15" i="22"/>
  <c r="P19" i="22"/>
  <c r="P2" i="22"/>
  <c r="P20" i="22"/>
  <c r="P9" i="22"/>
  <c r="T43" i="21"/>
  <c r="R43" i="21"/>
  <c r="Q43" i="21"/>
  <c r="S43" i="21" s="1"/>
  <c r="P43" i="21"/>
  <c r="M43" i="21"/>
  <c r="O43" i="21" s="1"/>
  <c r="L43" i="21"/>
  <c r="N43" i="21" s="1"/>
  <c r="D23" i="21"/>
  <c r="T38" i="21"/>
  <c r="R38" i="21"/>
  <c r="Q38" i="21"/>
  <c r="S38" i="21" s="1"/>
  <c r="P38" i="21"/>
  <c r="M38" i="21"/>
  <c r="O38" i="21" s="1"/>
  <c r="L38" i="21"/>
  <c r="N38" i="21" s="1"/>
  <c r="R26" i="21"/>
  <c r="Q26" i="21"/>
  <c r="S26" i="21" s="1"/>
  <c r="P26" i="21"/>
  <c r="M26" i="21"/>
  <c r="O26" i="21" s="1"/>
  <c r="L26" i="21"/>
  <c r="N26" i="21" s="1"/>
  <c r="T26" i="21"/>
  <c r="T39" i="21"/>
  <c r="R39" i="21"/>
  <c r="Q39" i="21"/>
  <c r="S39" i="21" s="1"/>
  <c r="P39" i="21"/>
  <c r="M39" i="21"/>
  <c r="O39" i="21" s="1"/>
  <c r="L39" i="21"/>
  <c r="N39" i="21" s="1"/>
  <c r="R20" i="21"/>
  <c r="P20" i="21"/>
  <c r="M20" i="21"/>
  <c r="O20" i="21" s="1"/>
  <c r="L20" i="21"/>
  <c r="N20" i="21" s="1"/>
  <c r="T20" i="21"/>
  <c r="Q20" i="21"/>
  <c r="S20" i="21" s="1"/>
  <c r="T24" i="21"/>
  <c r="R24" i="21"/>
  <c r="Q24" i="21"/>
  <c r="S24" i="21" s="1"/>
  <c r="P24" i="21"/>
  <c r="M24" i="21"/>
  <c r="O24" i="21" s="1"/>
  <c r="L24" i="21"/>
  <c r="N24" i="21" s="1"/>
  <c r="P29" i="21"/>
  <c r="M29" i="21"/>
  <c r="O29" i="21" s="1"/>
  <c r="L29" i="21"/>
  <c r="N29" i="21" s="1"/>
  <c r="T29" i="21"/>
  <c r="R29" i="21"/>
  <c r="Q29" i="21"/>
  <c r="S29" i="21" s="1"/>
  <c r="P35" i="21"/>
  <c r="M35" i="21"/>
  <c r="O35" i="21" s="1"/>
  <c r="L35" i="21"/>
  <c r="N35" i="21" s="1"/>
  <c r="T35" i="21"/>
  <c r="R35" i="21"/>
  <c r="Q35" i="21"/>
  <c r="S35" i="21" s="1"/>
  <c r="B12" i="21"/>
  <c r="C13" i="21"/>
  <c r="K12" i="21"/>
  <c r="J12" i="21" s="1"/>
  <c r="I12" i="21"/>
  <c r="H12" i="21" s="1"/>
  <c r="G12" i="21"/>
  <c r="F12" i="21" s="1"/>
  <c r="E12" i="21"/>
  <c r="D12" i="21" s="1"/>
  <c r="R41" i="21"/>
  <c r="P41" i="21"/>
  <c r="Q41" i="21"/>
  <c r="S41" i="21" s="1"/>
  <c r="M41" i="21"/>
  <c r="O41" i="21" s="1"/>
  <c r="L41" i="21"/>
  <c r="N41" i="21" s="1"/>
  <c r="T41" i="21"/>
  <c r="E31" i="21"/>
  <c r="G22" i="21"/>
  <c r="E36" i="21"/>
  <c r="E23" i="21"/>
  <c r="F22" i="21"/>
  <c r="E27" i="21"/>
  <c r="P22" i="21"/>
  <c r="M22" i="21"/>
  <c r="O22" i="21" s="1"/>
  <c r="L22" i="21"/>
  <c r="N22" i="21" s="1"/>
  <c r="T22" i="21"/>
  <c r="R22" i="21"/>
  <c r="Q22" i="21"/>
  <c r="S22" i="21" s="1"/>
  <c r="T42" i="21"/>
  <c r="R42" i="21"/>
  <c r="Q42" i="21"/>
  <c r="S42" i="21" s="1"/>
  <c r="P42" i="21"/>
  <c r="M42" i="21"/>
  <c r="O42" i="21" s="1"/>
  <c r="L42" i="21"/>
  <c r="N42" i="21" s="1"/>
  <c r="E9" i="21"/>
  <c r="D9" i="21" s="1"/>
  <c r="R19" i="21"/>
  <c r="R21" i="21"/>
  <c r="T25" i="21"/>
  <c r="L28" i="21"/>
  <c r="N28" i="21" s="1"/>
  <c r="P30" i="21"/>
  <c r="M33" i="21"/>
  <c r="O33" i="21" s="1"/>
  <c r="R34" i="21"/>
  <c r="K10" i="21"/>
  <c r="J10" i="21" s="1"/>
  <c r="C25" i="21"/>
  <c r="B26" i="21"/>
  <c r="G9" i="21"/>
  <c r="F9" i="21" s="1"/>
  <c r="B27" i="21"/>
  <c r="P32" i="21"/>
  <c r="C21" i="21"/>
  <c r="Q32" i="21"/>
  <c r="S32" i="21" s="1"/>
  <c r="P33" i="21"/>
  <c r="L37" i="21"/>
  <c r="N37" i="21" s="1"/>
  <c r="I9" i="21"/>
  <c r="H9" i="21" s="1"/>
  <c r="C11" i="21"/>
  <c r="C14" i="21"/>
  <c r="D21" i="21"/>
  <c r="C22" i="21"/>
  <c r="P28" i="21"/>
  <c r="R32" i="21"/>
  <c r="Q33" i="21"/>
  <c r="S33" i="21" s="1"/>
  <c r="C35" i="21"/>
  <c r="B36" i="21"/>
  <c r="M37" i="21"/>
  <c r="O37" i="21" s="1"/>
  <c r="E5" i="21"/>
  <c r="D5" i="21" s="1"/>
  <c r="E8" i="21"/>
  <c r="D8" i="21" s="1"/>
  <c r="F20" i="21"/>
  <c r="E21" i="21"/>
  <c r="D22" i="21"/>
  <c r="B31" i="21"/>
  <c r="R33" i="21"/>
  <c r="G20" i="21"/>
  <c r="R28" i="21"/>
  <c r="B32" i="21"/>
  <c r="T32" i="21"/>
  <c r="T33" i="21"/>
  <c r="P37" i="21"/>
  <c r="B10" i="21"/>
  <c r="L25" i="21"/>
  <c r="N25" i="21" s="1"/>
  <c r="Q37" i="21"/>
  <c r="S37" i="21" s="1"/>
  <c r="I5" i="21"/>
  <c r="H5" i="21" s="1"/>
  <c r="I8" i="21"/>
  <c r="H8" i="21" s="1"/>
  <c r="M25" i="21"/>
  <c r="O25" i="21" s="1"/>
  <c r="R37" i="21"/>
  <c r="L19" i="21"/>
  <c r="N19" i="21" s="1"/>
  <c r="L21" i="21"/>
  <c r="N21" i="21" s="1"/>
  <c r="L34" i="21"/>
  <c r="N34" i="21" s="1"/>
  <c r="E10" i="21"/>
  <c r="D10" i="21" s="1"/>
  <c r="M19" i="21"/>
  <c r="O19" i="21" s="1"/>
  <c r="M21" i="21"/>
  <c r="O21" i="21" s="1"/>
  <c r="M34" i="21"/>
  <c r="O34" i="21" s="1"/>
  <c r="I10" i="21"/>
  <c r="H10" i="21" s="1"/>
  <c r="F31" i="21" l="1"/>
  <c r="F36" i="21"/>
  <c r="F27" i="21"/>
  <c r="D31" i="21"/>
  <c r="D36" i="21"/>
  <c r="D27" i="21"/>
  <c r="K11" i="21"/>
  <c r="J11" i="21" s="1"/>
  <c r="I11" i="21"/>
  <c r="H11" i="21" s="1"/>
  <c r="G11" i="21"/>
  <c r="F11" i="21" s="1"/>
  <c r="E11" i="21"/>
  <c r="D11" i="21" s="1"/>
  <c r="B11" i="21"/>
  <c r="E32" i="21"/>
  <c r="G21" i="21"/>
  <c r="F21" i="21"/>
  <c r="E37" i="21"/>
  <c r="E26" i="21"/>
  <c r="G31" i="21"/>
  <c r="G36" i="21"/>
  <c r="G27" i="21"/>
  <c r="C37" i="21"/>
  <c r="C32" i="21"/>
  <c r="C26" i="21"/>
  <c r="E38" i="21"/>
  <c r="E28" i="21"/>
  <c r="E33" i="21"/>
  <c r="G23" i="21"/>
  <c r="F23" i="21"/>
  <c r="G30" i="21"/>
  <c r="G35" i="21"/>
  <c r="G25" i="21"/>
  <c r="E13" i="21"/>
  <c r="D13" i="21" s="1"/>
  <c r="G13" i="21"/>
  <c r="F13" i="21" s="1"/>
  <c r="B13" i="21"/>
  <c r="K13" i="21"/>
  <c r="J13" i="21" s="1"/>
  <c r="I13" i="21"/>
  <c r="H13" i="21" s="1"/>
  <c r="F30" i="21"/>
  <c r="F35" i="21"/>
  <c r="F25" i="21"/>
  <c r="D28" i="21"/>
  <c r="D33" i="21"/>
  <c r="D38" i="21"/>
  <c r="C31" i="21"/>
  <c r="C36" i="21"/>
  <c r="C23" i="21"/>
  <c r="C27" i="21"/>
  <c r="D37" i="21"/>
  <c r="D32" i="21"/>
  <c r="D26" i="21"/>
  <c r="K14" i="21"/>
  <c r="J14" i="21" s="1"/>
  <c r="C15" i="21"/>
  <c r="I14" i="21"/>
  <c r="H14" i="21" s="1"/>
  <c r="G14" i="21"/>
  <c r="F14" i="21" s="1"/>
  <c r="E14" i="21"/>
  <c r="D14" i="21" s="1"/>
  <c r="B14" i="21"/>
  <c r="B15" i="21" l="1"/>
  <c r="K15" i="21"/>
  <c r="J15" i="21" s="1"/>
  <c r="I15" i="21"/>
  <c r="H15" i="21" s="1"/>
  <c r="G15" i="21"/>
  <c r="F15" i="21" s="1"/>
  <c r="E15" i="21"/>
  <c r="D15" i="21" s="1"/>
  <c r="G32" i="21"/>
  <c r="G26" i="21"/>
  <c r="G37" i="21"/>
  <c r="G33" i="21"/>
  <c r="G38" i="21"/>
  <c r="G28" i="21"/>
  <c r="F37" i="21"/>
  <c r="F32" i="21"/>
  <c r="F26" i="21"/>
  <c r="C38" i="21"/>
  <c r="C28" i="21"/>
  <c r="C33" i="21"/>
  <c r="F28" i="21"/>
  <c r="F33" i="21"/>
  <c r="F38" i="21"/>
  <c r="K9" i="19" l="1"/>
  <c r="L9" i="19" s="1"/>
  <c r="K10" i="19"/>
  <c r="L10" i="19" s="1"/>
  <c r="K11" i="19"/>
  <c r="L11" i="19" s="1"/>
  <c r="K12" i="19"/>
  <c r="L12" i="19" s="1"/>
  <c r="K13" i="19"/>
  <c r="L13" i="19" s="1"/>
  <c r="K14" i="19"/>
  <c r="L14" i="19" s="1"/>
  <c r="K15" i="19"/>
  <c r="L15" i="19" s="1"/>
  <c r="K16" i="19"/>
  <c r="L16" i="19" s="1"/>
  <c r="K2" i="19"/>
  <c r="L2" i="19" s="1"/>
  <c r="K3" i="19"/>
  <c r="L3" i="19" s="1"/>
  <c r="K4" i="19"/>
  <c r="L4" i="19" s="1"/>
  <c r="K5" i="19"/>
  <c r="L5" i="19" s="1"/>
  <c r="K6" i="19"/>
  <c r="L6" i="19" s="1"/>
  <c r="K7" i="19"/>
  <c r="L7" i="19" s="1"/>
  <c r="K8" i="19"/>
  <c r="L8" i="19" s="1"/>
  <c r="K1" i="19"/>
  <c r="L1" i="19" s="1"/>
  <c r="I1" i="19"/>
  <c r="I2" i="19"/>
  <c r="I3" i="19"/>
  <c r="I4" i="19"/>
  <c r="I5" i="19"/>
  <c r="I6" i="19"/>
  <c r="I7" i="19"/>
  <c r="I8" i="19"/>
  <c r="C18" i="19"/>
  <c r="C17" i="19"/>
  <c r="C16" i="19"/>
  <c r="C15" i="19"/>
  <c r="C14" i="19"/>
  <c r="C13" i="19"/>
  <c r="C11" i="19"/>
  <c r="C10" i="19"/>
  <c r="C9" i="19"/>
  <c r="C8" i="19"/>
  <c r="B7" i="19"/>
  <c r="C7" i="19" s="1"/>
  <c r="B6" i="19"/>
  <c r="C6" i="19" s="1"/>
  <c r="B5" i="19"/>
  <c r="C5" i="19" s="1"/>
  <c r="B4" i="19"/>
  <c r="C4" i="19" s="1"/>
  <c r="B3" i="19"/>
  <c r="C3" i="19" s="1"/>
  <c r="B2" i="19"/>
  <c r="C2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B99B31-C154-4D8E-8074-A022F6C894F3}" keepAlive="1" name="Query - start_points" description="Connection to the 'start_points' query in the workbook." type="5" refreshedVersion="8" background="1" saveData="1">
    <dbPr connection="Provider=Microsoft.Mashup.OleDb.1;Data Source=$Workbook$;Location=start_points;Extended Properties=&quot;&quot;" command="SELECT * FROM [start_points]"/>
  </connection>
  <connection id="2" xr16:uid="{A1EF9A9B-B046-4245-98CA-ADB8FE21AA75}" keepAlive="1" name="Query - trypoints" description="Connection to the 'trypoints' query in the workbook." type="5" refreshedVersion="8" background="1" saveData="1">
    <dbPr connection="Provider=Microsoft.Mashup.OleDb.1;Data Source=$Workbook$;Location=trypoints;Extended Properties=&quot;&quot;" command="SELECT * FROM [trypoints]"/>
  </connection>
</connections>
</file>

<file path=xl/sharedStrings.xml><?xml version="1.0" encoding="utf-8"?>
<sst xmlns="http://schemas.openxmlformats.org/spreadsheetml/2006/main" count="2931" uniqueCount="244">
  <si>
    <t>LOC</t>
  </si>
  <si>
    <t>LAT</t>
  </si>
  <si>
    <t>LON</t>
  </si>
  <si>
    <t>DICT</t>
  </si>
  <si>
    <t>B</t>
  </si>
  <si>
    <t>Miles</t>
  </si>
  <si>
    <t>Feet</t>
  </si>
  <si>
    <t>45 90 45</t>
  </si>
  <si>
    <t>72 36 72</t>
  </si>
  <si>
    <t>72 90 18</t>
  </si>
  <si>
    <t>PO</t>
  </si>
  <si>
    <t>AN</t>
  </si>
  <si>
    <t>magicnums:</t>
  </si>
  <si>
    <t>frac</t>
  </si>
  <si>
    <t>NOTE</t>
  </si>
  <si>
    <t>val</t>
  </si>
  <si>
    <t>K</t>
  </si>
  <si>
    <t>J</t>
  </si>
  <si>
    <t>ft</t>
  </si>
  <si>
    <t>mi</t>
  </si>
  <si>
    <t>radphi</t>
  </si>
  <si>
    <t>rad2radphi</t>
  </si>
  <si>
    <t>Fraction</t>
  </si>
  <si>
    <t>one</t>
  </si>
  <si>
    <t>phi+</t>
  </si>
  <si>
    <t>phi-</t>
  </si>
  <si>
    <t>phi+/2</t>
  </si>
  <si>
    <t>phi-/2</t>
  </si>
  <si>
    <t>rad2</t>
  </si>
  <si>
    <t>rad3</t>
  </si>
  <si>
    <t>rad5</t>
  </si>
  <si>
    <t>rad3/2</t>
  </si>
  <si>
    <t>Miles:</t>
  </si>
  <si>
    <t>Feet:</t>
  </si>
  <si>
    <t>Poles</t>
  </si>
  <si>
    <t>Poles:</t>
  </si>
  <si>
    <t>Chains:</t>
  </si>
  <si>
    <t>Chains</t>
  </si>
  <si>
    <t>WH</t>
  </si>
  <si>
    <t>Cntr</t>
  </si>
  <si>
    <t>Cap</t>
  </si>
  <si>
    <t>Key</t>
  </si>
  <si>
    <t>JP</t>
  </si>
  <si>
    <t>WHKey</t>
  </si>
  <si>
    <t>CntrCap</t>
  </si>
  <si>
    <t>CapKey</t>
  </si>
  <si>
    <t>phi-rad2</t>
  </si>
  <si>
    <t>phi+rad2</t>
  </si>
  <si>
    <t xml:space="preserve">JP </t>
  </si>
  <si>
    <t>div</t>
  </si>
  <si>
    <t>golden angle:</t>
  </si>
  <si>
    <t>TRIANGLES</t>
  </si>
  <si>
    <t>Type</t>
  </si>
  <si>
    <t>a</t>
  </si>
  <si>
    <t>b</t>
  </si>
  <si>
    <t>c</t>
  </si>
  <si>
    <t>Sides</t>
  </si>
  <si>
    <t>r2 r3 r5</t>
  </si>
  <si>
    <t>s</t>
  </si>
  <si>
    <t>rads/pi</t>
  </si>
  <si>
    <t>Angles</t>
  </si>
  <si>
    <t>30 60 90</t>
  </si>
  <si>
    <t>r2 r2 1</t>
  </si>
  <si>
    <t>1 2 r5</t>
  </si>
  <si>
    <t>18 72 90</t>
  </si>
  <si>
    <t>36 54 90</t>
  </si>
  <si>
    <t>1 phi phi^2</t>
  </si>
  <si>
    <t>DISTANCE</t>
  </si>
  <si>
    <t>ANGLES</t>
  </si>
  <si>
    <t xml:space="preserve">PEN </t>
  </si>
  <si>
    <t>C AN</t>
  </si>
  <si>
    <t>PEN S</t>
  </si>
  <si>
    <t>PEN PO</t>
  </si>
  <si>
    <t>2*phi*rad3</t>
  </si>
  <si>
    <t>an.C.s</t>
  </si>
  <si>
    <t>N PO</t>
  </si>
  <si>
    <t>n.CAP.key</t>
  </si>
  <si>
    <t>KEY W</t>
  </si>
  <si>
    <t>KEY RC</t>
  </si>
  <si>
    <t>C RC</t>
  </si>
  <si>
    <t>an.PO.s</t>
  </si>
  <si>
    <t>CAP RC</t>
  </si>
  <si>
    <t>KEY S</t>
  </si>
  <si>
    <t>CAP S</t>
  </si>
  <si>
    <t>C N</t>
  </si>
  <si>
    <t>C W</t>
  </si>
  <si>
    <t>C S</t>
  </si>
  <si>
    <t>C E</t>
  </si>
  <si>
    <t>NO 7.071</t>
  </si>
  <si>
    <t>an.S.po</t>
  </si>
  <si>
    <t>N AN</t>
  </si>
  <si>
    <t>c.PO.pen</t>
  </si>
  <si>
    <t>PEN E</t>
  </si>
  <si>
    <t>PEN RC</t>
  </si>
  <si>
    <t>PEN N</t>
  </si>
  <si>
    <t>rad3 =</t>
  </si>
  <si>
    <t>phi*rad3 =</t>
  </si>
  <si>
    <t>M Cap</t>
  </si>
  <si>
    <t>ALT</t>
  </si>
  <si>
    <t>W</t>
  </si>
  <si>
    <t>M</t>
  </si>
  <si>
    <t>Hk</t>
  </si>
  <si>
    <t>CAP:</t>
  </si>
  <si>
    <t>M,K,J,W,C</t>
  </si>
  <si>
    <t>R3</t>
  </si>
  <si>
    <t>R3/2</t>
  </si>
  <si>
    <t>1/R2</t>
  </si>
  <si>
    <t>FIp^2</t>
  </si>
  <si>
    <t>FIpR2</t>
  </si>
  <si>
    <t>FIp/R2</t>
  </si>
  <si>
    <t>FIp*R3</t>
  </si>
  <si>
    <t>FIp*R3/2</t>
  </si>
  <si>
    <t>FIm^2</t>
  </si>
  <si>
    <t>FImR2</t>
  </si>
  <si>
    <t>FIm/R2</t>
  </si>
  <si>
    <t>FIm*R3</t>
  </si>
  <si>
    <t>FIm*R3/2</t>
  </si>
  <si>
    <t>FIp</t>
  </si>
  <si>
    <t>FIm</t>
  </si>
  <si>
    <t>R2</t>
  </si>
  <si>
    <t>R (river):</t>
  </si>
  <si>
    <t>Nb</t>
  </si>
  <si>
    <t>Sb</t>
  </si>
  <si>
    <t>Wb</t>
  </si>
  <si>
    <t>Eb</t>
  </si>
  <si>
    <t>Nc</t>
  </si>
  <si>
    <t>Sc</t>
  </si>
  <si>
    <t>Wc</t>
  </si>
  <si>
    <t>Ec</t>
  </si>
  <si>
    <t>RK</t>
  </si>
  <si>
    <t>K30, AN45</t>
  </si>
  <si>
    <t>Fip*R3*2</t>
  </si>
  <si>
    <t>P</t>
  </si>
  <si>
    <t>Ac</t>
  </si>
  <si>
    <t>HawC</t>
  </si>
  <si>
    <t>HawK</t>
  </si>
  <si>
    <t>HawW</t>
  </si>
  <si>
    <t>RC</t>
  </si>
  <si>
    <t>Refpnt</t>
  </si>
  <si>
    <t xml:space="preserve"> Pnt</t>
  </si>
  <si>
    <t xml:space="preserve"> Az</t>
  </si>
  <si>
    <t xml:space="preserve"> Back</t>
  </si>
  <si>
    <t xml:space="preserve"> Dist</t>
  </si>
  <si>
    <t xml:space="preserve"> B</t>
  </si>
  <si>
    <t xml:space="preserve"> M</t>
  </si>
  <si>
    <t xml:space="preserve"> J</t>
  </si>
  <si>
    <t xml:space="preserve"> Hk</t>
  </si>
  <si>
    <t xml:space="preserve"> P</t>
  </si>
  <si>
    <t xml:space="preserve"> Nb</t>
  </si>
  <si>
    <t xml:space="preserve"> Sb</t>
  </si>
  <si>
    <t xml:space="preserve"> Wb</t>
  </si>
  <si>
    <t xml:space="preserve"> Eb</t>
  </si>
  <si>
    <t xml:space="preserve"> Nc</t>
  </si>
  <si>
    <t xml:space="preserve"> Sc</t>
  </si>
  <si>
    <t xml:space="preserve"> Wc</t>
  </si>
  <si>
    <t xml:space="preserve"> Ec</t>
  </si>
  <si>
    <t xml:space="preserve"> Ac</t>
  </si>
  <si>
    <t xml:space="preserve"> RK</t>
  </si>
  <si>
    <t xml:space="preserve"> HawC</t>
  </si>
  <si>
    <t xml:space="preserve"> HawK</t>
  </si>
  <si>
    <t xml:space="preserve"> HawW</t>
  </si>
  <si>
    <t xml:space="preserve"> PO</t>
  </si>
  <si>
    <t xml:space="preserve"> RC</t>
  </si>
  <si>
    <t xml:space="preserve"> AN</t>
  </si>
  <si>
    <t xml:space="preserve"> K</t>
  </si>
  <si>
    <t>CapO</t>
  </si>
  <si>
    <t xml:space="preserve"> CapN</t>
  </si>
  <si>
    <t xml:space="preserve"> CapM</t>
  </si>
  <si>
    <t xml:space="preserve"> CapL</t>
  </si>
  <si>
    <t xml:space="preserve"> CapK</t>
  </si>
  <si>
    <t xml:space="preserve"> CapJ</t>
  </si>
  <si>
    <t xml:space="preserve"> CapI</t>
  </si>
  <si>
    <t xml:space="preserve"> CapH</t>
  </si>
  <si>
    <t xml:space="preserve"> CapG</t>
  </si>
  <si>
    <t xml:space="preserve"> CapF</t>
  </si>
  <si>
    <t xml:space="preserve"> CapE</t>
  </si>
  <si>
    <t xml:space="preserve"> CapD</t>
  </si>
  <si>
    <t xml:space="preserve"> CapC</t>
  </si>
  <si>
    <t xml:space="preserve"> CapB</t>
  </si>
  <si>
    <t xml:space="preserve"> CapA</t>
  </si>
  <si>
    <t>CapN</t>
  </si>
  <si>
    <t xml:space="preserve"> CapO</t>
  </si>
  <si>
    <t>CapM</t>
  </si>
  <si>
    <t>CapL</t>
  </si>
  <si>
    <t>CapK</t>
  </si>
  <si>
    <t>CapJ</t>
  </si>
  <si>
    <t>CapI</t>
  </si>
  <si>
    <t>CapH</t>
  </si>
  <si>
    <t>CapG</t>
  </si>
  <si>
    <t>CapF</t>
  </si>
  <si>
    <t>CapE</t>
  </si>
  <si>
    <t>CapD</t>
  </si>
  <si>
    <t>CapC</t>
  </si>
  <si>
    <t>CapB</t>
  </si>
  <si>
    <t>CapA</t>
  </si>
  <si>
    <t>LP1</t>
  </si>
  <si>
    <t xml:space="preserve"> LP2</t>
  </si>
  <si>
    <t xml:space="preserve"> LP3</t>
  </si>
  <si>
    <t xml:space="preserve"> LP4</t>
  </si>
  <si>
    <t xml:space="preserve"> LP5</t>
  </si>
  <si>
    <t xml:space="preserve"> LP6</t>
  </si>
  <si>
    <t xml:space="preserve"> LP7</t>
  </si>
  <si>
    <t xml:space="preserve"> LP8</t>
  </si>
  <si>
    <t xml:space="preserve"> LP9</t>
  </si>
  <si>
    <t xml:space="preserve"> LPa</t>
  </si>
  <si>
    <t xml:space="preserve"> LPz</t>
  </si>
  <si>
    <t xml:space="preserve"> LPk</t>
  </si>
  <si>
    <t xml:space="preserve"> LPj</t>
  </si>
  <si>
    <t xml:space="preserve"> LPi</t>
  </si>
  <si>
    <t xml:space="preserve"> LPh</t>
  </si>
  <si>
    <t xml:space="preserve"> LPg</t>
  </si>
  <si>
    <t xml:space="preserve"> LPf</t>
  </si>
  <si>
    <t xml:space="preserve"> LPe</t>
  </si>
  <si>
    <t xml:space="preserve"> LPd</t>
  </si>
  <si>
    <t xml:space="preserve"> LPc</t>
  </si>
  <si>
    <t xml:space="preserve"> LPb</t>
  </si>
  <si>
    <t>LP2</t>
  </si>
  <si>
    <t xml:space="preserve"> LP1</t>
  </si>
  <si>
    <t>LP3</t>
  </si>
  <si>
    <t>LP4</t>
  </si>
  <si>
    <t>LP5</t>
  </si>
  <si>
    <t>LP6</t>
  </si>
  <si>
    <t>LP7</t>
  </si>
  <si>
    <t>LP8</t>
  </si>
  <si>
    <t>LP9</t>
  </si>
  <si>
    <t>LPa</t>
  </si>
  <si>
    <t>LPz</t>
  </si>
  <si>
    <t>LPk</t>
  </si>
  <si>
    <t>LPj</t>
  </si>
  <si>
    <t>LPi</t>
  </si>
  <si>
    <t>LPh</t>
  </si>
  <si>
    <t>LPg</t>
  </si>
  <si>
    <t>LPf</t>
  </si>
  <si>
    <t>LPe</t>
  </si>
  <si>
    <t>LPd</t>
  </si>
  <si>
    <t>LPc</t>
  </si>
  <si>
    <t>LPb</t>
  </si>
  <si>
    <t>feet</t>
  </si>
  <si>
    <t>Bold</t>
  </si>
  <si>
    <t>Italic</t>
  </si>
  <si>
    <t>Back*</t>
  </si>
  <si>
    <t>Az*</t>
  </si>
  <si>
    <t>REF</t>
  </si>
  <si>
    <t>TARG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</si>
</sst>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"/>
    <numFmt numFmtId="166" formatCode="0.0000"/>
    <numFmt numFmtId="167" formatCode="0.000"/>
    <numFmt numFmtId="168" formatCode="0.0000000"/>
    <numFmt numFmtId="169" formatCode="0.00000000"/>
    <numFmt numFmtId="170" formatCode="0.000000000"/>
  </numFmts>
  <fonts count="52">
    <font>
      <sz val="11"/>
      <color theme="1"/>
      <name val="Aptos Narrow"/>
      <family val="2"/>
      <scheme val="minor"/>
    </font>
    <font>
      <b/>
      <sz val="11"/>
      <color rgb="FFC00000"/>
      <name val="Aptos Narrow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i/>
      <sz val="11"/>
      <color theme="5" tint="-0.499984740745262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7030A0"/>
      <name val="Aptos Narrow"/>
      <family val="2"/>
      <scheme val="minor"/>
    </font>
    <font>
      <b/>
      <sz val="11"/>
      <color theme="5" tint="-0.249977111117893"/>
      <name val="Aptos Narrow"/>
      <scheme val="minor"/>
    </font>
    <font>
      <sz val="10"/>
      <name val="Aptos Narrow"/>
      <scheme val="minor"/>
    </font>
    <font>
      <b/>
      <sz val="11"/>
      <color rgb="FF0033CC"/>
      <name val="Aptos Narrow"/>
      <scheme val="minor"/>
    </font>
    <font>
      <sz val="11"/>
      <color rgb="FF0033CC"/>
      <name val="Aptos Narrow"/>
      <scheme val="minor"/>
    </font>
    <font>
      <sz val="11"/>
      <name val="Aptos Narrow"/>
      <scheme val="minor"/>
    </font>
    <font>
      <sz val="11"/>
      <color rgb="FFFF000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C901FF"/>
      <name val="Aptos Narrow"/>
      <family val="2"/>
      <scheme val="minor"/>
    </font>
    <font>
      <sz val="11"/>
      <color rgb="FF00FF00"/>
      <name val="Aptos Narrow"/>
      <family val="2"/>
      <scheme val="minor"/>
    </font>
    <font>
      <b/>
      <sz val="11"/>
      <color rgb="FF00FF00"/>
      <name val="Aptos Narrow"/>
      <family val="2"/>
      <scheme val="minor"/>
    </font>
    <font>
      <sz val="11"/>
      <color rgb="FFC901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11"/>
      <color rgb="FF0033CC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0"/>
      <name val="Aptos Narrow"/>
      <scheme val="minor"/>
    </font>
    <font>
      <i/>
      <sz val="11"/>
      <color theme="1"/>
      <name val="Aptos Narrow"/>
      <scheme val="minor"/>
    </font>
    <font>
      <i/>
      <sz val="10"/>
      <name val="Aptos Narrow"/>
      <scheme val="minor"/>
    </font>
    <font>
      <sz val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8" tint="-0.249977111117893"/>
      <name val="Aptos Narrow"/>
      <scheme val="minor"/>
    </font>
    <font>
      <i/>
      <sz val="11"/>
      <color theme="8" tint="-0.249977111117893"/>
      <name val="Aptos Narrow"/>
      <scheme val="minor"/>
    </font>
    <font>
      <sz val="11"/>
      <color theme="1"/>
      <name val="Aptos Narrow"/>
      <scheme val="minor"/>
    </font>
    <font>
      <sz val="11"/>
      <color theme="8" tint="-0.249977111117893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7EB"/>
        <bgColor indexed="64"/>
      </patternFill>
    </fill>
    <fill>
      <patternFill patternType="solid">
        <fgColor rgb="FFFCFFEF"/>
        <bgColor indexed="64"/>
      </patternFill>
    </fill>
    <fill>
      <patternFill patternType="solid">
        <fgColor rgb="FFEFF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  <xf numFmtId="0" fontId="5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0" fillId="0" borderId="3" xfId="0" applyBorder="1"/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5" fontId="6" fillId="3" borderId="2" xfId="0" applyNumberFormat="1" applyFont="1" applyFill="1" applyBorder="1"/>
    <xf numFmtId="165" fontId="6" fillId="3" borderId="0" xfId="0" applyNumberFormat="1" applyFont="1" applyFill="1"/>
    <xf numFmtId="167" fontId="12" fillId="3" borderId="2" xfId="0" applyNumberFormat="1" applyFont="1" applyFill="1" applyBorder="1"/>
    <xf numFmtId="167" fontId="12" fillId="3" borderId="0" xfId="0" applyNumberFormat="1" applyFont="1" applyFill="1"/>
    <xf numFmtId="12" fontId="12" fillId="3" borderId="2" xfId="0" applyNumberFormat="1" applyFont="1" applyFill="1" applyBorder="1"/>
    <xf numFmtId="12" fontId="12" fillId="3" borderId="0" xfId="0" applyNumberFormat="1" applyFont="1" applyFill="1"/>
    <xf numFmtId="166" fontId="13" fillId="3" borderId="0" xfId="0" applyNumberFormat="1" applyFont="1" applyFill="1" applyAlignment="1">
      <alignment horizontal="right"/>
    </xf>
    <xf numFmtId="2" fontId="12" fillId="3" borderId="2" xfId="0" applyNumberFormat="1" applyFont="1" applyFill="1" applyBorder="1"/>
    <xf numFmtId="2" fontId="12" fillId="3" borderId="0" xfId="0" applyNumberFormat="1" applyFont="1" applyFill="1"/>
    <xf numFmtId="0" fontId="4" fillId="0" borderId="0" xfId="0" applyFont="1"/>
    <xf numFmtId="0" fontId="14" fillId="0" borderId="0" xfId="0" applyFont="1"/>
    <xf numFmtId="0" fontId="16" fillId="0" borderId="0" xfId="0" applyFont="1"/>
    <xf numFmtId="166" fontId="14" fillId="0" borderId="0" xfId="0" applyNumberFormat="1" applyFont="1"/>
    <xf numFmtId="13" fontId="0" fillId="0" borderId="0" xfId="0" applyNumberFormat="1"/>
    <xf numFmtId="0" fontId="0" fillId="0" borderId="0" xfId="0" applyAlignment="1">
      <alignment horizontal="center"/>
    </xf>
    <xf numFmtId="0" fontId="20" fillId="2" borderId="0" xfId="0" applyFont="1" applyFill="1"/>
    <xf numFmtId="0" fontId="20" fillId="0" borderId="0" xfId="0" applyFont="1"/>
    <xf numFmtId="0" fontId="20" fillId="4" borderId="0" xfId="0" applyFont="1" applyFill="1"/>
    <xf numFmtId="2" fontId="0" fillId="0" borderId="0" xfId="0" applyNumberFormat="1"/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3" fillId="0" borderId="3" xfId="0" applyFont="1" applyBorder="1"/>
    <xf numFmtId="0" fontId="8" fillId="0" borderId="0" xfId="0" applyFont="1"/>
    <xf numFmtId="0" fontId="3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8" fillId="0" borderId="7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7" xfId="0" applyFont="1" applyBorder="1"/>
    <xf numFmtId="1" fontId="8" fillId="0" borderId="0" xfId="0" applyNumberFormat="1" applyFont="1"/>
    <xf numFmtId="166" fontId="3" fillId="0" borderId="3" xfId="0" applyNumberFormat="1" applyFont="1" applyBorder="1"/>
    <xf numFmtId="167" fontId="3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7" fontId="3" fillId="0" borderId="3" xfId="0" applyNumberFormat="1" applyFont="1" applyBorder="1"/>
    <xf numFmtId="167" fontId="3" fillId="0" borderId="0" xfId="0" applyNumberFormat="1" applyFont="1"/>
    <xf numFmtId="1" fontId="8" fillId="0" borderId="7" xfId="0" applyNumberFormat="1" applyFont="1" applyBorder="1"/>
    <xf numFmtId="167" fontId="22" fillId="0" borderId="6" xfId="0" applyNumberFormat="1" applyFont="1" applyBorder="1"/>
    <xf numFmtId="167" fontId="3" fillId="0" borderId="6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67" fontId="3" fillId="0" borderId="6" xfId="0" applyNumberFormat="1" applyFont="1" applyBorder="1"/>
    <xf numFmtId="167" fontId="3" fillId="0" borderId="7" xfId="0" applyNumberFormat="1" applyFont="1" applyBorder="1"/>
    <xf numFmtId="1" fontId="7" fillId="0" borderId="0" xfId="0" applyNumberFormat="1" applyFont="1"/>
    <xf numFmtId="167" fontId="15" fillId="0" borderId="3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7" fontId="15" fillId="0" borderId="3" xfId="0" applyNumberFormat="1" applyFont="1" applyBorder="1"/>
    <xf numFmtId="167" fontId="22" fillId="0" borderId="0" xfId="0" applyNumberFormat="1" applyFont="1"/>
    <xf numFmtId="167" fontId="22" fillId="0" borderId="3" xfId="0" applyNumberFormat="1" applyFont="1" applyBorder="1"/>
    <xf numFmtId="167" fontId="22" fillId="0" borderId="3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8" fillId="0" borderId="9" xfId="0" applyNumberFormat="1" applyFont="1" applyBorder="1"/>
    <xf numFmtId="167" fontId="3" fillId="0" borderId="8" xfId="0" applyNumberFormat="1" applyFont="1" applyBorder="1"/>
    <xf numFmtId="167" fontId="3" fillId="0" borderId="8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67" fontId="3" fillId="0" borderId="9" xfId="0" applyNumberFormat="1" applyFont="1" applyBorder="1"/>
    <xf numFmtId="0" fontId="0" fillId="0" borderId="0" xfId="0" applyAlignment="1">
      <alignment horizontal="center" vertical="center"/>
    </xf>
    <xf numFmtId="167" fontId="3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166" fontId="15" fillId="0" borderId="0" xfId="0" applyNumberFormat="1" applyFont="1" applyAlignment="1">
      <alignment horizontal="right"/>
    </xf>
    <xf numFmtId="1" fontId="24" fillId="0" borderId="0" xfId="0" applyNumberFormat="1" applyFont="1" applyAlignment="1">
      <alignment horizontal="right"/>
    </xf>
    <xf numFmtId="1" fontId="23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6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6" fillId="0" borderId="5" xfId="0" applyFont="1" applyBorder="1" applyAlignment="1">
      <alignment horizontal="right"/>
    </xf>
    <xf numFmtId="0" fontId="27" fillId="0" borderId="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28" fillId="0" borderId="0" xfId="0" applyNumberFormat="1" applyFont="1" applyAlignment="1">
      <alignment horizontal="center"/>
    </xf>
    <xf numFmtId="167" fontId="29" fillId="0" borderId="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2" fontId="28" fillId="0" borderId="0" xfId="0" applyNumberFormat="1" applyFont="1" applyAlignment="1">
      <alignment horizontal="center"/>
    </xf>
    <xf numFmtId="0" fontId="29" fillId="0" borderId="3" xfId="0" applyFont="1" applyBorder="1"/>
    <xf numFmtId="0" fontId="26" fillId="0" borderId="0" xfId="0" applyFont="1" applyAlignment="1">
      <alignment horizontal="center"/>
    </xf>
    <xf numFmtId="2" fontId="30" fillId="0" borderId="0" xfId="0" applyNumberFormat="1" applyFont="1" applyAlignment="1">
      <alignment horizontal="center"/>
    </xf>
    <xf numFmtId="2" fontId="31" fillId="5" borderId="3" xfId="0" applyNumberFormat="1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67" fontId="33" fillId="0" borderId="0" xfId="0" applyNumberFormat="1" applyFont="1" applyAlignment="1">
      <alignment horizontal="center"/>
    </xf>
    <xf numFmtId="0" fontId="32" fillId="0" borderId="0" xfId="0" applyFont="1"/>
    <xf numFmtId="167" fontId="34" fillId="0" borderId="0" xfId="0" applyNumberFormat="1" applyFont="1" applyAlignment="1">
      <alignment horizontal="center"/>
    </xf>
    <xf numFmtId="2" fontId="35" fillId="0" borderId="0" xfId="0" applyNumberFormat="1" applyFont="1" applyAlignment="1">
      <alignment horizontal="center"/>
    </xf>
    <xf numFmtId="2" fontId="33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32" fillId="0" borderId="0" xfId="0" applyFont="1" applyAlignment="1">
      <alignment horizontal="center"/>
    </xf>
    <xf numFmtId="167" fontId="36" fillId="0" borderId="0" xfId="0" applyNumberFormat="1" applyFont="1" applyAlignment="1">
      <alignment horizontal="center"/>
    </xf>
    <xf numFmtId="167" fontId="3" fillId="0" borderId="3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2" fontId="3" fillId="0" borderId="3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2" fontId="0" fillId="0" borderId="3" xfId="0" applyNumberFormat="1" applyBorder="1"/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6" fillId="0" borderId="10" xfId="0" applyFont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/>
    <xf numFmtId="0" fontId="9" fillId="0" borderId="0" xfId="0" applyFont="1" applyAlignment="1">
      <alignment horizontal="left" vertical="center"/>
    </xf>
    <xf numFmtId="1" fontId="0" fillId="0" borderId="0" xfId="0" applyNumberFormat="1" applyAlignment="1">
      <alignment horizontal="center"/>
    </xf>
    <xf numFmtId="1" fontId="30" fillId="0" borderId="0" xfId="0" applyNumberFormat="1" applyFont="1" applyAlignment="1">
      <alignment horizontal="center"/>
    </xf>
    <xf numFmtId="1" fontId="31" fillId="5" borderId="3" xfId="0" applyNumberFormat="1" applyFont="1" applyFill="1" applyBorder="1" applyAlignment="1">
      <alignment horizontal="center" vertical="center"/>
    </xf>
    <xf numFmtId="1" fontId="35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32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3" fillId="0" borderId="3" xfId="0" applyNumberFormat="1" applyFont="1" applyBorder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1" fontId="31" fillId="5" borderId="0" xfId="0" applyNumberFormat="1" applyFont="1" applyFill="1" applyAlignment="1">
      <alignment horizontal="center"/>
    </xf>
    <xf numFmtId="11" fontId="28" fillId="0" borderId="0" xfId="0" applyNumberFormat="1" applyFont="1" applyAlignment="1">
      <alignment horizontal="center"/>
    </xf>
    <xf numFmtId="11" fontId="32" fillId="0" borderId="0" xfId="0" applyNumberFormat="1" applyFont="1" applyAlignment="1">
      <alignment horizontal="center"/>
    </xf>
    <xf numFmtId="11" fontId="3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0" fontId="7" fillId="0" borderId="0" xfId="0" applyFont="1" applyAlignment="1">
      <alignment horizontal="right"/>
    </xf>
    <xf numFmtId="165" fontId="30" fillId="0" borderId="0" xfId="0" applyNumberFormat="1" applyFont="1"/>
    <xf numFmtId="165" fontId="2" fillId="0" borderId="0" xfId="0" applyNumberFormat="1" applyFont="1"/>
    <xf numFmtId="0" fontId="36" fillId="0" borderId="0" xfId="0" applyFont="1" applyAlignment="1">
      <alignment horizontal="right"/>
    </xf>
    <xf numFmtId="0" fontId="36" fillId="0" borderId="0" xfId="0" applyFont="1"/>
    <xf numFmtId="165" fontId="21" fillId="0" borderId="0" xfId="0" applyNumberFormat="1" applyFont="1"/>
    <xf numFmtId="165" fontId="36" fillId="0" borderId="0" xfId="0" applyNumberFormat="1" applyFont="1"/>
    <xf numFmtId="0" fontId="35" fillId="0" borderId="0" xfId="0" applyFont="1"/>
    <xf numFmtId="0" fontId="37" fillId="0" borderId="0" xfId="0" applyFont="1" applyAlignment="1">
      <alignment horizontal="center" vertical="center"/>
    </xf>
    <xf numFmtId="0" fontId="28" fillId="0" borderId="0" xfId="0" applyFont="1"/>
    <xf numFmtId="166" fontId="30" fillId="6" borderId="0" xfId="0" applyNumberFormat="1" applyFont="1" applyFill="1"/>
    <xf numFmtId="166" fontId="30" fillId="7" borderId="0" xfId="0" applyNumberFormat="1" applyFont="1" applyFill="1"/>
    <xf numFmtId="166" fontId="30" fillId="8" borderId="0" xfId="0" applyNumberFormat="1" applyFont="1" applyFill="1"/>
    <xf numFmtId="166" fontId="30" fillId="8" borderId="0" xfId="0" applyNumberFormat="1" applyFont="1" applyFill="1" applyAlignment="1">
      <alignment horizontal="center" vertical="center"/>
    </xf>
    <xf numFmtId="0" fontId="11" fillId="0" borderId="0" xfId="0" applyFont="1"/>
    <xf numFmtId="0" fontId="0" fillId="0" borderId="7" xfId="0" applyBorder="1"/>
    <xf numFmtId="166" fontId="6" fillId="0" borderId="7" xfId="0" applyNumberFormat="1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166" fontId="0" fillId="0" borderId="3" xfId="0" applyNumberFormat="1" applyBorder="1"/>
    <xf numFmtId="0" fontId="30" fillId="0" borderId="0" xfId="0" applyFont="1"/>
    <xf numFmtId="14" fontId="0" fillId="0" borderId="0" xfId="0" applyNumberFormat="1"/>
    <xf numFmtId="167" fontId="35" fillId="0" borderId="0" xfId="0" applyNumberFormat="1" applyFont="1"/>
    <xf numFmtId="166" fontId="37" fillId="0" borderId="0" xfId="0" applyNumberFormat="1" applyFont="1" applyAlignment="1">
      <alignment horizontal="center" vertical="center"/>
    </xf>
    <xf numFmtId="1" fontId="6" fillId="0" borderId="7" xfId="0" applyNumberFormat="1" applyFont="1" applyBorder="1"/>
    <xf numFmtId="0" fontId="4" fillId="0" borderId="3" xfId="0" applyFont="1" applyBorder="1"/>
    <xf numFmtId="2" fontId="4" fillId="0" borderId="3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3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25" fillId="0" borderId="0" xfId="0" applyFont="1"/>
    <xf numFmtId="0" fontId="32" fillId="0" borderId="0" xfId="0" applyFon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7" fontId="32" fillId="0" borderId="0" xfId="0" applyNumberFormat="1" applyFont="1" applyAlignment="1">
      <alignment horizontal="left" vertical="center"/>
    </xf>
    <xf numFmtId="167" fontId="3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4" fillId="0" borderId="3" xfId="0" applyFont="1" applyBorder="1"/>
    <xf numFmtId="2" fontId="39" fillId="9" borderId="3" xfId="0" applyNumberFormat="1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40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0" fillId="9" borderId="0" xfId="0" applyFill="1"/>
    <xf numFmtId="165" fontId="4" fillId="9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43" fillId="0" borderId="3" xfId="0" applyNumberFormat="1" applyFont="1" applyBorder="1" applyAlignment="1">
      <alignment horizontal="center" vertical="center"/>
    </xf>
    <xf numFmtId="0" fontId="44" fillId="0" borderId="0" xfId="0" applyFont="1"/>
    <xf numFmtId="164" fontId="45" fillId="0" borderId="3" xfId="0" applyNumberFormat="1" applyFont="1" applyBorder="1" applyAlignment="1">
      <alignment horizontal="center" vertical="center"/>
    </xf>
    <xf numFmtId="169" fontId="45" fillId="0" borderId="3" xfId="0" applyNumberFormat="1" applyFont="1" applyBorder="1" applyAlignment="1">
      <alignment horizontal="center" vertical="center"/>
    </xf>
    <xf numFmtId="170" fontId="45" fillId="0" borderId="3" xfId="0" applyNumberFormat="1" applyFont="1" applyBorder="1" applyAlignment="1">
      <alignment horizontal="center" vertical="center"/>
    </xf>
    <xf numFmtId="168" fontId="0" fillId="0" borderId="0" xfId="0" applyNumberFormat="1"/>
    <xf numFmtId="1" fontId="0" fillId="0" borderId="0" xfId="0" applyNumberFormat="1"/>
    <xf numFmtId="166" fontId="21" fillId="0" borderId="0" xfId="0" applyNumberFormat="1" applyFont="1"/>
    <xf numFmtId="0" fontId="21" fillId="0" borderId="0" xfId="0" applyFont="1"/>
    <xf numFmtId="166" fontId="41" fillId="0" borderId="0" xfId="0" applyNumberFormat="1" applyFont="1"/>
    <xf numFmtId="0" fontId="41" fillId="0" borderId="0" xfId="0" applyFont="1"/>
    <xf numFmtId="1" fontId="21" fillId="0" borderId="0" xfId="0" applyNumberFormat="1" applyFont="1"/>
    <xf numFmtId="1" fontId="41" fillId="0" borderId="0" xfId="0" applyNumberFormat="1" applyFont="1"/>
    <xf numFmtId="165" fontId="47" fillId="0" borderId="0" xfId="0" applyNumberFormat="1" applyFont="1"/>
    <xf numFmtId="166" fontId="47" fillId="0" borderId="0" xfId="0" applyNumberFormat="1" applyFont="1"/>
    <xf numFmtId="1" fontId="47" fillId="0" borderId="0" xfId="0" applyNumberFormat="1" applyFont="1"/>
    <xf numFmtId="0" fontId="48" fillId="0" borderId="0" xfId="0" applyFont="1"/>
    <xf numFmtId="165" fontId="48" fillId="0" borderId="0" xfId="0" applyNumberFormat="1" applyFont="1"/>
    <xf numFmtId="166" fontId="48" fillId="0" borderId="0" xfId="0" applyNumberFormat="1" applyFont="1"/>
    <xf numFmtId="1" fontId="48" fillId="0" borderId="0" xfId="0" applyNumberFormat="1" applyFont="1"/>
    <xf numFmtId="0" fontId="49" fillId="0" borderId="0" xfId="0" applyFont="1"/>
    <xf numFmtId="165" fontId="49" fillId="0" borderId="0" xfId="0" applyNumberFormat="1" applyFont="1"/>
    <xf numFmtId="166" fontId="49" fillId="0" borderId="0" xfId="0" applyNumberFormat="1" applyFont="1"/>
    <xf numFmtId="1" fontId="49" fillId="0" borderId="0" xfId="0" applyNumberFormat="1" applyFont="1"/>
    <xf numFmtId="165" fontId="14" fillId="0" borderId="0" xfId="0" applyNumberFormat="1" applyFont="1"/>
    <xf numFmtId="1" fontId="14" fillId="0" borderId="0" xfId="0" applyNumberFormat="1" applyFont="1"/>
    <xf numFmtId="0" fontId="50" fillId="0" borderId="0" xfId="0" applyFont="1"/>
    <xf numFmtId="165" fontId="50" fillId="0" borderId="0" xfId="0" applyNumberFormat="1" applyFont="1"/>
    <xf numFmtId="166" fontId="50" fillId="0" borderId="0" xfId="0" applyNumberFormat="1" applyFont="1"/>
    <xf numFmtId="1" fontId="50" fillId="0" borderId="0" xfId="0" applyNumberFormat="1" applyFont="1"/>
    <xf numFmtId="165" fontId="44" fillId="0" borderId="0" xfId="0" applyNumberFormat="1" applyFont="1"/>
    <xf numFmtId="166" fontId="44" fillId="0" borderId="0" xfId="0" applyNumberFormat="1" applyFont="1"/>
    <xf numFmtId="1" fontId="44" fillId="0" borderId="0" xfId="0" applyNumberFormat="1" applyFont="1"/>
    <xf numFmtId="0" fontId="51" fillId="0" borderId="0" xfId="0" applyFont="1"/>
    <xf numFmtId="165" fontId="51" fillId="0" borderId="0" xfId="0" applyNumberFormat="1" applyFont="1"/>
    <xf numFmtId="166" fontId="51" fillId="0" borderId="0" xfId="0" applyNumberFormat="1" applyFont="1"/>
    <xf numFmtId="1" fontId="51" fillId="0" borderId="0" xfId="0" applyNumberFormat="1" applyFont="1"/>
    <xf numFmtId="165" fontId="19" fillId="0" borderId="0" xfId="0" applyNumberFormat="1" applyFo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</font>
      <numFmt numFmtId="165" formatCode="0.0"/>
    </dxf>
    <dxf>
      <font>
        <b val="0"/>
        <i val="0"/>
      </font>
      <numFmt numFmtId="165" formatCode="0.0"/>
    </dxf>
    <dxf>
      <font>
        <b val="0"/>
        <i val="0"/>
      </font>
      <numFmt numFmtId="165" formatCode="0.0"/>
    </dxf>
    <dxf>
      <font>
        <b val="0"/>
        <i val="0"/>
      </font>
      <numFmt numFmtId="165" formatCode="0.0"/>
    </dxf>
    <dxf>
      <font>
        <b val="0"/>
        <i val="0"/>
      </font>
      <numFmt numFmtId="1" formatCode="0"/>
    </dxf>
    <dxf>
      <font>
        <b val="0"/>
        <i val="0"/>
      </font>
      <numFmt numFmtId="166" formatCode="0.0000"/>
    </dxf>
    <dxf>
      <font>
        <b val="0"/>
        <i val="0"/>
      </font>
      <numFmt numFmtId="165" formatCode="0.0"/>
    </dxf>
    <dxf>
      <font>
        <b val="0"/>
        <i val="0"/>
      </font>
      <numFmt numFmtId="165" formatCode="0.0"/>
    </dxf>
    <dxf>
      <font>
        <b val="0"/>
        <i val="0"/>
      </font>
      <numFmt numFmtId="0" formatCode="General"/>
    </dxf>
    <dxf>
      <font>
        <b val="0"/>
        <i val="0"/>
      </font>
      <numFmt numFmtId="0" formatCode="General"/>
    </dxf>
    <dxf>
      <font>
        <b val="0"/>
        <i val="0"/>
      </font>
    </dxf>
    <dxf>
      <font>
        <b val="0"/>
        <i val="0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33CC"/>
      <color rgb="FFEFFFFF"/>
      <color rgb="FFFCFFEF"/>
      <color rgb="FFFFF3F3"/>
      <color rgb="FFEFEFFF"/>
      <color rgb="FFEFFFEF"/>
      <color rgb="FFFEE2E5"/>
      <color rgb="FFFFF2D9"/>
      <color rgb="FFE7F3FF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cuments\Local_Data\WashDC\data\geotags.xlsx" TargetMode="External"/><Relationship Id="rId1" Type="http://schemas.openxmlformats.org/officeDocument/2006/relationships/externalLinkPath" Target="/Users/David/Documents/Local_Data/WashDC/data/geota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cial nums"/>
      <sheetName val="special angles"/>
      <sheetName val="run 1"/>
      <sheetName val="note1"/>
      <sheetName val="run 2"/>
      <sheetName val="run 3"/>
      <sheetName val="notable"/>
      <sheetName val="points"/>
    </sheetNames>
    <sheetDataSet>
      <sheetData sheetId="0">
        <row r="20">
          <cell r="C20">
            <v>1.6180339887498949</v>
          </cell>
          <cell r="D20">
            <v>0.6180339887498949</v>
          </cell>
          <cell r="E20">
            <v>0.5</v>
          </cell>
          <cell r="F20">
            <v>0.80901699437494745</v>
          </cell>
          <cell r="G20">
            <v>0.30901699437494745</v>
          </cell>
        </row>
        <row r="21">
          <cell r="C21">
            <v>2.2882456112707374</v>
          </cell>
          <cell r="D21">
            <v>0.8740320488976423</v>
          </cell>
          <cell r="E21">
            <v>0.70710678118654757</v>
          </cell>
          <cell r="F21">
            <v>1.1441228056353687</v>
          </cell>
          <cell r="G21">
            <v>0.43701602444882115</v>
          </cell>
        </row>
        <row r="22">
          <cell r="C22">
            <v>2.8025170768881469</v>
          </cell>
          <cell r="D22">
            <v>1.0704662693192699</v>
          </cell>
          <cell r="E22">
            <v>0.8660254037844386</v>
          </cell>
          <cell r="F22">
            <v>1.4012585384440734</v>
          </cell>
          <cell r="G22">
            <v>0.53523313465963496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2D8F8E-6F16-4371-A747-8460E7CC2BAB}" autoFormatId="16" applyNumberFormats="0" applyBorderFormats="0" applyFontFormats="0" applyPatternFormats="0" applyAlignmentFormats="0" applyWidthHeightFormats="0">
  <queryTableRefresh nextId="5">
    <queryTableFields count="4">
      <queryTableField id="1" name="LOC" tableColumnId="1"/>
      <queryTableField id="2" name="LAT" tableColumnId="2"/>
      <queryTableField id="3" name="LON" tableColumnId="3"/>
      <queryTableField id="4" name="AL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BAABA69-82B4-4450-99F6-6B884DDD7D2C}" autoFormatId="16" applyNumberFormats="0" applyBorderFormats="0" applyFontFormats="0" applyPatternFormats="0" applyAlignmentFormats="0" applyWidthHeightFormats="0">
  <queryTableRefresh nextId="5">
    <queryTableFields count="4">
      <queryTableField id="1" name="LOC" tableColumnId="1"/>
      <queryTableField id="2" name="LAT" tableColumnId="2"/>
      <queryTableField id="3" name="LON" tableColumnId="3"/>
      <queryTableField id="4" name="AL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26100-D530-462B-B3E1-BAC237D52E2F}" name="start_points" displayName="start_points" ref="A1:D7" tableType="queryTable" totalsRowShown="0">
  <autoFilter ref="A1:D7" xr:uid="{C9B26100-D530-462B-B3E1-BAC237D52E2F}"/>
  <tableColumns count="4">
    <tableColumn id="1" xr3:uid="{2952DAF7-2754-4A38-A83A-D43CC4EA3E85}" uniqueName="1" name="LOC" queryTableFieldId="1" dataDxfId="14"/>
    <tableColumn id="2" xr3:uid="{1FFF0321-75B4-4585-A5ED-289297DD53DB}" uniqueName="2" name="LAT" queryTableFieldId="2"/>
    <tableColumn id="3" xr3:uid="{6DF8AB3B-31F6-4192-BECD-59E161014D1B}" uniqueName="3" name="LON" queryTableFieldId="3"/>
    <tableColumn id="4" xr3:uid="{7151ABEA-8842-4A8A-B594-AC78E7A8340C}" uniqueName="4" name="ALT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0C5DF1-9D78-4D21-83F8-B7DA30725898}" name="trypoints" displayName="trypoints" ref="A1:D23" tableType="queryTable" totalsRowShown="0">
  <autoFilter ref="A1:D23" xr:uid="{990C5DF1-9D78-4D21-83F8-B7DA30725898}"/>
  <tableColumns count="4">
    <tableColumn id="1" xr3:uid="{522E7671-08D5-4CFE-8DCA-7C9F0E8EF766}" uniqueName="1" name="LOC" queryTableFieldId="1" dataDxfId="13"/>
    <tableColumn id="2" xr3:uid="{73075C01-0F66-43A3-B963-CCA50C3AA030}" uniqueName="2" name="LAT" queryTableFieldId="2"/>
    <tableColumn id="3" xr3:uid="{2C2DAFC5-2960-4AE7-95B5-031F24CBDDD3}" uniqueName="3" name="LON" queryTableFieldId="3"/>
    <tableColumn id="4" xr3:uid="{99F7E336-BA8A-475F-ACAB-F0E8D9356EE4}" uniqueName="4" name="AL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53BDB-C230-4D0C-994F-F1BE1DD73349}" name="pairs" displayName="pairs" ref="A1:J1093" totalsRowShown="0" headerRowDxfId="12" dataDxfId="11">
  <sortState xmlns:xlrd2="http://schemas.microsoft.com/office/spreadsheetml/2017/richdata2" ref="A2:J1093">
    <sortCondition descending="1" ref="A2:A1093"/>
    <sortCondition ref="B2:B1093"/>
  </sortState>
  <tableColumns count="10">
    <tableColumn id="1" xr3:uid="{50584FA5-22CC-4072-A92A-6594FDAF585A}" name="Refpnt" dataDxfId="10"/>
    <tableColumn id="2" xr3:uid="{B1881CE2-CF79-41DD-A5B1-514B5FA6C9CE}" name=" Pnt" dataDxfId="9"/>
    <tableColumn id="3" xr3:uid="{46506041-A217-4C9B-9702-B1924F86FF3B}" name=" Az" dataDxfId="8"/>
    <tableColumn id="4" xr3:uid="{353B597F-8E9C-4FEF-AB18-48D0B135F0C6}" name=" Back" dataDxfId="7"/>
    <tableColumn id="5" xr3:uid="{2794A51C-8CAB-461D-8550-A7DF1291B149}" name=" Dist" dataDxfId="6"/>
    <tableColumn id="6" xr3:uid="{D281D2D2-0929-4729-A626-C319CA5CFED4}" name="Feet" dataDxfId="5">
      <calculatedColumnFormula>pairs[[#This Row],[ Dist]]*5280</calculatedColumnFormula>
    </tableColumn>
    <tableColumn id="7" xr3:uid="{FE8FB5FD-3B08-4B29-AC70-9551B25590D5}" name="Az*" dataDxfId="4">
      <calculatedColumnFormula>ROUND(pairs[[#This Row],[ Az]]-ROUNDDOWN(pairs[[#This Row],[ Az]],0),1)</calculatedColumnFormula>
    </tableColumn>
    <tableColumn id="8" xr3:uid="{6EC80A20-2511-4A8A-B2B6-997D8681F8F0}" name="Back*" dataDxfId="3">
      <calculatedColumnFormula>ROUND(pairs[[#This Row],[ Back]]-ROUNDDOWN(pairs[[#This Row],[ Back]],0),1)</calculatedColumnFormula>
    </tableColumn>
    <tableColumn id="9" xr3:uid="{D7AB26C2-1A4D-419D-AB01-963DE924AAB3}" name="Bold" dataDxfId="2">
      <calculatedColumnFormula>IF( OR( OR(pairs[[#This Row],[Az*]]=0, pairs[[#This Row],[Back*]]=0), OR(pairs[[#This Row],[Az*]]=1, pairs[[#This Row],[Back*]]=1)), 1, 0)</calculatedColumnFormula>
    </tableColumn>
    <tableColumn id="10" xr3:uid="{8CCB1158-E3CB-49AE-BD96-BA7653F8EF80}" name="Italic" dataDxfId="1">
      <calculatedColumnFormula>IF(OR(pairs[[#This Row],[Az*]]=0.5,pairs[[#This Row],[Back*]]=0.5),1,0)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27BD-503C-4DA8-902B-7F4413A8DF59}">
  <dimension ref="A1:H7"/>
  <sheetViews>
    <sheetView workbookViewId="0">
      <selection activeCell="G6" sqref="G6:H6"/>
    </sheetView>
  </sheetViews>
  <sheetFormatPr defaultRowHeight="13.8"/>
  <cols>
    <col min="1" max="1" width="6.47265625" bestFit="1" customWidth="1"/>
    <col min="2" max="2" width="10.7109375" bestFit="1" customWidth="1"/>
    <col min="3" max="3" width="11.28515625" bestFit="1" customWidth="1"/>
    <col min="4" max="4" width="6.1875" bestFit="1" customWidth="1"/>
    <col min="7" max="8" width="27.5234375" customWidth="1"/>
  </cols>
  <sheetData>
    <row r="1" spans="1:8" ht="14.1">
      <c r="A1" t="s">
        <v>0</v>
      </c>
      <c r="B1" t="s">
        <v>1</v>
      </c>
      <c r="C1" t="s">
        <v>2</v>
      </c>
      <c r="D1" t="s">
        <v>98</v>
      </c>
      <c r="F1" s="23" t="s">
        <v>14</v>
      </c>
      <c r="G1" s="1" t="s">
        <v>3</v>
      </c>
      <c r="H1" s="24" t="str">
        <f>start_points!A1 &amp; ", " &amp; start_points!B1 &amp; ", " &amp; start_points!C1 &amp; ","</f>
        <v>LOC, LAT, LON,</v>
      </c>
    </row>
    <row r="2" spans="1:8">
      <c r="A2" t="s">
        <v>16</v>
      </c>
      <c r="B2">
        <v>38.892750999999997</v>
      </c>
      <c r="C2">
        <v>-77.051444000000004</v>
      </c>
      <c r="D2">
        <v>28.76</v>
      </c>
      <c r="F2" s="29"/>
      <c r="G2" s="28" t="str">
        <f>"'" &amp; start_points!A2 &amp; "': (" &amp; start_points!B2 &amp; ", " &amp; start_points!C2 &amp; "),"</f>
        <v>'K': (38.892751, -77.051444),</v>
      </c>
      <c r="H2" s="29" t="str">
        <f>start_points!A2 &amp; ", " &amp; start_points!B2 &amp; ", " &amp; start_points!C2 &amp; ","</f>
        <v>K, 38.892751, -77.051444,</v>
      </c>
    </row>
    <row r="3" spans="1:8">
      <c r="A3" t="s">
        <v>4</v>
      </c>
      <c r="B3">
        <v>38.892750999999997</v>
      </c>
      <c r="C3">
        <v>-77.008885000000006</v>
      </c>
      <c r="D3">
        <v>60</v>
      </c>
      <c r="F3" s="29"/>
      <c r="G3" s="28" t="str">
        <f>"'" &amp; start_points!A3 &amp; "': (" &amp; start_points!B3 &amp; ", " &amp; start_points!C3 &amp; "),"</f>
        <v>'B': (38.892751, -77.008885),</v>
      </c>
      <c r="H3" s="29" t="str">
        <f>start_points!A3 &amp; ", " &amp; start_points!B3 &amp; ", " &amp; start_points!C3 &amp; ","</f>
        <v>B, 38.892751, -77.008885,</v>
      </c>
    </row>
    <row r="4" spans="1:8">
      <c r="A4" t="s">
        <v>100</v>
      </c>
      <c r="B4">
        <v>38.889442000000003</v>
      </c>
      <c r="C4">
        <v>-77.035252</v>
      </c>
      <c r="D4">
        <v>40.18</v>
      </c>
      <c r="F4" s="29"/>
      <c r="G4" s="28" t="str">
        <f>"'" &amp; start_points!A4 &amp; "': (" &amp; start_points!B4 &amp; ", " &amp; start_points!C4 &amp; "),"</f>
        <v>'M': (38.889442, -77.035252),</v>
      </c>
      <c r="H4" s="29" t="str">
        <f>start_points!A4 &amp; ", " &amp; start_points!B4 &amp; ", " &amp; start_points!C4 &amp; ","</f>
        <v>M, 38.889442, -77.035252,</v>
      </c>
    </row>
    <row r="5" spans="1:8">
      <c r="A5" t="s">
        <v>17</v>
      </c>
      <c r="B5">
        <v>38.889801300000002</v>
      </c>
      <c r="C5">
        <v>-77.036569099999994</v>
      </c>
      <c r="D5">
        <v>22.39</v>
      </c>
      <c r="F5" s="29"/>
      <c r="G5" s="28" t="str">
        <f>"'" &amp; start_points!A5 &amp; "': (" &amp; start_points!B5 &amp; ", " &amp; start_points!C5 &amp; "),"</f>
        <v>'J': (38.8898013, -77.0365691),</v>
      </c>
      <c r="H5" s="29" t="str">
        <f>start_points!A5 &amp; ", " &amp; start_points!B5 &amp; ", " &amp; start_points!C5 &amp; ","</f>
        <v>J, 38.8898013, -77.0365691,</v>
      </c>
    </row>
    <row r="6" spans="1:8">
      <c r="A6" t="s">
        <v>101</v>
      </c>
      <c r="B6">
        <v>38.895136600000001</v>
      </c>
      <c r="C6">
        <v>-77.051444000000004</v>
      </c>
      <c r="D6">
        <v>96.77</v>
      </c>
      <c r="F6" s="30"/>
      <c r="G6" s="28" t="str">
        <f>"'" &amp; start_points!A7 &amp; "': (" &amp; start_points!B7 &amp; ", " &amp; start_points!C7 &amp; "),"</f>
        <v>'P': (38.8710236, -77.0559852),</v>
      </c>
      <c r="H6" s="29" t="str">
        <f>start_points!A7 &amp; ", " &amp; start_points!B7 &amp; ", " &amp; start_points!C7 &amp; ","</f>
        <v>P, 38.8710236, -77.0559852,</v>
      </c>
    </row>
    <row r="7" spans="1:8">
      <c r="A7" t="s">
        <v>132</v>
      </c>
      <c r="B7">
        <v>38.871023600000001</v>
      </c>
      <c r="C7">
        <v>-77.055985199999995</v>
      </c>
      <c r="D7">
        <v>18</v>
      </c>
      <c r="G7" s="28"/>
      <c r="H7" s="2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4E6E-5947-479B-8BFB-7C1FB95CC31C}">
  <dimension ref="A1:D28"/>
  <sheetViews>
    <sheetView workbookViewId="0">
      <selection activeCell="B13" sqref="B13:C13"/>
    </sheetView>
  </sheetViews>
  <sheetFormatPr defaultRowHeight="13.8"/>
  <cols>
    <col min="1" max="1" width="6.47265625" bestFit="1" customWidth="1"/>
    <col min="2" max="2" width="11.7109375" bestFit="1" customWidth="1"/>
    <col min="3" max="3" width="12.28515625" bestFit="1" customWidth="1"/>
    <col min="4" max="4" width="6.1875" bestFit="1" customWidth="1"/>
  </cols>
  <sheetData>
    <row r="1" spans="1:4">
      <c r="A1" t="s">
        <v>0</v>
      </c>
      <c r="B1" t="s">
        <v>1</v>
      </c>
      <c r="C1" t="s">
        <v>2</v>
      </c>
      <c r="D1" t="s">
        <v>98</v>
      </c>
    </row>
    <row r="2" spans="1:4">
      <c r="A2" t="s">
        <v>16</v>
      </c>
      <c r="B2">
        <v>38.892750999999997</v>
      </c>
      <c r="C2">
        <v>-77.051444000000004</v>
      </c>
      <c r="D2">
        <v>29</v>
      </c>
    </row>
    <row r="3" spans="1:4">
      <c r="A3" t="s">
        <v>4</v>
      </c>
      <c r="B3">
        <v>38.892750999999997</v>
      </c>
      <c r="C3">
        <v>-77.008885000000006</v>
      </c>
      <c r="D3">
        <v>60</v>
      </c>
    </row>
    <row r="4" spans="1:4">
      <c r="A4" t="s">
        <v>100</v>
      </c>
      <c r="B4">
        <v>38.889442000000003</v>
      </c>
      <c r="C4">
        <v>-77.035252</v>
      </c>
      <c r="D4">
        <v>40</v>
      </c>
    </row>
    <row r="5" spans="1:4">
      <c r="A5" t="s">
        <v>17</v>
      </c>
      <c r="B5">
        <v>38.889801300000002</v>
      </c>
      <c r="C5">
        <v>-77.036569099999994</v>
      </c>
      <c r="D5">
        <v>22</v>
      </c>
    </row>
    <row r="6" spans="1:4">
      <c r="A6" t="s">
        <v>101</v>
      </c>
      <c r="B6">
        <v>38.895136600000001</v>
      </c>
      <c r="C6">
        <v>-77.051444000000004</v>
      </c>
      <c r="D6">
        <v>97</v>
      </c>
    </row>
    <row r="7" spans="1:4">
      <c r="A7" t="s">
        <v>132</v>
      </c>
      <c r="B7">
        <v>38.871023600000001</v>
      </c>
      <c r="C7">
        <v>-77.055985199999995</v>
      </c>
      <c r="D7">
        <v>18</v>
      </c>
    </row>
    <row r="8" spans="1:4">
      <c r="A8" t="s">
        <v>121</v>
      </c>
      <c r="B8">
        <v>38.995956509999999</v>
      </c>
      <c r="C8">
        <v>-77.040985579999997</v>
      </c>
      <c r="D8">
        <v>259</v>
      </c>
    </row>
    <row r="9" spans="1:4">
      <c r="A9" t="s">
        <v>122</v>
      </c>
      <c r="B9">
        <v>38.790339150000001</v>
      </c>
      <c r="C9">
        <v>-77.04058603</v>
      </c>
      <c r="D9">
        <v>1</v>
      </c>
    </row>
    <row r="10" spans="1:4">
      <c r="A10" t="s">
        <v>123</v>
      </c>
      <c r="B10">
        <v>38.893245129999997</v>
      </c>
      <c r="C10">
        <v>-77.172301140000002</v>
      </c>
      <c r="D10">
        <v>343</v>
      </c>
    </row>
    <row r="11" spans="1:4">
      <c r="A11" t="s">
        <v>124</v>
      </c>
      <c r="B11">
        <v>38.892860499999998</v>
      </c>
      <c r="C11">
        <v>-76.909165529999996</v>
      </c>
      <c r="D11">
        <v>94</v>
      </c>
    </row>
    <row r="12" spans="1:4">
      <c r="A12" t="s">
        <v>125</v>
      </c>
      <c r="B12">
        <v>38.89359614</v>
      </c>
      <c r="C12">
        <v>-77.040985579999997</v>
      </c>
      <c r="D12">
        <v>15</v>
      </c>
    </row>
    <row r="13" spans="1:4">
      <c r="A13" t="s">
        <v>126</v>
      </c>
      <c r="B13">
        <v>38.892699520000001</v>
      </c>
      <c r="C13">
        <v>-77.04058603</v>
      </c>
      <c r="D13">
        <v>15</v>
      </c>
    </row>
    <row r="14" spans="1:4">
      <c r="A14" t="s">
        <v>127</v>
      </c>
      <c r="B14">
        <v>38.893171369999997</v>
      </c>
      <c r="C14">
        <v>-77.040786249999996</v>
      </c>
      <c r="D14">
        <v>15</v>
      </c>
    </row>
    <row r="15" spans="1:4">
      <c r="A15" t="s">
        <v>128</v>
      </c>
      <c r="B15">
        <v>38.892786700000002</v>
      </c>
      <c r="C15">
        <v>-77.040679699999998</v>
      </c>
      <c r="D15">
        <v>15</v>
      </c>
    </row>
    <row r="16" spans="1:4">
      <c r="A16" t="s">
        <v>133</v>
      </c>
      <c r="B16">
        <v>38.893100140000001</v>
      </c>
      <c r="C16">
        <v>-77.040759559999998</v>
      </c>
      <c r="D16">
        <v>12</v>
      </c>
    </row>
    <row r="17" spans="1:4">
      <c r="A17" t="s">
        <v>129</v>
      </c>
      <c r="B17">
        <v>38.855137999999997</v>
      </c>
      <c r="C17">
        <v>-77.023560399999994</v>
      </c>
      <c r="D17">
        <v>1</v>
      </c>
    </row>
    <row r="18" spans="1:4">
      <c r="A18" t="s">
        <v>134</v>
      </c>
      <c r="B18">
        <v>38.889040100000003</v>
      </c>
      <c r="C18">
        <v>-77.008262200000004</v>
      </c>
      <c r="D18">
        <v>85</v>
      </c>
    </row>
    <row r="19" spans="1:4">
      <c r="A19" t="s">
        <v>135</v>
      </c>
      <c r="B19">
        <v>38.8924454</v>
      </c>
      <c r="C19">
        <v>-77.050805999999994</v>
      </c>
      <c r="D19">
        <v>21</v>
      </c>
    </row>
    <row r="20" spans="1:4">
      <c r="A20" t="s">
        <v>136</v>
      </c>
      <c r="B20">
        <v>38.897231699999999</v>
      </c>
      <c r="C20">
        <v>-77.034908099999996</v>
      </c>
      <c r="D20">
        <v>40</v>
      </c>
    </row>
    <row r="21" spans="1:4">
      <c r="A21" t="s">
        <v>10</v>
      </c>
      <c r="B21">
        <v>38.934493099999997</v>
      </c>
      <c r="C21">
        <v>-77.119915899999995</v>
      </c>
      <c r="D21">
        <v>19</v>
      </c>
    </row>
    <row r="22" spans="1:4">
      <c r="A22" t="s">
        <v>137</v>
      </c>
      <c r="B22">
        <v>38.987276799999997</v>
      </c>
      <c r="C22">
        <v>-77.051721499999999</v>
      </c>
      <c r="D22">
        <v>169</v>
      </c>
    </row>
    <row r="23" spans="1:4">
      <c r="A23" t="s">
        <v>11</v>
      </c>
      <c r="B23">
        <v>38.918582899999997</v>
      </c>
      <c r="C23">
        <v>-76.941921800000003</v>
      </c>
      <c r="D23">
        <v>0</v>
      </c>
    </row>
    <row r="28" spans="1:4">
      <c r="B28" s="2"/>
      <c r="C2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6129-7CE6-42C6-85D7-6411C0EA464F}">
  <dimension ref="A1:L1093"/>
  <sheetViews>
    <sheetView topLeftCell="A40" workbookViewId="0">
      <selection activeCell="K44" sqref="K44"/>
    </sheetView>
  </sheetViews>
  <sheetFormatPr defaultRowHeight="13.8"/>
  <cols>
    <col min="1" max="1" width="8.33203125" style="231" bestFit="1" customWidth="1"/>
    <col min="2" max="2" width="6.5234375" style="231" bestFit="1" customWidth="1"/>
    <col min="3" max="3" width="6.7109375" style="231" bestFit="1" customWidth="1"/>
    <col min="4" max="4" width="7.47265625" style="231" bestFit="1" customWidth="1"/>
    <col min="5" max="5" width="9.7109375" style="233" bestFit="1" customWidth="1"/>
    <col min="6" max="6" width="8.76171875" style="234"/>
    <col min="7" max="7" width="4.28515625" style="232" hidden="1" customWidth="1"/>
    <col min="8" max="10" width="4.28515625" style="234" hidden="1" customWidth="1"/>
    <col min="11" max="12" width="5.76171875" style="231" customWidth="1"/>
    <col min="13" max="14" width="3.6171875" style="231" customWidth="1"/>
    <col min="15" max="16384" width="8.76171875" style="231"/>
  </cols>
  <sheetData>
    <row r="1" spans="1:12">
      <c r="A1" s="231" t="s">
        <v>138</v>
      </c>
      <c r="B1" s="231" t="s">
        <v>139</v>
      </c>
      <c r="C1" s="231" t="s">
        <v>140</v>
      </c>
      <c r="D1" s="231" t="s">
        <v>141</v>
      </c>
      <c r="E1" s="233" t="s">
        <v>142</v>
      </c>
      <c r="F1" s="234" t="s">
        <v>6</v>
      </c>
      <c r="G1" s="232" t="s">
        <v>241</v>
      </c>
      <c r="H1" s="234" t="s">
        <v>240</v>
      </c>
      <c r="I1" s="232" t="s">
        <v>238</v>
      </c>
      <c r="J1" s="234" t="s">
        <v>239</v>
      </c>
    </row>
    <row r="2" spans="1:12">
      <c r="A2" s="231" t="s">
        <v>127</v>
      </c>
      <c r="B2" s="231" t="s">
        <v>156</v>
      </c>
      <c r="C2" s="232"/>
      <c r="D2" s="232">
        <v>343.74</v>
      </c>
      <c r="E2" s="233">
        <v>5.1250000000000002E-3</v>
      </c>
      <c r="F2" s="234">
        <f>pairs[[#This Row],[ Dist]]*5280</f>
        <v>27.060000000000002</v>
      </c>
      <c r="G2" s="232">
        <f>ROUND(pairs[[#This Row],[ Az]]-ROUNDDOWN(pairs[[#This Row],[ Az]],0),1)</f>
        <v>0</v>
      </c>
      <c r="H2" s="232">
        <f>ROUND(pairs[[#This Row],[ Back]]-ROUNDDOWN(pairs[[#This Row],[ Back]],0),1)</f>
        <v>0.7</v>
      </c>
      <c r="I2" s="232">
        <f>IF( OR( OR(pairs[[#This Row],[Az*]]=0, pairs[[#This Row],[Back*]]=0), OR(pairs[[#This Row],[Az*]]=1, pairs[[#This Row],[Back*]]=1)), 1, 0)</f>
        <v>1</v>
      </c>
      <c r="J2" s="232">
        <f>IF(OR(pairs[[#This Row],[Az*]]=0.5,pairs[[#This Row],[Back*]]=0.5),1,0)</f>
        <v>0</v>
      </c>
      <c r="K2" s="232"/>
      <c r="L2" s="232"/>
    </row>
    <row r="3" spans="1:12">
      <c r="A3" s="231" t="s">
        <v>127</v>
      </c>
      <c r="B3" s="231" t="s">
        <v>163</v>
      </c>
      <c r="C3" s="232"/>
      <c r="D3" s="232">
        <v>251.75</v>
      </c>
      <c r="E3" s="233">
        <v>5.5970329999999997</v>
      </c>
      <c r="F3" s="234">
        <f>pairs[[#This Row],[ Dist]]*5280</f>
        <v>29552.33424</v>
      </c>
      <c r="G3" s="232">
        <f>ROUND(pairs[[#This Row],[ Az]]-ROUNDDOWN(pairs[[#This Row],[ Az]],0),1)</f>
        <v>0</v>
      </c>
      <c r="H3" s="232">
        <f>ROUND(pairs[[#This Row],[ Back]]-ROUNDDOWN(pairs[[#This Row],[ Back]],0),1)</f>
        <v>0.8</v>
      </c>
      <c r="I3" s="232">
        <f>IF( OR( OR(pairs[[#This Row],[Az*]]=0, pairs[[#This Row],[Back*]]=0), OR(pairs[[#This Row],[Az*]]=1, pairs[[#This Row],[Back*]]=1)), 1, 0)</f>
        <v>1</v>
      </c>
      <c r="J3" s="232">
        <f>IF(OR(pairs[[#This Row],[Az*]]=0.5,pairs[[#This Row],[Back*]]=0.5),1,0)</f>
        <v>0</v>
      </c>
      <c r="K3" s="232"/>
      <c r="L3" s="232"/>
    </row>
    <row r="4" spans="1:12" ht="14.1">
      <c r="A4" s="23" t="s">
        <v>127</v>
      </c>
      <c r="B4" s="23" t="s">
        <v>143</v>
      </c>
      <c r="C4" s="229"/>
      <c r="D4" s="229">
        <v>270.98</v>
      </c>
      <c r="E4" s="25">
        <v>1.715463</v>
      </c>
      <c r="F4" s="230">
        <f>pairs[[#This Row],[ Dist]]*5280</f>
        <v>9057.6446400000004</v>
      </c>
      <c r="G4" s="232">
        <f>ROUND(pairs[[#This Row],[ Az]]-ROUNDDOWN(pairs[[#This Row],[ Az]],0),1)</f>
        <v>0</v>
      </c>
      <c r="H4" s="232">
        <f>ROUND(pairs[[#This Row],[ Back]]-ROUNDDOWN(pairs[[#This Row],[ Back]],0),1)</f>
        <v>1</v>
      </c>
      <c r="I4" s="232">
        <f>IF( OR( OR(pairs[[#This Row],[Az*]]=0, pairs[[#This Row],[Back*]]=0), OR(pairs[[#This Row],[Az*]]=1, pairs[[#This Row],[Back*]]=1)), 1, 0)</f>
        <v>1</v>
      </c>
      <c r="J4" s="232">
        <f>IF(OR(pairs[[#This Row],[Az*]]=0.5,pairs[[#This Row],[Back*]]=0.5),1,0)</f>
        <v>0</v>
      </c>
      <c r="K4" s="232"/>
      <c r="L4" s="232"/>
    </row>
    <row r="5" spans="1:12">
      <c r="A5" s="231" t="s">
        <v>127</v>
      </c>
      <c r="B5" s="231" t="s">
        <v>151</v>
      </c>
      <c r="C5" s="232"/>
      <c r="D5" s="232">
        <v>270.22000000000003</v>
      </c>
      <c r="E5" s="233">
        <v>7.0768079999999998</v>
      </c>
      <c r="F5" s="234">
        <f>pairs[[#This Row],[ Dist]]*5280</f>
        <v>37365.546239999996</v>
      </c>
      <c r="G5" s="232">
        <f>ROUND(pairs[[#This Row],[ Az]]-ROUNDDOWN(pairs[[#This Row],[ Az]],0),1)</f>
        <v>0</v>
      </c>
      <c r="H5" s="232">
        <f>ROUND(pairs[[#This Row],[ Back]]-ROUNDDOWN(pairs[[#This Row],[ Back]],0),1)</f>
        <v>0.2</v>
      </c>
      <c r="I5" s="232">
        <f>IF( OR( OR(pairs[[#This Row],[Az*]]=0, pairs[[#This Row],[Back*]]=0), OR(pairs[[#This Row],[Az*]]=1, pairs[[#This Row],[Back*]]=1)), 1, 0)</f>
        <v>1</v>
      </c>
      <c r="J5" s="232">
        <f>IF(OR(pairs[[#This Row],[Az*]]=0.5,pairs[[#This Row],[Back*]]=0.5),1,0)</f>
        <v>0</v>
      </c>
      <c r="K5" s="232"/>
      <c r="L5" s="232"/>
    </row>
    <row r="6" spans="1:12">
      <c r="A6" s="231" t="s">
        <v>127</v>
      </c>
      <c r="B6" s="231" t="s">
        <v>155</v>
      </c>
      <c r="C6" s="232"/>
      <c r="D6" s="232">
        <v>347.83</v>
      </c>
      <c r="E6" s="233">
        <v>2.7184E-2</v>
      </c>
      <c r="F6" s="234">
        <f>pairs[[#This Row],[ Dist]]*5280</f>
        <v>143.53152</v>
      </c>
      <c r="G6" s="232">
        <f>ROUND(pairs[[#This Row],[ Az]]-ROUNDDOWN(pairs[[#This Row],[ Az]],0),1)</f>
        <v>0</v>
      </c>
      <c r="H6" s="232">
        <f>ROUND(pairs[[#This Row],[ Back]]-ROUNDDOWN(pairs[[#This Row],[ Back]],0),1)</f>
        <v>0.8</v>
      </c>
      <c r="I6" s="232">
        <f>IF( OR( OR(pairs[[#This Row],[Az*]]=0, pairs[[#This Row],[Back*]]=0), OR(pairs[[#This Row],[Az*]]=1, pairs[[#This Row],[Back*]]=1)), 1, 0)</f>
        <v>1</v>
      </c>
      <c r="J6" s="232">
        <f>IF(OR(pairs[[#This Row],[Az*]]=0.5,pairs[[#This Row],[Back*]]=0.5),1,0)</f>
        <v>0</v>
      </c>
      <c r="K6" s="232"/>
      <c r="L6" s="232"/>
    </row>
    <row r="7" spans="1:12">
      <c r="A7" s="231" t="s">
        <v>127</v>
      </c>
      <c r="B7" s="231" t="s">
        <v>158</v>
      </c>
      <c r="C7" s="232"/>
      <c r="D7" s="232">
        <v>279.27999999999997</v>
      </c>
      <c r="E7" s="233">
        <v>1.7718830000000001</v>
      </c>
      <c r="F7" s="234">
        <f>pairs[[#This Row],[ Dist]]*5280</f>
        <v>9355.5422400000007</v>
      </c>
      <c r="G7" s="232">
        <f>ROUND(pairs[[#This Row],[ Az]]-ROUNDDOWN(pairs[[#This Row],[ Az]],0),1)</f>
        <v>0</v>
      </c>
      <c r="H7" s="232">
        <f>ROUND(pairs[[#This Row],[ Back]]-ROUNDDOWN(pairs[[#This Row],[ Back]],0),1)</f>
        <v>0.3</v>
      </c>
      <c r="I7" s="232">
        <f>IF( OR( OR(pairs[[#This Row],[Az*]]=0, pairs[[#This Row],[Back*]]=0), OR(pairs[[#This Row],[Az*]]=1, pairs[[#This Row],[Back*]]=1)), 1, 0)</f>
        <v>1</v>
      </c>
      <c r="J7" s="232">
        <f>IF(OR(pairs[[#This Row],[Az*]]=0.5,pairs[[#This Row],[Back*]]=0.5),1,0)</f>
        <v>0</v>
      </c>
      <c r="K7" s="232"/>
      <c r="L7" s="232"/>
    </row>
    <row r="8" spans="1:12">
      <c r="A8" s="231" t="s">
        <v>127</v>
      </c>
      <c r="B8" s="231" t="s">
        <v>159</v>
      </c>
      <c r="C8" s="232"/>
      <c r="D8" s="232">
        <v>84.68</v>
      </c>
      <c r="E8" s="233">
        <v>0.54105700000000001</v>
      </c>
      <c r="F8" s="234">
        <f>pairs[[#This Row],[ Dist]]*5280</f>
        <v>2856.7809600000001</v>
      </c>
      <c r="G8" s="232">
        <f>ROUND(pairs[[#This Row],[ Az]]-ROUNDDOWN(pairs[[#This Row],[ Az]],0),1)</f>
        <v>0</v>
      </c>
      <c r="H8" s="232">
        <f>ROUND(pairs[[#This Row],[ Back]]-ROUNDDOWN(pairs[[#This Row],[ Back]],0),1)</f>
        <v>0.7</v>
      </c>
      <c r="I8" s="232">
        <f>IF( OR( OR(pairs[[#This Row],[Az*]]=0, pairs[[#This Row],[Back*]]=0), OR(pairs[[#This Row],[Az*]]=1, pairs[[#This Row],[Back*]]=1)), 1, 0)</f>
        <v>1</v>
      </c>
      <c r="J8" s="232">
        <f>IF(OR(pairs[[#This Row],[Az*]]=0.5,pairs[[#This Row],[Back*]]=0.5),1,0)</f>
        <v>0</v>
      </c>
      <c r="K8" s="232"/>
      <c r="L8" s="232"/>
    </row>
    <row r="9" spans="1:12">
      <c r="A9" s="231" t="s">
        <v>127</v>
      </c>
      <c r="B9" s="231" t="s">
        <v>160</v>
      </c>
      <c r="C9" s="232"/>
      <c r="D9" s="232">
        <v>228.41</v>
      </c>
      <c r="E9" s="233">
        <v>0.42255599999999999</v>
      </c>
      <c r="F9" s="234">
        <f>pairs[[#This Row],[ Dist]]*5280</f>
        <v>2231.0956799999999</v>
      </c>
      <c r="G9" s="232">
        <f>ROUND(pairs[[#This Row],[ Az]]-ROUNDDOWN(pairs[[#This Row],[ Az]],0),1)</f>
        <v>0</v>
      </c>
      <c r="H9" s="232">
        <f>ROUND(pairs[[#This Row],[ Back]]-ROUNDDOWN(pairs[[#This Row],[ Back]],0),1)</f>
        <v>0.4</v>
      </c>
      <c r="I9" s="232">
        <f>IF( OR( OR(pairs[[#This Row],[Az*]]=0, pairs[[#This Row],[Back*]]=0), OR(pairs[[#This Row],[Az*]]=1, pairs[[#This Row],[Back*]]=1)), 1, 0)</f>
        <v>1</v>
      </c>
      <c r="J9" s="232">
        <f>IF(OR(pairs[[#This Row],[Az*]]=0.5,pairs[[#This Row],[Back*]]=0.5),1,0)</f>
        <v>0</v>
      </c>
      <c r="K9" s="232"/>
      <c r="L9" s="232"/>
    </row>
    <row r="10" spans="1:12">
      <c r="A10" s="231" t="s">
        <v>127</v>
      </c>
      <c r="B10" s="231" t="s">
        <v>146</v>
      </c>
      <c r="C10" s="232"/>
      <c r="D10" s="232">
        <v>103.33</v>
      </c>
      <c r="E10" s="233">
        <v>0.58888200000000002</v>
      </c>
      <c r="F10" s="234">
        <f>pairs[[#This Row],[ Dist]]*5280</f>
        <v>3109.2969600000001</v>
      </c>
      <c r="G10" s="232">
        <f>ROUND(pairs[[#This Row],[ Az]]-ROUNDDOWN(pairs[[#This Row],[ Az]],0),1)</f>
        <v>0</v>
      </c>
      <c r="H10" s="232">
        <f>ROUND(pairs[[#This Row],[ Back]]-ROUNDDOWN(pairs[[#This Row],[ Back]],0),1)</f>
        <v>0.3</v>
      </c>
      <c r="I10" s="232">
        <f>IF( OR( OR(pairs[[#This Row],[Az*]]=0, pairs[[#This Row],[Back*]]=0), OR(pairs[[#This Row],[Az*]]=1, pairs[[#This Row],[Back*]]=1)), 1, 0)</f>
        <v>1</v>
      </c>
      <c r="J10" s="232">
        <f>IF(OR(pairs[[#This Row],[Az*]]=0.5,pairs[[#This Row],[Back*]]=0.5),1,0)</f>
        <v>0</v>
      </c>
      <c r="K10" s="232"/>
      <c r="L10" s="232"/>
    </row>
    <row r="11" spans="1:12">
      <c r="A11" s="231" t="s">
        <v>127</v>
      </c>
      <c r="B11" s="231" t="s">
        <v>145</v>
      </c>
      <c r="C11" s="232"/>
      <c r="D11" s="232">
        <v>315.76</v>
      </c>
      <c r="E11" s="233">
        <v>0.32497999999999999</v>
      </c>
      <c r="F11" s="234">
        <f>pairs[[#This Row],[ Dist]]*5280</f>
        <v>1715.8943999999999</v>
      </c>
      <c r="G11" s="232">
        <f>ROUND(pairs[[#This Row],[ Az]]-ROUNDDOWN(pairs[[#This Row],[ Az]],0),1)</f>
        <v>0</v>
      </c>
      <c r="H11" s="232">
        <f>ROUND(pairs[[#This Row],[ Back]]-ROUNDDOWN(pairs[[#This Row],[ Back]],0),1)</f>
        <v>0.8</v>
      </c>
      <c r="I11" s="232">
        <f>IF( OR( OR(pairs[[#This Row],[Az*]]=0, pairs[[#This Row],[Back*]]=0), OR(pairs[[#This Row],[Az*]]=1, pairs[[#This Row],[Back*]]=1)), 1, 0)</f>
        <v>1</v>
      </c>
      <c r="J11" s="232">
        <f>IF(OR(pairs[[#This Row],[Az*]]=0.5,pairs[[#This Row],[Back*]]=0.5),1,0)</f>
        <v>0</v>
      </c>
      <c r="K11" s="232"/>
      <c r="L11" s="232"/>
    </row>
    <row r="12" spans="1:12">
      <c r="A12" s="231" t="s">
        <v>127</v>
      </c>
      <c r="B12" s="231" t="s">
        <v>164</v>
      </c>
      <c r="C12" s="232"/>
      <c r="D12" s="232">
        <v>87.1</v>
      </c>
      <c r="E12" s="233">
        <v>0.57376499999999997</v>
      </c>
      <c r="F12" s="234">
        <f>pairs[[#This Row],[ Dist]]*5280</f>
        <v>3029.4791999999998</v>
      </c>
      <c r="G12" s="232">
        <f>ROUND(pairs[[#This Row],[ Az]]-ROUNDDOWN(pairs[[#This Row],[ Az]],0),1)</f>
        <v>0</v>
      </c>
      <c r="H12" s="232">
        <f>ROUND(pairs[[#This Row],[ Back]]-ROUNDDOWN(pairs[[#This Row],[ Back]],0),1)</f>
        <v>0.1</v>
      </c>
      <c r="I12" s="232">
        <f>IF( OR( OR(pairs[[#This Row],[Az*]]=0, pairs[[#This Row],[Back*]]=0), OR(pairs[[#This Row],[Az*]]=1, pairs[[#This Row],[Back*]]=1)), 1, 0)</f>
        <v>1</v>
      </c>
      <c r="J12" s="232">
        <f>IF(OR(pairs[[#This Row],[Az*]]=0.5,pairs[[#This Row],[Back*]]=0.5),1,0)</f>
        <v>0</v>
      </c>
      <c r="K12" s="232"/>
      <c r="L12" s="232"/>
    </row>
    <row r="13" spans="1:12">
      <c r="A13" s="231" t="s">
        <v>127</v>
      </c>
      <c r="B13" s="231" t="s">
        <v>144</v>
      </c>
      <c r="C13" s="232"/>
      <c r="D13" s="232">
        <v>310.89</v>
      </c>
      <c r="E13" s="233">
        <v>0.39359300000000003</v>
      </c>
      <c r="F13" s="234">
        <f>pairs[[#This Row],[ Dist]]*5280</f>
        <v>2078.1710400000002</v>
      </c>
      <c r="G13" s="232">
        <f>ROUND(pairs[[#This Row],[ Az]]-ROUNDDOWN(pairs[[#This Row],[ Az]],0),1)</f>
        <v>0</v>
      </c>
      <c r="H13" s="232">
        <f>ROUND(pairs[[#This Row],[ Back]]-ROUNDDOWN(pairs[[#This Row],[ Back]],0),1)</f>
        <v>0.9</v>
      </c>
      <c r="I13" s="232">
        <f>IF( OR( OR(pairs[[#This Row],[Az*]]=0, pairs[[#This Row],[Back*]]=0), OR(pairs[[#This Row],[Az*]]=1, pairs[[#This Row],[Back*]]=1)), 1, 0)</f>
        <v>1</v>
      </c>
      <c r="J13" s="232">
        <f>IF(OR(pairs[[#This Row],[Az*]]=0.5,pairs[[#This Row],[Back*]]=0.5),1,0)</f>
        <v>0</v>
      </c>
      <c r="K13" s="232"/>
      <c r="L13" s="232"/>
    </row>
    <row r="14" spans="1:12">
      <c r="A14" s="231" t="s">
        <v>127</v>
      </c>
      <c r="B14" s="231" t="s">
        <v>148</v>
      </c>
      <c r="C14" s="232"/>
      <c r="D14" s="232">
        <v>179.91</v>
      </c>
      <c r="E14" s="233">
        <v>7.1004189999999996</v>
      </c>
      <c r="F14" s="234">
        <f>pairs[[#This Row],[ Dist]]*5280</f>
        <v>37490.212319999999</v>
      </c>
      <c r="G14" s="232">
        <f>ROUND(pairs[[#This Row],[ Az]]-ROUNDDOWN(pairs[[#This Row],[ Az]],0),1)</f>
        <v>0</v>
      </c>
      <c r="H14" s="232">
        <f>ROUND(pairs[[#This Row],[ Back]]-ROUNDDOWN(pairs[[#This Row],[ Back]],0),1)</f>
        <v>0.9</v>
      </c>
      <c r="I14" s="232">
        <f>IF( OR( OR(pairs[[#This Row],[Az*]]=0, pairs[[#This Row],[Back*]]=0), OR(pairs[[#This Row],[Az*]]=1, pairs[[#This Row],[Back*]]=1)), 1, 0)</f>
        <v>1</v>
      </c>
      <c r="J14" s="232">
        <f>IF(OR(pairs[[#This Row],[Az*]]=0.5,pairs[[#This Row],[Back*]]=0.5),1,0)</f>
        <v>0</v>
      </c>
      <c r="K14" s="232"/>
      <c r="L14" s="232"/>
    </row>
    <row r="15" spans="1:12">
      <c r="A15" s="231" t="s">
        <v>127</v>
      </c>
      <c r="B15" s="231" t="s">
        <v>152</v>
      </c>
      <c r="C15" s="232"/>
      <c r="D15" s="232">
        <v>159.94</v>
      </c>
      <c r="E15" s="233">
        <v>3.1238999999999999E-2</v>
      </c>
      <c r="F15" s="234">
        <f>pairs[[#This Row],[ Dist]]*5280</f>
        <v>164.94192000000001</v>
      </c>
      <c r="G15" s="232">
        <f>ROUND(pairs[[#This Row],[ Az]]-ROUNDDOWN(pairs[[#This Row],[ Az]],0),1)</f>
        <v>0</v>
      </c>
      <c r="H15" s="232">
        <f>ROUND(pairs[[#This Row],[ Back]]-ROUNDDOWN(pairs[[#This Row],[ Back]],0),1)</f>
        <v>0.9</v>
      </c>
      <c r="I15" s="232">
        <f>IF( OR( OR(pairs[[#This Row],[Az*]]=0, pairs[[#This Row],[Back*]]=0), OR(pairs[[#This Row],[Az*]]=1, pairs[[#This Row],[Back*]]=1)), 1, 0)</f>
        <v>1</v>
      </c>
      <c r="J15" s="232">
        <f>IF(OR(pairs[[#This Row],[Az*]]=0.5,pairs[[#This Row],[Back*]]=0.5),1,0)</f>
        <v>0</v>
      </c>
      <c r="K15" s="232"/>
      <c r="L15" s="232"/>
    </row>
    <row r="16" spans="1:12">
      <c r="A16" s="231" t="s">
        <v>127</v>
      </c>
      <c r="B16" s="231" t="s">
        <v>147</v>
      </c>
      <c r="C16" s="232"/>
      <c r="D16" s="232">
        <v>28.11</v>
      </c>
      <c r="E16" s="233">
        <v>1.7345950000000001</v>
      </c>
      <c r="F16" s="234">
        <f>pairs[[#This Row],[ Dist]]*5280</f>
        <v>9158.6616000000013</v>
      </c>
      <c r="G16" s="232">
        <f>ROUND(pairs[[#This Row],[ Az]]-ROUNDDOWN(pairs[[#This Row],[ Az]],0),1)</f>
        <v>0</v>
      </c>
      <c r="H16" s="232">
        <f>ROUND(pairs[[#This Row],[ Back]]-ROUNDDOWN(pairs[[#This Row],[ Back]],0),1)</f>
        <v>0.1</v>
      </c>
      <c r="I16" s="232">
        <f>IF( OR( OR(pairs[[#This Row],[Az*]]=0, pairs[[#This Row],[Back*]]=0), OR(pairs[[#This Row],[Az*]]=1, pairs[[#This Row],[Back*]]=1)), 1, 0)</f>
        <v>1</v>
      </c>
      <c r="J16" s="232">
        <f>IF(OR(pairs[[#This Row],[Az*]]=0.5,pairs[[#This Row],[Back*]]=0.5),1,0)</f>
        <v>0</v>
      </c>
      <c r="K16" s="232"/>
      <c r="L16" s="232"/>
    </row>
    <row r="17" spans="1:12">
      <c r="A17" s="231" t="s">
        <v>127</v>
      </c>
      <c r="B17" s="231" t="s">
        <v>161</v>
      </c>
      <c r="C17" s="232"/>
      <c r="D17" s="232">
        <v>123.84</v>
      </c>
      <c r="E17" s="233">
        <v>5.122357</v>
      </c>
      <c r="F17" s="234">
        <f>pairs[[#This Row],[ Dist]]*5280</f>
        <v>27046.044959999999</v>
      </c>
      <c r="G17" s="232">
        <f>ROUND(pairs[[#This Row],[ Az]]-ROUNDDOWN(pairs[[#This Row],[ Az]],0),1)</f>
        <v>0</v>
      </c>
      <c r="H17" s="232">
        <f>ROUND(pairs[[#This Row],[ Back]]-ROUNDDOWN(pairs[[#This Row],[ Back]],0),1)</f>
        <v>0.8</v>
      </c>
      <c r="I17" s="232">
        <f>IF( OR( OR(pairs[[#This Row],[Az*]]=0, pairs[[#This Row],[Back*]]=0), OR(pairs[[#This Row],[Az*]]=1, pairs[[#This Row],[Back*]]=1)), 1, 0)</f>
        <v>1</v>
      </c>
      <c r="J17" s="232">
        <f>IF(OR(pairs[[#This Row],[Az*]]=0.5,pairs[[#This Row],[Back*]]=0.5),1,0)</f>
        <v>0</v>
      </c>
      <c r="K17" s="232"/>
      <c r="L17" s="232"/>
    </row>
    <row r="18" spans="1:12">
      <c r="A18" s="231" t="s">
        <v>127</v>
      </c>
      <c r="B18" s="231" t="s">
        <v>162</v>
      </c>
      <c r="C18" s="232"/>
      <c r="D18" s="232">
        <v>174.83</v>
      </c>
      <c r="E18" s="233">
        <v>6.5273139999999996</v>
      </c>
      <c r="F18" s="234">
        <f>pairs[[#This Row],[ Dist]]*5280</f>
        <v>34464.217919999996</v>
      </c>
      <c r="G18" s="232">
        <f>ROUND(pairs[[#This Row],[ Az]]-ROUNDDOWN(pairs[[#This Row],[ Az]],0),1)</f>
        <v>0</v>
      </c>
      <c r="H18" s="232">
        <f>ROUND(pairs[[#This Row],[ Back]]-ROUNDDOWN(pairs[[#This Row],[ Back]],0),1)</f>
        <v>0.8</v>
      </c>
      <c r="I18" s="232">
        <f>IF( OR( OR(pairs[[#This Row],[Az*]]=0, pairs[[#This Row],[Back*]]=0), OR(pairs[[#This Row],[Az*]]=1, pairs[[#This Row],[Back*]]=1)), 1, 0)</f>
        <v>1</v>
      </c>
      <c r="J18" s="232">
        <f>IF(OR(pairs[[#This Row],[Az*]]=0.5,pairs[[#This Row],[Back*]]=0.5),1,0)</f>
        <v>0</v>
      </c>
      <c r="K18" s="232"/>
      <c r="L18" s="232"/>
    </row>
    <row r="19" spans="1:12">
      <c r="A19" s="231" t="s">
        <v>127</v>
      </c>
      <c r="B19" s="231" t="s">
        <v>157</v>
      </c>
      <c r="C19" s="232"/>
      <c r="D19" s="232">
        <v>340.58</v>
      </c>
      <c r="E19" s="233">
        <v>2.7858969999999998</v>
      </c>
      <c r="F19" s="234">
        <f>pairs[[#This Row],[ Dist]]*5280</f>
        <v>14709.53616</v>
      </c>
      <c r="G19" s="232">
        <f>ROUND(pairs[[#This Row],[ Az]]-ROUNDDOWN(pairs[[#This Row],[ Az]],0),1)</f>
        <v>0</v>
      </c>
      <c r="H19" s="232">
        <f>ROUND(pairs[[#This Row],[ Back]]-ROUNDDOWN(pairs[[#This Row],[ Back]],0),1)</f>
        <v>0.6</v>
      </c>
      <c r="I19" s="232">
        <f>IF( OR( OR(pairs[[#This Row],[Az*]]=0, pairs[[#This Row],[Back*]]=0), OR(pairs[[#This Row],[Az*]]=1, pairs[[#This Row],[Back*]]=1)), 1, 0)</f>
        <v>1</v>
      </c>
      <c r="J19" s="232">
        <f>IF(OR(pairs[[#This Row],[Az*]]=0.5,pairs[[#This Row],[Back*]]=0.5),1,0)</f>
        <v>0</v>
      </c>
      <c r="K19" s="232"/>
      <c r="L19" s="232"/>
    </row>
    <row r="20" spans="1:12">
      <c r="A20" s="231" t="s">
        <v>127</v>
      </c>
      <c r="B20" s="231" t="s">
        <v>149</v>
      </c>
      <c r="C20" s="232"/>
      <c r="D20" s="232">
        <v>359.91</v>
      </c>
      <c r="E20" s="233">
        <v>7.1036710000000003</v>
      </c>
      <c r="F20" s="234">
        <f>pairs[[#This Row],[ Dist]]*5280</f>
        <v>37507.382880000005</v>
      </c>
      <c r="G20" s="232">
        <f>ROUND(pairs[[#This Row],[ Az]]-ROUNDDOWN(pairs[[#This Row],[ Az]],0),1)</f>
        <v>0</v>
      </c>
      <c r="H20" s="232">
        <f>ROUND(pairs[[#This Row],[ Back]]-ROUNDDOWN(pairs[[#This Row],[ Back]],0),1)</f>
        <v>0.9</v>
      </c>
      <c r="I20" s="232">
        <f>IF( OR( OR(pairs[[#This Row],[Az*]]=0, pairs[[#This Row],[Back*]]=0), OR(pairs[[#This Row],[Az*]]=1, pairs[[#This Row],[Back*]]=1)), 1, 0)</f>
        <v>1</v>
      </c>
      <c r="J20" s="232">
        <f>IF(OR(pairs[[#This Row],[Az*]]=0.5,pairs[[#This Row],[Back*]]=0.5),1,0)</f>
        <v>0</v>
      </c>
      <c r="K20" s="232"/>
      <c r="L20" s="232"/>
    </row>
    <row r="21" spans="1:12">
      <c r="A21" s="231" t="s">
        <v>127</v>
      </c>
      <c r="B21" s="231" t="s">
        <v>153</v>
      </c>
      <c r="C21" s="232"/>
      <c r="D21" s="232">
        <v>341.72</v>
      </c>
      <c r="E21" s="233">
        <v>3.4327000000000003E-2</v>
      </c>
      <c r="F21" s="234">
        <f>pairs[[#This Row],[ Dist]]*5280</f>
        <v>181.24656000000002</v>
      </c>
      <c r="G21" s="232">
        <f>ROUND(pairs[[#This Row],[ Az]]-ROUNDDOWN(pairs[[#This Row],[ Az]],0),1)</f>
        <v>0</v>
      </c>
      <c r="H21" s="232">
        <f>ROUND(pairs[[#This Row],[ Back]]-ROUNDDOWN(pairs[[#This Row],[ Back]],0),1)</f>
        <v>0.7</v>
      </c>
      <c r="I21" s="232">
        <f>IF( OR( OR(pairs[[#This Row],[Az*]]=0, pairs[[#This Row],[Back*]]=0), OR(pairs[[#This Row],[Az*]]=1, pairs[[#This Row],[Back*]]=1)), 1, 0)</f>
        <v>1</v>
      </c>
      <c r="J21" s="232">
        <f>IF(OR(pairs[[#This Row],[Az*]]=0.5,pairs[[#This Row],[Back*]]=0.5),1,0)</f>
        <v>0</v>
      </c>
      <c r="K21" s="232"/>
      <c r="L21" s="232"/>
    </row>
    <row r="22" spans="1:12" ht="14.1">
      <c r="A22" s="23" t="s">
        <v>127</v>
      </c>
      <c r="B22" s="23" t="s">
        <v>150</v>
      </c>
      <c r="C22" s="229"/>
      <c r="D22" s="229">
        <v>90</v>
      </c>
      <c r="E22" s="25">
        <v>7.0710680000000004</v>
      </c>
      <c r="F22" s="230">
        <f>pairs[[#This Row],[ Dist]]*5280</f>
        <v>37335.23904</v>
      </c>
      <c r="G22" s="232">
        <f>ROUND(pairs[[#This Row],[ Az]]-ROUNDDOWN(pairs[[#This Row],[ Az]],0),1)</f>
        <v>0</v>
      </c>
      <c r="H22" s="232">
        <f>ROUND(pairs[[#This Row],[ Back]]-ROUNDDOWN(pairs[[#This Row],[ Back]],0),1)</f>
        <v>0</v>
      </c>
      <c r="I22" s="232">
        <f>IF( OR( OR(pairs[[#This Row],[Az*]]=0, pairs[[#This Row],[Back*]]=0), OR(pairs[[#This Row],[Az*]]=1, pairs[[#This Row],[Back*]]=1)), 1, 0)</f>
        <v>1</v>
      </c>
      <c r="J22" s="232">
        <f>IF(OR(pairs[[#This Row],[Az*]]=0.5,pairs[[#This Row],[Back*]]=0.5),1,0)</f>
        <v>0</v>
      </c>
      <c r="K22" s="232"/>
      <c r="L22" s="232"/>
    </row>
    <row r="23" spans="1:12" ht="14.1">
      <c r="A23" s="23" t="s">
        <v>123</v>
      </c>
      <c r="B23" s="23" t="s">
        <v>156</v>
      </c>
      <c r="C23" s="229"/>
      <c r="D23" s="229">
        <v>270.12</v>
      </c>
      <c r="E23" s="25">
        <v>7.0725119999999997</v>
      </c>
      <c r="F23" s="230">
        <f>pairs[[#This Row],[ Dist]]*5280</f>
        <v>37342.863359999996</v>
      </c>
      <c r="G23" s="232">
        <f>ROUND(pairs[[#This Row],[ Az]]-ROUNDDOWN(pairs[[#This Row],[ Az]],0),1)</f>
        <v>0</v>
      </c>
      <c r="H23" s="232">
        <f>ROUND(pairs[[#This Row],[ Back]]-ROUNDDOWN(pairs[[#This Row],[ Back]],0),1)</f>
        <v>0.1</v>
      </c>
      <c r="I23" s="242">
        <v>0</v>
      </c>
      <c r="J23" s="232">
        <f>IF(OR(pairs[[#This Row],[Az*]]=0.5,pairs[[#This Row],[Back*]]=0.5),1,0)</f>
        <v>0</v>
      </c>
      <c r="K23" s="232"/>
      <c r="L23" s="232"/>
    </row>
    <row r="24" spans="1:12" ht="14.1">
      <c r="A24" s="23" t="s">
        <v>123</v>
      </c>
      <c r="B24" s="23" t="s">
        <v>163</v>
      </c>
      <c r="C24" s="229"/>
      <c r="D24" s="229">
        <v>262.02999999999997</v>
      </c>
      <c r="E24" s="25">
        <v>12.5075</v>
      </c>
      <c r="F24" s="230">
        <f>pairs[[#This Row],[ Dist]]*5280</f>
        <v>66039.600000000006</v>
      </c>
      <c r="G24" s="232">
        <f>ROUND(pairs[[#This Row],[ Az]]-ROUNDDOWN(pairs[[#This Row],[ Az]],0),1)</f>
        <v>0</v>
      </c>
      <c r="H24" s="232">
        <f>ROUND(pairs[[#This Row],[ Back]]-ROUNDDOWN(pairs[[#This Row],[ Back]],0),1)</f>
        <v>0</v>
      </c>
      <c r="I24" s="232">
        <f>IF( OR( OR(pairs[[#This Row],[Az*]]=0, pairs[[#This Row],[Back*]]=0), OR(pairs[[#This Row],[Az*]]=1, pairs[[#This Row],[Back*]]=1)), 1, 0)</f>
        <v>1</v>
      </c>
      <c r="J24" s="232">
        <f>IF(OR(pairs[[#This Row],[Az*]]=0.5,pairs[[#This Row],[Back*]]=0.5),1,0)</f>
        <v>0</v>
      </c>
      <c r="K24" s="232"/>
      <c r="L24" s="232"/>
    </row>
    <row r="25" spans="1:12">
      <c r="A25" s="231" t="s">
        <v>123</v>
      </c>
      <c r="B25" s="231" t="s">
        <v>143</v>
      </c>
      <c r="C25" s="232"/>
      <c r="D25" s="232">
        <v>270.27</v>
      </c>
      <c r="E25" s="233">
        <v>8.7863690000000005</v>
      </c>
      <c r="F25" s="234">
        <f>pairs[[#This Row],[ Dist]]*5280</f>
        <v>46392.028320000005</v>
      </c>
      <c r="G25" s="232">
        <f>ROUND(pairs[[#This Row],[ Az]]-ROUNDDOWN(pairs[[#This Row],[ Az]],0),1)</f>
        <v>0</v>
      </c>
      <c r="H25" s="232">
        <f>ROUND(pairs[[#This Row],[ Back]]-ROUNDDOWN(pairs[[#This Row],[ Back]],0),1)</f>
        <v>0.3</v>
      </c>
      <c r="I25" s="232">
        <f>IF( OR( OR(pairs[[#This Row],[Az*]]=0, pairs[[#This Row],[Back*]]=0), OR(pairs[[#This Row],[Az*]]=1, pairs[[#This Row],[Back*]]=1)), 1, 0)</f>
        <v>1</v>
      </c>
      <c r="J25" s="232">
        <f>IF(OR(pairs[[#This Row],[Az*]]=0.5,pairs[[#This Row],[Back*]]=0.5),1,0)</f>
        <v>0</v>
      </c>
      <c r="K25" s="232"/>
      <c r="L25" s="232"/>
    </row>
    <row r="26" spans="1:12">
      <c r="A26" s="231" t="s">
        <v>123</v>
      </c>
      <c r="B26" s="231" t="s">
        <v>151</v>
      </c>
      <c r="C26" s="232"/>
      <c r="D26" s="232">
        <v>270.19</v>
      </c>
      <c r="E26" s="233">
        <v>14.147874</v>
      </c>
      <c r="F26" s="234">
        <f>pairs[[#This Row],[ Dist]]*5280</f>
        <v>74700.774720000001</v>
      </c>
      <c r="G26" s="232">
        <f>ROUND(pairs[[#This Row],[ Az]]-ROUNDDOWN(pairs[[#This Row],[ Az]],0),1)</f>
        <v>0</v>
      </c>
      <c r="H26" s="232">
        <f>ROUND(pairs[[#This Row],[ Back]]-ROUNDDOWN(pairs[[#This Row],[ Back]],0),1)</f>
        <v>0.2</v>
      </c>
      <c r="I26" s="232">
        <f>IF( OR( OR(pairs[[#This Row],[Az*]]=0, pairs[[#This Row],[Back*]]=0), OR(pairs[[#This Row],[Az*]]=1, pairs[[#This Row],[Back*]]=1)), 1, 0)</f>
        <v>1</v>
      </c>
      <c r="J26" s="232">
        <f>IF(OR(pairs[[#This Row],[Az*]]=0.5,pairs[[#This Row],[Back*]]=0.5),1,0)</f>
        <v>0</v>
      </c>
      <c r="K26" s="232"/>
      <c r="L26" s="232"/>
    </row>
    <row r="27" spans="1:12">
      <c r="A27" s="231" t="s">
        <v>123</v>
      </c>
      <c r="B27" s="231" t="s">
        <v>155</v>
      </c>
      <c r="C27" s="232"/>
      <c r="D27" s="232">
        <v>270.3</v>
      </c>
      <c r="E27" s="233">
        <v>7.0768849999999999</v>
      </c>
      <c r="F27" s="234">
        <f>pairs[[#This Row],[ Dist]]*5280</f>
        <v>37365.952799999999</v>
      </c>
      <c r="G27" s="232">
        <f>ROUND(pairs[[#This Row],[ Az]]-ROUNDDOWN(pairs[[#This Row],[ Az]],0),1)</f>
        <v>0</v>
      </c>
      <c r="H27" s="232">
        <f>ROUND(pairs[[#This Row],[ Back]]-ROUNDDOWN(pairs[[#This Row],[ Back]],0),1)</f>
        <v>0.3</v>
      </c>
      <c r="I27" s="232">
        <f>IF( OR( OR(pairs[[#This Row],[Az*]]=0, pairs[[#This Row],[Back*]]=0), OR(pairs[[#This Row],[Az*]]=1, pairs[[#This Row],[Back*]]=1)), 1, 0)</f>
        <v>1</v>
      </c>
      <c r="J27" s="232">
        <f>IF(OR(pairs[[#This Row],[Az*]]=0.5,pairs[[#This Row],[Back*]]=0.5),1,0)</f>
        <v>0</v>
      </c>
      <c r="K27" s="232"/>
      <c r="L27" s="232"/>
    </row>
    <row r="28" spans="1:12">
      <c r="A28" s="231" t="s">
        <v>123</v>
      </c>
      <c r="B28" s="231" t="s">
        <v>158</v>
      </c>
      <c r="C28" s="232"/>
      <c r="D28" s="232">
        <v>271.94</v>
      </c>
      <c r="E28" s="233">
        <v>8.8248010000000008</v>
      </c>
      <c r="F28" s="234">
        <f>pairs[[#This Row],[ Dist]]*5280</f>
        <v>46594.949280000001</v>
      </c>
      <c r="G28" s="232">
        <f>ROUND(pairs[[#This Row],[ Az]]-ROUNDDOWN(pairs[[#This Row],[ Az]],0),1)</f>
        <v>0</v>
      </c>
      <c r="H28" s="232">
        <f>ROUND(pairs[[#This Row],[ Back]]-ROUNDDOWN(pairs[[#This Row],[ Back]],0),1)</f>
        <v>0.9</v>
      </c>
      <c r="I28" s="232">
        <f>IF( OR( OR(pairs[[#This Row],[Az*]]=0, pairs[[#This Row],[Back*]]=0), OR(pairs[[#This Row],[Az*]]=1, pairs[[#This Row],[Back*]]=1)), 1, 0)</f>
        <v>1</v>
      </c>
      <c r="J28" s="232">
        <f>IF(OR(pairs[[#This Row],[Az*]]=0.5,pairs[[#This Row],[Back*]]=0.5),1,0)</f>
        <v>0</v>
      </c>
      <c r="K28" s="232"/>
      <c r="L28" s="232"/>
    </row>
    <row r="29" spans="1:12" ht="14.1">
      <c r="A29" s="206" t="s">
        <v>123</v>
      </c>
      <c r="B29" s="206" t="s">
        <v>159</v>
      </c>
      <c r="C29" s="235"/>
      <c r="D29" s="235">
        <v>270.52</v>
      </c>
      <c r="E29" s="236">
        <v>6.5326079999999997</v>
      </c>
      <c r="F29" s="237">
        <f>pairs[[#This Row],[ Dist]]*5280</f>
        <v>34492.170239999999</v>
      </c>
      <c r="G29" s="235">
        <f>ROUND(pairs[[#This Row],[ Az]]-ROUNDDOWN(pairs[[#This Row],[ Az]],0),1)</f>
        <v>0</v>
      </c>
      <c r="H29" s="235">
        <f>ROUND(pairs[[#This Row],[ Back]]-ROUNDDOWN(pairs[[#This Row],[ Back]],0),1)</f>
        <v>0.5</v>
      </c>
      <c r="I29" s="235">
        <f>IF( OR( OR(pairs[[#This Row],[Az*]]=0, pairs[[#This Row],[Back*]]=0), OR(pairs[[#This Row],[Az*]]=1, pairs[[#This Row],[Back*]]=1)), 1, 0)</f>
        <v>1</v>
      </c>
      <c r="J29" s="235">
        <f>IF(OR(pairs[[#This Row],[Az*]]=0.5,pairs[[#This Row],[Back*]]=0.5),1,0)</f>
        <v>1</v>
      </c>
      <c r="K29" s="232"/>
      <c r="L29" s="232"/>
    </row>
    <row r="30" spans="1:12">
      <c r="A30" s="231" t="s">
        <v>123</v>
      </c>
      <c r="B30" s="231" t="s">
        <v>160</v>
      </c>
      <c r="C30" s="232"/>
      <c r="D30" s="232">
        <v>267.91000000000003</v>
      </c>
      <c r="E30" s="233">
        <v>7.3920329999999996</v>
      </c>
      <c r="F30" s="234">
        <f>pairs[[#This Row],[ Dist]]*5280</f>
        <v>39029.934239999995</v>
      </c>
      <c r="G30" s="232">
        <f>ROUND(pairs[[#This Row],[ Az]]-ROUNDDOWN(pairs[[#This Row],[ Az]],0),1)</f>
        <v>0</v>
      </c>
      <c r="H30" s="232">
        <f>ROUND(pairs[[#This Row],[ Back]]-ROUNDDOWN(pairs[[#This Row],[ Back]],0),1)</f>
        <v>0.9</v>
      </c>
      <c r="I30" s="232">
        <f>IF( OR( OR(pairs[[#This Row],[Az*]]=0, pairs[[#This Row],[Back*]]=0), OR(pairs[[#This Row],[Az*]]=1, pairs[[#This Row],[Back*]]=1)), 1, 0)</f>
        <v>1</v>
      </c>
      <c r="J30" s="232">
        <f>IF(OR(pairs[[#This Row],[Az*]]=0.5,pairs[[#This Row],[Back*]]=0.5),1,0)</f>
        <v>0</v>
      </c>
      <c r="K30" s="232"/>
      <c r="L30" s="232"/>
    </row>
    <row r="31" spans="1:12">
      <c r="A31" s="231" t="s">
        <v>123</v>
      </c>
      <c r="B31" s="231" t="s">
        <v>146</v>
      </c>
      <c r="C31" s="232"/>
      <c r="D31" s="232">
        <v>268.89</v>
      </c>
      <c r="E31" s="233">
        <v>6.4992619999999999</v>
      </c>
      <c r="F31" s="234">
        <f>pairs[[#This Row],[ Dist]]*5280</f>
        <v>34316.103360000001</v>
      </c>
      <c r="G31" s="232">
        <f>ROUND(pairs[[#This Row],[ Az]]-ROUNDDOWN(pairs[[#This Row],[ Az]],0),1)</f>
        <v>0</v>
      </c>
      <c r="H31" s="232">
        <f>ROUND(pairs[[#This Row],[ Back]]-ROUNDDOWN(pairs[[#This Row],[ Back]],0),1)</f>
        <v>0.9</v>
      </c>
      <c r="I31" s="232">
        <f>IF( OR( OR(pairs[[#This Row],[Az*]]=0, pairs[[#This Row],[Back*]]=0), OR(pairs[[#This Row],[Az*]]=1, pairs[[#This Row],[Back*]]=1)), 1, 0)</f>
        <v>1</v>
      </c>
      <c r="J31" s="232">
        <f>IF(OR(pairs[[#This Row],[Az*]]=0.5,pairs[[#This Row],[Back*]]=0.5),1,0)</f>
        <v>0</v>
      </c>
      <c r="K31" s="232"/>
      <c r="L31" s="232"/>
    </row>
    <row r="32" spans="1:12">
      <c r="A32" s="231" t="s">
        <v>123</v>
      </c>
      <c r="B32" s="231" t="s">
        <v>145</v>
      </c>
      <c r="C32" s="232"/>
      <c r="D32" s="232">
        <v>271.91000000000003</v>
      </c>
      <c r="E32" s="233">
        <v>7.3018559999999999</v>
      </c>
      <c r="F32" s="234">
        <f>pairs[[#This Row],[ Dist]]*5280</f>
        <v>38553.799679999996</v>
      </c>
      <c r="G32" s="232">
        <f>ROUND(pairs[[#This Row],[ Az]]-ROUNDDOWN(pairs[[#This Row],[ Az]],0),1)</f>
        <v>0</v>
      </c>
      <c r="H32" s="232">
        <f>ROUND(pairs[[#This Row],[ Back]]-ROUNDDOWN(pairs[[#This Row],[ Back]],0),1)</f>
        <v>0.9</v>
      </c>
      <c r="I32" s="232">
        <f>IF( OR( OR(pairs[[#This Row],[Az*]]=0, pairs[[#This Row],[Back*]]=0), OR(pairs[[#This Row],[Az*]]=1, pairs[[#This Row],[Back*]]=1)), 1, 0)</f>
        <v>1</v>
      </c>
      <c r="J32" s="232">
        <f>IF(OR(pairs[[#This Row],[Az*]]=0.5,pairs[[#This Row],[Back*]]=0.5),1,0)</f>
        <v>0</v>
      </c>
      <c r="K32" s="232"/>
      <c r="L32" s="232"/>
    </row>
    <row r="33" spans="1:12">
      <c r="A33" s="231" t="s">
        <v>123</v>
      </c>
      <c r="B33" s="231" t="s">
        <v>164</v>
      </c>
      <c r="C33" s="232"/>
      <c r="D33" s="232">
        <v>270.33999999999997</v>
      </c>
      <c r="E33" s="233">
        <v>6.4981470000000003</v>
      </c>
      <c r="F33" s="234">
        <f>pairs[[#This Row],[ Dist]]*5280</f>
        <v>34310.216160000004</v>
      </c>
      <c r="G33" s="232">
        <f>ROUND(pairs[[#This Row],[ Az]]-ROUNDDOWN(pairs[[#This Row],[ Az]],0),1)</f>
        <v>0</v>
      </c>
      <c r="H33" s="232">
        <f>ROUND(pairs[[#This Row],[ Back]]-ROUNDDOWN(pairs[[#This Row],[ Back]],0),1)</f>
        <v>0.3</v>
      </c>
      <c r="I33" s="232">
        <f>IF( OR( OR(pairs[[#This Row],[Az*]]=0, pairs[[#This Row],[Back*]]=0), OR(pairs[[#This Row],[Az*]]=1, pairs[[#This Row],[Back*]]=1)), 1, 0)</f>
        <v>1</v>
      </c>
      <c r="J33" s="232">
        <f>IF(OR(pairs[[#This Row],[Az*]]=0.5,pairs[[#This Row],[Back*]]=0.5),1,0)</f>
        <v>0</v>
      </c>
      <c r="K33" s="232"/>
      <c r="L33" s="232"/>
    </row>
    <row r="34" spans="1:12" ht="14.1">
      <c r="A34" s="23" t="s">
        <v>123</v>
      </c>
      <c r="B34" s="23" t="s">
        <v>144</v>
      </c>
      <c r="C34" s="229"/>
      <c r="D34" s="229">
        <v>272.08</v>
      </c>
      <c r="E34" s="25">
        <v>7.3734970000000004</v>
      </c>
      <c r="F34" s="230">
        <f>pairs[[#This Row],[ Dist]]*5280</f>
        <v>38932.064160000002</v>
      </c>
      <c r="G34" s="232">
        <f>ROUND(pairs[[#This Row],[ Az]]-ROUNDDOWN(pairs[[#This Row],[ Az]],0),1)</f>
        <v>0</v>
      </c>
      <c r="H34" s="232">
        <f>ROUND(pairs[[#This Row],[ Back]]-ROUNDDOWN(pairs[[#This Row],[ Back]],0),1)</f>
        <v>0.1</v>
      </c>
      <c r="I34" s="232">
        <f>IF( OR( OR(pairs[[#This Row],[Az*]]=0, pairs[[#This Row],[Back*]]=0), OR(pairs[[#This Row],[Az*]]=1, pairs[[#This Row],[Back*]]=1)), 1, 0)</f>
        <v>1</v>
      </c>
      <c r="J34" s="232">
        <f>IF(OR(pairs[[#This Row],[Az*]]=0.5,pairs[[#This Row],[Back*]]=0.5),1,0)</f>
        <v>0</v>
      </c>
      <c r="K34" s="232"/>
      <c r="L34" s="232"/>
    </row>
    <row r="35" spans="1:12">
      <c r="A35" s="231" t="s">
        <v>123</v>
      </c>
      <c r="B35" s="231" t="s">
        <v>148</v>
      </c>
      <c r="C35" s="232"/>
      <c r="D35" s="232">
        <v>224.88</v>
      </c>
      <c r="E35" s="233">
        <v>10.005990000000001</v>
      </c>
      <c r="F35" s="234">
        <f>pairs[[#This Row],[ Dist]]*5280</f>
        <v>52831.627200000003</v>
      </c>
      <c r="G35" s="232">
        <f>ROUND(pairs[[#This Row],[ Az]]-ROUNDDOWN(pairs[[#This Row],[ Az]],0),1)</f>
        <v>0</v>
      </c>
      <c r="H35" s="232">
        <f>ROUND(pairs[[#This Row],[ Back]]-ROUNDDOWN(pairs[[#This Row],[ Back]],0),1)</f>
        <v>0.9</v>
      </c>
      <c r="I35" s="232">
        <f>IF( OR( OR(pairs[[#This Row],[Az*]]=0, pairs[[#This Row],[Back*]]=0), OR(pairs[[#This Row],[Az*]]=1, pairs[[#This Row],[Back*]]=1)), 1, 0)</f>
        <v>1</v>
      </c>
      <c r="J35" s="232">
        <f>IF(OR(pairs[[#This Row],[Az*]]=0.5,pairs[[#This Row],[Back*]]=0.5),1,0)</f>
        <v>0</v>
      </c>
      <c r="K35" s="232"/>
      <c r="L35" s="232"/>
    </row>
    <row r="36" spans="1:12">
      <c r="A36" s="231" t="s">
        <v>123</v>
      </c>
      <c r="B36" s="231" t="s">
        <v>152</v>
      </c>
      <c r="C36" s="232"/>
      <c r="D36" s="232">
        <v>269.83999999999997</v>
      </c>
      <c r="E36" s="233">
        <v>7.0603689999999997</v>
      </c>
      <c r="F36" s="234">
        <f>pairs[[#This Row],[ Dist]]*5280</f>
        <v>37278.748319999999</v>
      </c>
      <c r="G36" s="232">
        <f>ROUND(pairs[[#This Row],[ Az]]-ROUNDDOWN(pairs[[#This Row],[ Az]],0),1)</f>
        <v>0</v>
      </c>
      <c r="H36" s="232">
        <f>ROUND(pairs[[#This Row],[ Back]]-ROUNDDOWN(pairs[[#This Row],[ Back]],0),1)</f>
        <v>0.8</v>
      </c>
      <c r="I36" s="232">
        <f>IF( OR( OR(pairs[[#This Row],[Az*]]=0, pairs[[#This Row],[Back*]]=0), OR(pairs[[#This Row],[Az*]]=1, pairs[[#This Row],[Back*]]=1)), 1, 0)</f>
        <v>1</v>
      </c>
      <c r="J36" s="232">
        <f>IF(OR(pairs[[#This Row],[Az*]]=0.5,pairs[[#This Row],[Back*]]=0.5),1,0)</f>
        <v>0</v>
      </c>
      <c r="K36" s="232"/>
      <c r="L36" s="232"/>
    </row>
    <row r="37" spans="1:12">
      <c r="A37" s="231" t="s">
        <v>123</v>
      </c>
      <c r="B37" s="231" t="s">
        <v>147</v>
      </c>
      <c r="C37" s="232"/>
      <c r="D37" s="232">
        <v>283.83</v>
      </c>
      <c r="E37" s="233">
        <v>6.4404640000000004</v>
      </c>
      <c r="F37" s="234">
        <f>pairs[[#This Row],[ Dist]]*5280</f>
        <v>34005.649920000003</v>
      </c>
      <c r="G37" s="232">
        <f>ROUND(pairs[[#This Row],[ Az]]-ROUNDDOWN(pairs[[#This Row],[ Az]],0),1)</f>
        <v>0</v>
      </c>
      <c r="H37" s="232">
        <f>ROUND(pairs[[#This Row],[ Back]]-ROUNDDOWN(pairs[[#This Row],[ Back]],0),1)</f>
        <v>0.8</v>
      </c>
      <c r="I37" s="232">
        <f>IF( OR( OR(pairs[[#This Row],[Az*]]=0, pairs[[#This Row],[Back*]]=0), OR(pairs[[#This Row],[Az*]]=1, pairs[[#This Row],[Back*]]=1)), 1, 0)</f>
        <v>1</v>
      </c>
      <c r="J37" s="232">
        <f>IF(OR(pairs[[#This Row],[Az*]]=0.5,pairs[[#This Row],[Back*]]=0.5),1,0)</f>
        <v>0</v>
      </c>
      <c r="K37" s="232"/>
      <c r="L37" s="232"/>
    </row>
    <row r="38" spans="1:12">
      <c r="A38" s="231" t="s">
        <v>123</v>
      </c>
      <c r="B38" s="231" t="s">
        <v>161</v>
      </c>
      <c r="C38" s="232"/>
      <c r="D38" s="232">
        <v>224.68</v>
      </c>
      <c r="E38" s="233">
        <v>4.0059399999999998</v>
      </c>
      <c r="F38" s="234">
        <f>pairs[[#This Row],[ Dist]]*5280</f>
        <v>21151.3632</v>
      </c>
      <c r="G38" s="232">
        <f>ROUND(pairs[[#This Row],[ Az]]-ROUNDDOWN(pairs[[#This Row],[ Az]],0),1)</f>
        <v>0</v>
      </c>
      <c r="H38" s="232">
        <f>ROUND(pairs[[#This Row],[ Back]]-ROUNDDOWN(pairs[[#This Row],[ Back]],0),1)</f>
        <v>0.7</v>
      </c>
      <c r="I38" s="232">
        <f>IF( OR( OR(pairs[[#This Row],[Az*]]=0, pairs[[#This Row],[Back*]]=0), OR(pairs[[#This Row],[Az*]]=1, pairs[[#This Row],[Back*]]=1)), 1, 0)</f>
        <v>1</v>
      </c>
      <c r="J38" s="232">
        <f>IF(OR(pairs[[#This Row],[Az*]]=0.5,pairs[[#This Row],[Back*]]=0.5),1,0)</f>
        <v>0</v>
      </c>
      <c r="K38" s="232"/>
      <c r="L38" s="232"/>
    </row>
    <row r="39" spans="1:12" ht="14.1">
      <c r="A39" s="23" t="s">
        <v>123</v>
      </c>
      <c r="B39" s="23" t="s">
        <v>162</v>
      </c>
      <c r="C39" s="229"/>
      <c r="D39" s="229">
        <v>224.96</v>
      </c>
      <c r="E39" s="25">
        <v>9.1743919999999992</v>
      </c>
      <c r="F39" s="230">
        <f>pairs[[#This Row],[ Dist]]*5280</f>
        <v>48440.789759999992</v>
      </c>
      <c r="G39" s="232">
        <f>ROUND(pairs[[#This Row],[ Az]]-ROUNDDOWN(pairs[[#This Row],[ Az]],0),1)</f>
        <v>0</v>
      </c>
      <c r="H39" s="232">
        <f>ROUND(pairs[[#This Row],[ Back]]-ROUNDDOWN(pairs[[#This Row],[ Back]],0),1)</f>
        <v>1</v>
      </c>
      <c r="I39" s="232">
        <f>IF( OR( OR(pairs[[#This Row],[Az*]]=0, pairs[[#This Row],[Back*]]=0), OR(pairs[[#This Row],[Az*]]=1, pairs[[#This Row],[Back*]]=1)), 1, 0)</f>
        <v>1</v>
      </c>
      <c r="J39" s="232">
        <f>IF(OR(pairs[[#This Row],[Az*]]=0.5,pairs[[#This Row],[Back*]]=0.5),1,0)</f>
        <v>0</v>
      </c>
      <c r="K39" s="232"/>
      <c r="L39" s="232"/>
    </row>
    <row r="40" spans="1:12" ht="14.1">
      <c r="A40" s="206" t="s">
        <v>123</v>
      </c>
      <c r="B40" s="206" t="s">
        <v>157</v>
      </c>
      <c r="C40" s="235"/>
      <c r="D40" s="235">
        <v>288.26</v>
      </c>
      <c r="E40" s="236">
        <v>8.4213889999999996</v>
      </c>
      <c r="F40" s="237">
        <f>pairs[[#This Row],[ Dist]]*5280</f>
        <v>44464.933919999996</v>
      </c>
      <c r="G40" s="235">
        <f>ROUND(pairs[[#This Row],[ Az]]-ROUNDDOWN(pairs[[#This Row],[ Az]],0),1)</f>
        <v>0</v>
      </c>
      <c r="H40" s="235">
        <f>ROUND(pairs[[#This Row],[ Back]]-ROUNDDOWN(pairs[[#This Row],[ Back]],0),1)</f>
        <v>0.3</v>
      </c>
      <c r="I40" s="235">
        <f>IF( OR( OR(pairs[[#This Row],[Az*]]=0, pairs[[#This Row],[Back*]]=0), OR(pairs[[#This Row],[Az*]]=1, pairs[[#This Row],[Back*]]=1)), 1, 0)</f>
        <v>1</v>
      </c>
      <c r="J40" s="235">
        <v>1</v>
      </c>
      <c r="K40" s="232"/>
      <c r="L40" s="232"/>
    </row>
    <row r="41" spans="1:12">
      <c r="A41" s="231" t="s">
        <v>123</v>
      </c>
      <c r="B41" s="231" t="s">
        <v>149</v>
      </c>
      <c r="C41" s="232"/>
      <c r="D41" s="232">
        <v>315.13</v>
      </c>
      <c r="E41" s="233">
        <v>10.037895000000001</v>
      </c>
      <c r="F41" s="234">
        <f>pairs[[#This Row],[ Dist]]*5280</f>
        <v>53000.085600000006</v>
      </c>
      <c r="G41" s="232">
        <f>ROUND(pairs[[#This Row],[ Az]]-ROUNDDOWN(pairs[[#This Row],[ Az]],0),1)</f>
        <v>0</v>
      </c>
      <c r="H41" s="232">
        <f>ROUND(pairs[[#This Row],[ Back]]-ROUNDDOWN(pairs[[#This Row],[ Back]],0),1)</f>
        <v>0.1</v>
      </c>
      <c r="I41" s="232">
        <f>IF( OR( OR(pairs[[#This Row],[Az*]]=0, pairs[[#This Row],[Back*]]=0), OR(pairs[[#This Row],[Az*]]=1, pairs[[#This Row],[Back*]]=1)), 1, 0)</f>
        <v>1</v>
      </c>
      <c r="J41" s="232">
        <f>IF(OR(pairs[[#This Row],[Az*]]=0.5,pairs[[#This Row],[Back*]]=0.5),1,0)</f>
        <v>0</v>
      </c>
      <c r="K41" s="232"/>
      <c r="L41" s="232"/>
    </row>
    <row r="42" spans="1:12">
      <c r="A42" s="231" t="s">
        <v>123</v>
      </c>
      <c r="B42" s="231" t="s">
        <v>153</v>
      </c>
      <c r="C42" s="232"/>
      <c r="D42" s="232">
        <v>270.35000000000002</v>
      </c>
      <c r="E42" s="233">
        <v>7.0819549999999998</v>
      </c>
      <c r="F42" s="234">
        <f>pairs[[#This Row],[ Dist]]*5280</f>
        <v>37392.722399999999</v>
      </c>
      <c r="G42" s="232">
        <f>ROUND(pairs[[#This Row],[ Az]]-ROUNDDOWN(pairs[[#This Row],[ Az]],0),1)</f>
        <v>0</v>
      </c>
      <c r="H42" s="232">
        <f>ROUND(pairs[[#This Row],[ Back]]-ROUNDDOWN(pairs[[#This Row],[ Back]],0),1)</f>
        <v>0.4</v>
      </c>
      <c r="I42" s="232">
        <f>IF( OR( OR(pairs[[#This Row],[Az*]]=0, pairs[[#This Row],[Back*]]=0), OR(pairs[[#This Row],[Az*]]=1, pairs[[#This Row],[Back*]]=1)), 1, 0)</f>
        <v>1</v>
      </c>
      <c r="J42" s="232">
        <f>IF(OR(pairs[[#This Row],[Az*]]=0.5,pairs[[#This Row],[Back*]]=0.5),1,0)</f>
        <v>0</v>
      </c>
      <c r="K42" s="232"/>
      <c r="L42" s="232"/>
    </row>
    <row r="43" spans="1:12" ht="14.1">
      <c r="A43" s="23" t="s">
        <v>123</v>
      </c>
      <c r="B43" s="23" t="s">
        <v>154</v>
      </c>
      <c r="C43" s="229"/>
      <c r="D43" s="229">
        <v>270.08</v>
      </c>
      <c r="E43" s="25">
        <v>7.0710680000000004</v>
      </c>
      <c r="F43" s="230">
        <f>pairs[[#This Row],[ Dist]]*5280</f>
        <v>37335.23904</v>
      </c>
      <c r="G43" s="232">
        <f>ROUND(pairs[[#This Row],[ Az]]-ROUNDDOWN(pairs[[#This Row],[ Az]],0),1)</f>
        <v>0</v>
      </c>
      <c r="H43" s="232">
        <f>ROUND(pairs[[#This Row],[ Back]]-ROUNDDOWN(pairs[[#This Row],[ Back]],0),1)</f>
        <v>0.1</v>
      </c>
      <c r="I43" s="232">
        <f>IF( OR( OR(pairs[[#This Row],[Az*]]=0, pairs[[#This Row],[Back*]]=0), OR(pairs[[#This Row],[Az*]]=1, pairs[[#This Row],[Back*]]=1)), 1, 0)</f>
        <v>1</v>
      </c>
      <c r="J43" s="232">
        <f>IF(OR(pairs[[#This Row],[Az*]]=0.5,pairs[[#This Row],[Back*]]=0.5),1,0)</f>
        <v>0</v>
      </c>
      <c r="K43" s="232"/>
      <c r="L43" s="232"/>
    </row>
    <row r="44" spans="1:12">
      <c r="A44" s="231" t="s">
        <v>126</v>
      </c>
      <c r="B44" s="231" t="s">
        <v>156</v>
      </c>
      <c r="C44" s="232"/>
      <c r="D44" s="232">
        <v>161.37</v>
      </c>
      <c r="E44" s="233">
        <v>2.9204999999999998E-2</v>
      </c>
      <c r="F44" s="234">
        <f>pairs[[#This Row],[ Dist]]*5280</f>
        <v>154.20239999999998</v>
      </c>
      <c r="G44" s="232">
        <f>ROUND(pairs[[#This Row],[ Az]]-ROUNDDOWN(pairs[[#This Row],[ Az]],0),1)</f>
        <v>0</v>
      </c>
      <c r="H44" s="232">
        <f>ROUND(pairs[[#This Row],[ Back]]-ROUNDDOWN(pairs[[#This Row],[ Back]],0),1)</f>
        <v>0.4</v>
      </c>
      <c r="I44" s="232">
        <f>IF( OR( OR(pairs[[#This Row],[Az*]]=0, pairs[[#This Row],[Back*]]=0), OR(pairs[[#This Row],[Az*]]=1, pairs[[#This Row],[Back*]]=1)), 1, 0)</f>
        <v>1</v>
      </c>
      <c r="J44" s="232">
        <f>IF(OR(pairs[[#This Row],[Az*]]=0.5,pairs[[#This Row],[Back*]]=0.5),1,0)</f>
        <v>0</v>
      </c>
      <c r="K44" s="232"/>
      <c r="L44" s="232"/>
    </row>
    <row r="45" spans="1:12">
      <c r="A45" s="231" t="s">
        <v>126</v>
      </c>
      <c r="B45" s="231" t="s">
        <v>163</v>
      </c>
      <c r="C45" s="232"/>
      <c r="D45" s="232">
        <v>251.4</v>
      </c>
      <c r="E45" s="233">
        <v>5.5971580000000003</v>
      </c>
      <c r="F45" s="234">
        <f>pairs[[#This Row],[ Dist]]*5280</f>
        <v>29552.99424</v>
      </c>
      <c r="G45" s="232">
        <f>ROUND(pairs[[#This Row],[ Az]]-ROUNDDOWN(pairs[[#This Row],[ Az]],0),1)</f>
        <v>0</v>
      </c>
      <c r="H45" s="232">
        <f>ROUND(pairs[[#This Row],[ Back]]-ROUNDDOWN(pairs[[#This Row],[ Back]],0),1)</f>
        <v>0.4</v>
      </c>
      <c r="I45" s="232">
        <f>IF( OR( OR(pairs[[#This Row],[Az*]]=0, pairs[[#This Row],[Back*]]=0), OR(pairs[[#This Row],[Az*]]=1, pairs[[#This Row],[Back*]]=1)), 1, 0)</f>
        <v>1</v>
      </c>
      <c r="J45" s="232">
        <f>IF(OR(pairs[[#This Row],[Az*]]=0.5,pairs[[#This Row],[Back*]]=0.5),1,0)</f>
        <v>0</v>
      </c>
      <c r="K45" s="232"/>
      <c r="L45" s="232"/>
    </row>
    <row r="46" spans="1:12">
      <c r="A46" s="231" t="s">
        <v>126</v>
      </c>
      <c r="B46" s="231" t="s">
        <v>143</v>
      </c>
      <c r="C46" s="232"/>
      <c r="D46" s="232">
        <v>269.89</v>
      </c>
      <c r="E46" s="233">
        <v>1.7044619999999999</v>
      </c>
      <c r="F46" s="234">
        <f>pairs[[#This Row],[ Dist]]*5280</f>
        <v>8999.5593599999993</v>
      </c>
      <c r="G46" s="232">
        <f>ROUND(pairs[[#This Row],[ Az]]-ROUNDDOWN(pairs[[#This Row],[ Az]],0),1)</f>
        <v>0</v>
      </c>
      <c r="H46" s="232">
        <f>ROUND(pairs[[#This Row],[ Back]]-ROUNDDOWN(pairs[[#This Row],[ Back]],0),1)</f>
        <v>0.9</v>
      </c>
      <c r="I46" s="232">
        <f>IF( OR( OR(pairs[[#This Row],[Az*]]=0, pairs[[#This Row],[Back*]]=0), OR(pairs[[#This Row],[Az*]]=1, pairs[[#This Row],[Back*]]=1)), 1, 0)</f>
        <v>1</v>
      </c>
      <c r="J46" s="232">
        <f>IF(OR(pairs[[#This Row],[Az*]]=0.5,pairs[[#This Row],[Back*]]=0.5),1,0)</f>
        <v>0</v>
      </c>
      <c r="K46" s="232"/>
      <c r="L46" s="232"/>
    </row>
    <row r="47" spans="1:12" ht="14.1">
      <c r="A47" s="23" t="s">
        <v>126</v>
      </c>
      <c r="B47" s="23" t="s">
        <v>151</v>
      </c>
      <c r="C47" s="229"/>
      <c r="D47" s="229">
        <v>269.95</v>
      </c>
      <c r="E47" s="25">
        <v>7.0660420000000004</v>
      </c>
      <c r="F47" s="230">
        <f>pairs[[#This Row],[ Dist]]*5280</f>
        <v>37308.701760000004</v>
      </c>
      <c r="G47" s="232">
        <f>ROUND(pairs[[#This Row],[ Az]]-ROUNDDOWN(pairs[[#This Row],[ Az]],0),1)</f>
        <v>0</v>
      </c>
      <c r="H47" s="232">
        <f>ROUND(pairs[[#This Row],[ Back]]-ROUNDDOWN(pairs[[#This Row],[ Back]],0),1)</f>
        <v>0.9</v>
      </c>
      <c r="I47" s="232">
        <v>1</v>
      </c>
      <c r="J47" s="232">
        <f>IF(OR(pairs[[#This Row],[Az*]]=0.5,pairs[[#This Row],[Back*]]=0.5),1,0)</f>
        <v>0</v>
      </c>
      <c r="K47" s="232"/>
      <c r="L47" s="232"/>
    </row>
    <row r="48" spans="1:12">
      <c r="A48" s="231" t="s">
        <v>126</v>
      </c>
      <c r="B48" s="231" t="s">
        <v>155</v>
      </c>
      <c r="C48" s="232"/>
      <c r="D48" s="232">
        <v>140.1</v>
      </c>
      <c r="E48" s="233">
        <v>7.8510000000000003E-3</v>
      </c>
      <c r="F48" s="234">
        <f>pairs[[#This Row],[ Dist]]*5280</f>
        <v>41.453279999999999</v>
      </c>
      <c r="G48" s="232">
        <f>ROUND(pairs[[#This Row],[ Az]]-ROUNDDOWN(pairs[[#This Row],[ Az]],0),1)</f>
        <v>0</v>
      </c>
      <c r="H48" s="232">
        <f>ROUND(pairs[[#This Row],[ Back]]-ROUNDDOWN(pairs[[#This Row],[ Back]],0),1)</f>
        <v>0.1</v>
      </c>
      <c r="I48" s="232">
        <f>IF( OR( OR(pairs[[#This Row],[Az*]]=0, pairs[[#This Row],[Back*]]=0), OR(pairs[[#This Row],[Az*]]=1, pairs[[#This Row],[Back*]]=1)), 1, 0)</f>
        <v>1</v>
      </c>
      <c r="J48" s="232">
        <f>IF(OR(pairs[[#This Row],[Az*]]=0.5,pairs[[#This Row],[Back*]]=0.5),1,0)</f>
        <v>0</v>
      </c>
      <c r="K48" s="232"/>
      <c r="L48" s="232"/>
    </row>
    <row r="49" spans="1:12">
      <c r="A49" s="231" t="s">
        <v>126</v>
      </c>
      <c r="B49" s="231" t="s">
        <v>158</v>
      </c>
      <c r="C49" s="232"/>
      <c r="D49" s="232">
        <v>278.29000000000002</v>
      </c>
      <c r="E49" s="233">
        <v>1.756278</v>
      </c>
      <c r="F49" s="234">
        <f>pairs[[#This Row],[ Dist]]*5280</f>
        <v>9273.1478399999996</v>
      </c>
      <c r="G49" s="232">
        <f>ROUND(pairs[[#This Row],[ Az]]-ROUNDDOWN(pairs[[#This Row],[ Az]],0),1)</f>
        <v>0</v>
      </c>
      <c r="H49" s="232">
        <f>ROUND(pairs[[#This Row],[ Back]]-ROUNDDOWN(pairs[[#This Row],[ Back]],0),1)</f>
        <v>0.3</v>
      </c>
      <c r="I49" s="232">
        <f>IF( OR( OR(pairs[[#This Row],[Az*]]=0, pairs[[#This Row],[Back*]]=0), OR(pairs[[#This Row],[Az*]]=1, pairs[[#This Row],[Back*]]=1)), 1, 0)</f>
        <v>1</v>
      </c>
      <c r="J49" s="232">
        <f>IF(OR(pairs[[#This Row],[Az*]]=0.5,pairs[[#This Row],[Back*]]=0.5),1,0)</f>
        <v>0</v>
      </c>
      <c r="K49" s="232"/>
      <c r="L49" s="232"/>
    </row>
    <row r="50" spans="1:12">
      <c r="A50" s="231" t="s">
        <v>126</v>
      </c>
      <c r="B50" s="231" t="s">
        <v>159</v>
      </c>
      <c r="C50" s="232"/>
      <c r="D50" s="232">
        <v>88.17</v>
      </c>
      <c r="E50" s="233">
        <v>0.54977500000000001</v>
      </c>
      <c r="F50" s="234">
        <f>pairs[[#This Row],[ Dist]]*5280</f>
        <v>2902.8119999999999</v>
      </c>
      <c r="G50" s="232">
        <f>ROUND(pairs[[#This Row],[ Az]]-ROUNDDOWN(pairs[[#This Row],[ Az]],0),1)</f>
        <v>0</v>
      </c>
      <c r="H50" s="232">
        <f>ROUND(pairs[[#This Row],[ Back]]-ROUNDDOWN(pairs[[#This Row],[ Back]],0),1)</f>
        <v>0.2</v>
      </c>
      <c r="I50" s="232">
        <f>IF( OR( OR(pairs[[#This Row],[Az*]]=0, pairs[[#This Row],[Back*]]=0), OR(pairs[[#This Row],[Az*]]=1, pairs[[#This Row],[Back*]]=1)), 1, 0)</f>
        <v>1</v>
      </c>
      <c r="J50" s="232">
        <f>IF(OR(pairs[[#This Row],[Az*]]=0.5,pairs[[#This Row],[Back*]]=0.5),1,0)</f>
        <v>0</v>
      </c>
      <c r="K50" s="232"/>
      <c r="L50" s="232"/>
    </row>
    <row r="51" spans="1:12">
      <c r="A51" s="231" t="s">
        <v>126</v>
      </c>
      <c r="B51" s="231" t="s">
        <v>160</v>
      </c>
      <c r="C51" s="232"/>
      <c r="D51" s="232">
        <v>224.28</v>
      </c>
      <c r="E51" s="233">
        <v>0.43727899999999997</v>
      </c>
      <c r="F51" s="234">
        <f>pairs[[#This Row],[ Dist]]*5280</f>
        <v>2308.8331199999998</v>
      </c>
      <c r="G51" s="232">
        <f>ROUND(pairs[[#This Row],[ Az]]-ROUNDDOWN(pairs[[#This Row],[ Az]],0),1)</f>
        <v>0</v>
      </c>
      <c r="H51" s="232">
        <f>ROUND(pairs[[#This Row],[ Back]]-ROUNDDOWN(pairs[[#This Row],[ Back]],0),1)</f>
        <v>0.3</v>
      </c>
      <c r="I51" s="232">
        <f>IF( OR( OR(pairs[[#This Row],[Az*]]=0, pairs[[#This Row],[Back*]]=0), OR(pairs[[#This Row],[Az*]]=1, pairs[[#This Row],[Back*]]=1)), 1, 0)</f>
        <v>1</v>
      </c>
      <c r="J51" s="232">
        <f>IF(OR(pairs[[#This Row],[Az*]]=0.5,pairs[[#This Row],[Back*]]=0.5),1,0)</f>
        <v>0</v>
      </c>
      <c r="K51" s="232"/>
      <c r="L51" s="232"/>
    </row>
    <row r="52" spans="1:12">
      <c r="A52" s="231" t="s">
        <v>126</v>
      </c>
      <c r="B52" s="231" t="s">
        <v>146</v>
      </c>
      <c r="C52" s="232"/>
      <c r="D52" s="232">
        <v>106.08</v>
      </c>
      <c r="E52" s="233">
        <v>0.60757700000000003</v>
      </c>
      <c r="F52" s="234">
        <f>pairs[[#This Row],[ Dist]]*5280</f>
        <v>3208.0065600000003</v>
      </c>
      <c r="G52" s="232">
        <f>ROUND(pairs[[#This Row],[ Az]]-ROUNDDOWN(pairs[[#This Row],[ Az]],0),1)</f>
        <v>0</v>
      </c>
      <c r="H52" s="232">
        <f>ROUND(pairs[[#This Row],[ Back]]-ROUNDDOWN(pairs[[#This Row],[ Back]],0),1)</f>
        <v>0.1</v>
      </c>
      <c r="I52" s="232">
        <f>IF( OR( OR(pairs[[#This Row],[Az*]]=0, pairs[[#This Row],[Back*]]=0), OR(pairs[[#This Row],[Az*]]=1, pairs[[#This Row],[Back*]]=1)), 1, 0)</f>
        <v>1</v>
      </c>
      <c r="J52" s="232">
        <f>IF(OR(pairs[[#This Row],[Az*]]=0.5,pairs[[#This Row],[Back*]]=0.5),1,0)</f>
        <v>0</v>
      </c>
      <c r="K52" s="232"/>
      <c r="L52" s="232"/>
    </row>
    <row r="53" spans="1:12">
      <c r="A53" s="231" t="s">
        <v>126</v>
      </c>
      <c r="B53" s="231" t="s">
        <v>145</v>
      </c>
      <c r="C53" s="232"/>
      <c r="D53" s="232">
        <v>312.83</v>
      </c>
      <c r="E53" s="233">
        <v>0.29450300000000001</v>
      </c>
      <c r="F53" s="234">
        <f>pairs[[#This Row],[ Dist]]*5280</f>
        <v>1554.9758400000001</v>
      </c>
      <c r="G53" s="232">
        <f>ROUND(pairs[[#This Row],[ Az]]-ROUNDDOWN(pairs[[#This Row],[ Az]],0),1)</f>
        <v>0</v>
      </c>
      <c r="H53" s="232">
        <f>ROUND(pairs[[#This Row],[ Back]]-ROUNDDOWN(pairs[[#This Row],[ Back]],0),1)</f>
        <v>0.8</v>
      </c>
      <c r="I53" s="232">
        <f>IF( OR( OR(pairs[[#This Row],[Az*]]=0, pairs[[#This Row],[Back*]]=0), OR(pairs[[#This Row],[Az*]]=1, pairs[[#This Row],[Back*]]=1)), 1, 0)</f>
        <v>1</v>
      </c>
      <c r="J53" s="232">
        <f>IF(OR(pairs[[#This Row],[Az*]]=0.5,pairs[[#This Row],[Back*]]=0.5),1,0)</f>
        <v>0</v>
      </c>
      <c r="K53" s="232"/>
      <c r="L53" s="232"/>
    </row>
    <row r="54" spans="1:12">
      <c r="A54" s="231" t="s">
        <v>126</v>
      </c>
      <c r="B54" s="231" t="s">
        <v>164</v>
      </c>
      <c r="C54" s="232"/>
      <c r="D54" s="232">
        <v>90.35</v>
      </c>
      <c r="E54" s="233">
        <v>0.58380699999999996</v>
      </c>
      <c r="F54" s="234">
        <f>pairs[[#This Row],[ Dist]]*5280</f>
        <v>3082.5009599999998</v>
      </c>
      <c r="G54" s="232">
        <f>ROUND(pairs[[#This Row],[ Az]]-ROUNDDOWN(pairs[[#This Row],[ Az]],0),1)</f>
        <v>0</v>
      </c>
      <c r="H54" s="232">
        <f>ROUND(pairs[[#This Row],[ Back]]-ROUNDDOWN(pairs[[#This Row],[ Back]],0),1)</f>
        <v>0.3</v>
      </c>
      <c r="I54" s="232">
        <f>IF( OR( OR(pairs[[#This Row],[Az*]]=0, pairs[[#This Row],[Back*]]=0), OR(pairs[[#This Row],[Az*]]=1, pairs[[#This Row],[Back*]]=1)), 1, 0)</f>
        <v>1</v>
      </c>
      <c r="J54" s="232">
        <f>IF(OR(pairs[[#This Row],[Az*]]=0.5,pairs[[#This Row],[Back*]]=0.5),1,0)</f>
        <v>0</v>
      </c>
      <c r="K54" s="232"/>
      <c r="L54" s="232"/>
    </row>
    <row r="55" spans="1:12">
      <c r="A55" s="231" t="s">
        <v>126</v>
      </c>
      <c r="B55" s="231" t="s">
        <v>144</v>
      </c>
      <c r="C55" s="232"/>
      <c r="D55" s="232">
        <v>308.12</v>
      </c>
      <c r="E55" s="233">
        <v>0.36454399999999998</v>
      </c>
      <c r="F55" s="234">
        <f>pairs[[#This Row],[ Dist]]*5280</f>
        <v>1924.7923199999998</v>
      </c>
      <c r="G55" s="232">
        <f>ROUND(pairs[[#This Row],[ Az]]-ROUNDDOWN(pairs[[#This Row],[ Az]],0),1)</f>
        <v>0</v>
      </c>
      <c r="H55" s="232">
        <f>ROUND(pairs[[#This Row],[ Back]]-ROUNDDOWN(pairs[[#This Row],[ Back]],0),1)</f>
        <v>0.1</v>
      </c>
      <c r="I55" s="232">
        <f>IF( OR( OR(pairs[[#This Row],[Az*]]=0, pairs[[#This Row],[Back*]]=0), OR(pairs[[#This Row],[Az*]]=1, pairs[[#This Row],[Back*]]=1)), 1, 0)</f>
        <v>1</v>
      </c>
      <c r="J55" s="232">
        <f>IF(OR(pairs[[#This Row],[Az*]]=0.5,pairs[[#This Row],[Back*]]=0.5),1,0)</f>
        <v>0</v>
      </c>
      <c r="K55" s="232"/>
      <c r="L55" s="232"/>
    </row>
    <row r="56" spans="1:12">
      <c r="A56" s="231" t="s">
        <v>126</v>
      </c>
      <c r="B56" s="231" t="s">
        <v>148</v>
      </c>
      <c r="C56" s="232"/>
      <c r="D56" s="232">
        <v>179.83</v>
      </c>
      <c r="E56" s="233">
        <v>7.1330390000000001</v>
      </c>
      <c r="F56" s="234">
        <f>pairs[[#This Row],[ Dist]]*5280</f>
        <v>37662.445919999998</v>
      </c>
      <c r="G56" s="232">
        <f>ROUND(pairs[[#This Row],[ Az]]-ROUNDDOWN(pairs[[#This Row],[ Az]],0),1)</f>
        <v>0</v>
      </c>
      <c r="H56" s="232">
        <f>ROUND(pairs[[#This Row],[ Back]]-ROUNDDOWN(pairs[[#This Row],[ Back]],0),1)</f>
        <v>0.8</v>
      </c>
      <c r="I56" s="232">
        <f>IF( OR( OR(pairs[[#This Row],[Az*]]=0, pairs[[#This Row],[Back*]]=0), OR(pairs[[#This Row],[Az*]]=1, pairs[[#This Row],[Back*]]=1)), 1, 0)</f>
        <v>1</v>
      </c>
      <c r="J56" s="232">
        <f>IF(OR(pairs[[#This Row],[Az*]]=0.5,pairs[[#This Row],[Back*]]=0.5),1,0)</f>
        <v>0</v>
      </c>
      <c r="K56" s="232"/>
      <c r="L56" s="232"/>
    </row>
    <row r="57" spans="1:12">
      <c r="A57" s="231" t="s">
        <v>126</v>
      </c>
      <c r="B57" s="231" t="s">
        <v>152</v>
      </c>
      <c r="C57" s="232"/>
      <c r="D57" s="232">
        <v>160.87</v>
      </c>
      <c r="E57" s="233">
        <v>6.5558000000000005E-2</v>
      </c>
      <c r="F57" s="234">
        <f>pairs[[#This Row],[ Dist]]*5280</f>
        <v>346.14624000000003</v>
      </c>
      <c r="G57" s="232">
        <f>ROUND(pairs[[#This Row],[ Az]]-ROUNDDOWN(pairs[[#This Row],[ Az]],0),1)</f>
        <v>0</v>
      </c>
      <c r="H57" s="232">
        <f>ROUND(pairs[[#This Row],[ Back]]-ROUNDDOWN(pairs[[#This Row],[ Back]],0),1)</f>
        <v>0.9</v>
      </c>
      <c r="I57" s="232">
        <f>IF( OR( OR(pairs[[#This Row],[Az*]]=0, pairs[[#This Row],[Back*]]=0), OR(pairs[[#This Row],[Az*]]=1, pairs[[#This Row],[Back*]]=1)), 1, 0)</f>
        <v>1</v>
      </c>
      <c r="J57" s="232">
        <f>IF(OR(pairs[[#This Row],[Az*]]=0.5,pairs[[#This Row],[Back*]]=0.5),1,0)</f>
        <v>0</v>
      </c>
      <c r="K57" s="232"/>
      <c r="L57" s="232"/>
    </row>
    <row r="58" spans="1:12" ht="14.1">
      <c r="A58" s="23" t="s">
        <v>126</v>
      </c>
      <c r="B58" s="23" t="s">
        <v>147</v>
      </c>
      <c r="C58" s="229"/>
      <c r="D58" s="229">
        <v>28.94</v>
      </c>
      <c r="E58" s="25">
        <v>1.7111000000000001</v>
      </c>
      <c r="F58" s="230">
        <f>pairs[[#This Row],[ Dist]]*5280</f>
        <v>9034.6080000000002</v>
      </c>
      <c r="G58" s="232">
        <f>ROUND(pairs[[#This Row],[ Az]]-ROUNDDOWN(pairs[[#This Row],[ Az]],0),1)</f>
        <v>0</v>
      </c>
      <c r="H58" s="232">
        <f>ROUND(pairs[[#This Row],[ Back]]-ROUNDDOWN(pairs[[#This Row],[ Back]],0),1)</f>
        <v>0.9</v>
      </c>
      <c r="I58" s="232">
        <v>1</v>
      </c>
      <c r="J58" s="232">
        <f>IF(OR(pairs[[#This Row],[Az*]]=0.5,pairs[[#This Row],[Back*]]=0.5),1,0)</f>
        <v>0</v>
      </c>
      <c r="K58" s="232"/>
      <c r="L58" s="232"/>
    </row>
    <row r="59" spans="1:12">
      <c r="A59" s="231" t="s">
        <v>126</v>
      </c>
      <c r="B59" s="231" t="s">
        <v>161</v>
      </c>
      <c r="C59" s="232"/>
      <c r="D59" s="232">
        <v>124.08</v>
      </c>
      <c r="E59" s="233">
        <v>5.1495119999999996</v>
      </c>
      <c r="F59" s="234">
        <f>pairs[[#This Row],[ Dist]]*5280</f>
        <v>27189.423359999997</v>
      </c>
      <c r="G59" s="232">
        <f>ROUND(pairs[[#This Row],[ Az]]-ROUNDDOWN(pairs[[#This Row],[ Az]],0),1)</f>
        <v>0</v>
      </c>
      <c r="H59" s="232">
        <f>ROUND(pairs[[#This Row],[ Back]]-ROUNDDOWN(pairs[[#This Row],[ Back]],0),1)</f>
        <v>0.1</v>
      </c>
      <c r="I59" s="232">
        <f>IF( OR( OR(pairs[[#This Row],[Az*]]=0, pairs[[#This Row],[Back*]]=0), OR(pairs[[#This Row],[Az*]]=1, pairs[[#This Row],[Back*]]=1)), 1, 0)</f>
        <v>1</v>
      </c>
      <c r="J59" s="232">
        <f>IF(OR(pairs[[#This Row],[Az*]]=0.5,pairs[[#This Row],[Back*]]=0.5),1,0)</f>
        <v>0</v>
      </c>
      <c r="K59" s="232"/>
      <c r="L59" s="232"/>
    </row>
    <row r="60" spans="1:12">
      <c r="A60" s="231" t="s">
        <v>126</v>
      </c>
      <c r="B60" s="231" t="s">
        <v>162</v>
      </c>
      <c r="C60" s="232"/>
      <c r="D60" s="232">
        <v>174.76</v>
      </c>
      <c r="E60" s="233">
        <v>6.5607499999999996</v>
      </c>
      <c r="F60" s="234">
        <f>pairs[[#This Row],[ Dist]]*5280</f>
        <v>34640.759999999995</v>
      </c>
      <c r="G60" s="232">
        <f>ROUND(pairs[[#This Row],[ Az]]-ROUNDDOWN(pairs[[#This Row],[ Az]],0),1)</f>
        <v>0</v>
      </c>
      <c r="H60" s="232">
        <f>ROUND(pairs[[#This Row],[ Back]]-ROUNDDOWN(pairs[[#This Row],[ Back]],0),1)</f>
        <v>0.8</v>
      </c>
      <c r="I60" s="232">
        <f>IF( OR( OR(pairs[[#This Row],[Az*]]=0, pairs[[#This Row],[Back*]]=0), OR(pairs[[#This Row],[Az*]]=1, pairs[[#This Row],[Back*]]=1)), 1, 0)</f>
        <v>1</v>
      </c>
      <c r="J60" s="232">
        <f>IF(OR(pairs[[#This Row],[Az*]]=0.5,pairs[[#This Row],[Back*]]=0.5),1,0)</f>
        <v>0</v>
      </c>
      <c r="K60" s="232"/>
      <c r="L60" s="232"/>
    </row>
    <row r="61" spans="1:12">
      <c r="A61" s="231" t="s">
        <v>126</v>
      </c>
      <c r="B61" s="231" t="s">
        <v>157</v>
      </c>
      <c r="C61" s="232"/>
      <c r="D61" s="232">
        <v>340.57</v>
      </c>
      <c r="E61" s="233">
        <v>2.751576</v>
      </c>
      <c r="F61" s="234">
        <f>pairs[[#This Row],[ Dist]]*5280</f>
        <v>14528.32128</v>
      </c>
      <c r="G61" s="232">
        <f>ROUND(pairs[[#This Row],[ Az]]-ROUNDDOWN(pairs[[#This Row],[ Az]],0),1)</f>
        <v>0</v>
      </c>
      <c r="H61" s="232">
        <f>ROUND(pairs[[#This Row],[ Back]]-ROUNDDOWN(pairs[[#This Row],[ Back]],0),1)</f>
        <v>0.6</v>
      </c>
      <c r="I61" s="232">
        <f>IF( OR( OR(pairs[[#This Row],[Az*]]=0, pairs[[#This Row],[Back*]]=0), OR(pairs[[#This Row],[Az*]]=1, pairs[[#This Row],[Back*]]=1)), 1, 0)</f>
        <v>1</v>
      </c>
      <c r="J61" s="232">
        <f>IF(OR(pairs[[#This Row],[Az*]]=0.5,pairs[[#This Row],[Back*]]=0.5),1,0)</f>
        <v>0</v>
      </c>
      <c r="K61" s="232"/>
      <c r="L61" s="232"/>
    </row>
    <row r="62" spans="1:12" ht="14.1">
      <c r="A62" s="23" t="s">
        <v>126</v>
      </c>
      <c r="B62" s="23" t="s">
        <v>149</v>
      </c>
      <c r="C62" s="229"/>
      <c r="D62" s="229">
        <v>0</v>
      </c>
      <c r="E62" s="25">
        <v>7.0710680000000004</v>
      </c>
      <c r="F62" s="230">
        <f>pairs[[#This Row],[ Dist]]*5280</f>
        <v>37335.23904</v>
      </c>
      <c r="G62" s="232">
        <f>ROUND(pairs[[#This Row],[ Az]]-ROUNDDOWN(pairs[[#This Row],[ Az]],0),1)</f>
        <v>0</v>
      </c>
      <c r="H62" s="232">
        <f>ROUND(pairs[[#This Row],[ Back]]-ROUNDDOWN(pairs[[#This Row],[ Back]],0),1)</f>
        <v>0</v>
      </c>
      <c r="I62" s="232">
        <f>IF( OR( OR(pairs[[#This Row],[Az*]]=0, pairs[[#This Row],[Back*]]=0), OR(pairs[[#This Row],[Az*]]=1, pairs[[#This Row],[Back*]]=1)), 1, 0)</f>
        <v>1</v>
      </c>
      <c r="J62" s="232">
        <f>IF(OR(pairs[[#This Row],[Az*]]=0.5,pairs[[#This Row],[Back*]]=0.5),1,0)</f>
        <v>0</v>
      </c>
      <c r="K62" s="232"/>
      <c r="L62" s="232"/>
    </row>
    <row r="63" spans="1:12">
      <c r="A63" s="231" t="s">
        <v>126</v>
      </c>
      <c r="B63" s="231" t="s">
        <v>150</v>
      </c>
      <c r="C63" s="232"/>
      <c r="D63" s="232">
        <v>90.26</v>
      </c>
      <c r="E63" s="233">
        <v>7.0819549999999998</v>
      </c>
      <c r="F63" s="234">
        <f>pairs[[#This Row],[ Dist]]*5280</f>
        <v>37392.722399999999</v>
      </c>
      <c r="G63" s="232">
        <f>ROUND(pairs[[#This Row],[ Az]]-ROUNDDOWN(pairs[[#This Row],[ Az]],0),1)</f>
        <v>0</v>
      </c>
      <c r="H63" s="232">
        <f>ROUND(pairs[[#This Row],[ Back]]-ROUNDDOWN(pairs[[#This Row],[ Back]],0),1)</f>
        <v>0.3</v>
      </c>
      <c r="I63" s="232">
        <f>IF( OR( OR(pairs[[#This Row],[Az*]]=0, pairs[[#This Row],[Back*]]=0), OR(pairs[[#This Row],[Az*]]=1, pairs[[#This Row],[Back*]]=1)), 1, 0)</f>
        <v>1</v>
      </c>
      <c r="J63" s="232">
        <f>IF(OR(pairs[[#This Row],[Az*]]=0.5,pairs[[#This Row],[Back*]]=0.5),1,0)</f>
        <v>0</v>
      </c>
      <c r="K63" s="232"/>
      <c r="L63" s="232"/>
    </row>
    <row r="64" spans="1:12">
      <c r="A64" s="231" t="s">
        <v>126</v>
      </c>
      <c r="B64" s="231" t="s">
        <v>154</v>
      </c>
      <c r="C64" s="232"/>
      <c r="D64" s="232">
        <v>161.72</v>
      </c>
      <c r="E64" s="233">
        <v>3.4327000000000003E-2</v>
      </c>
      <c r="F64" s="234">
        <f>pairs[[#This Row],[ Dist]]*5280</f>
        <v>181.24656000000002</v>
      </c>
      <c r="G64" s="232">
        <f>ROUND(pairs[[#This Row],[ Az]]-ROUNDDOWN(pairs[[#This Row],[ Az]],0),1)</f>
        <v>0</v>
      </c>
      <c r="H64" s="232">
        <f>ROUND(pairs[[#This Row],[ Back]]-ROUNDDOWN(pairs[[#This Row],[ Back]],0),1)</f>
        <v>0.7</v>
      </c>
      <c r="I64" s="232">
        <f>IF( OR( OR(pairs[[#This Row],[Az*]]=0, pairs[[#This Row],[Back*]]=0), OR(pairs[[#This Row],[Az*]]=1, pairs[[#This Row],[Back*]]=1)), 1, 0)</f>
        <v>1</v>
      </c>
      <c r="J64" s="232">
        <f>IF(OR(pairs[[#This Row],[Az*]]=0.5,pairs[[#This Row],[Back*]]=0.5),1,0)</f>
        <v>0</v>
      </c>
      <c r="K64" s="232"/>
      <c r="L64" s="232"/>
    </row>
    <row r="65" spans="1:12">
      <c r="A65" s="231" t="s">
        <v>122</v>
      </c>
      <c r="B65" s="231" t="s">
        <v>156</v>
      </c>
      <c r="C65" s="232"/>
      <c r="D65" s="232">
        <v>179.92</v>
      </c>
      <c r="E65" s="233">
        <v>7.0987489999999998</v>
      </c>
      <c r="F65" s="234">
        <f>pairs[[#This Row],[ Dist]]*5280</f>
        <v>37481.394719999997</v>
      </c>
      <c r="G65" s="232">
        <f>ROUND(pairs[[#This Row],[ Az]]-ROUNDDOWN(pairs[[#This Row],[ Az]],0),1)</f>
        <v>0</v>
      </c>
      <c r="H65" s="232">
        <f>ROUND(pairs[[#This Row],[ Back]]-ROUNDDOWN(pairs[[#This Row],[ Back]],0),1)</f>
        <v>0.9</v>
      </c>
      <c r="I65" s="232">
        <f>IF( OR( OR(pairs[[#This Row],[Az*]]=0, pairs[[#This Row],[Back*]]=0), OR(pairs[[#This Row],[Az*]]=1, pairs[[#This Row],[Back*]]=1)), 1, 0)</f>
        <v>1</v>
      </c>
      <c r="J65" s="232">
        <f>IF(OR(pairs[[#This Row],[Az*]]=0.5,pairs[[#This Row],[Back*]]=0.5),1,0)</f>
        <v>0</v>
      </c>
      <c r="K65" s="232"/>
      <c r="L65" s="232"/>
    </row>
    <row r="66" spans="1:12" ht="14.1">
      <c r="A66" s="23" t="s">
        <v>122</v>
      </c>
      <c r="B66" s="23" t="s">
        <v>163</v>
      </c>
      <c r="C66" s="229"/>
      <c r="D66" s="229">
        <v>210.96</v>
      </c>
      <c r="E66" s="25">
        <v>10.327401999999999</v>
      </c>
      <c r="F66" s="230">
        <f>pairs[[#This Row],[ Dist]]*5280</f>
        <v>54528.682559999994</v>
      </c>
      <c r="G66" s="232">
        <f>ROUND(pairs[[#This Row],[ Az]]-ROUNDDOWN(pairs[[#This Row],[ Az]],0),1)</f>
        <v>0</v>
      </c>
      <c r="H66" s="232">
        <f>ROUND(pairs[[#This Row],[ Back]]-ROUNDDOWN(pairs[[#This Row],[ Back]],0),1)</f>
        <v>1</v>
      </c>
      <c r="I66" s="232">
        <f>IF( OR( OR(pairs[[#This Row],[Az*]]=0, pairs[[#This Row],[Back*]]=0), OR(pairs[[#This Row],[Az*]]=1, pairs[[#This Row],[Back*]]=1)), 1, 0)</f>
        <v>1</v>
      </c>
      <c r="J66" s="232">
        <f>IF(OR(pairs[[#This Row],[Az*]]=0.5,pairs[[#This Row],[Back*]]=0.5),1,0)</f>
        <v>0</v>
      </c>
      <c r="K66" s="232"/>
      <c r="L66" s="232"/>
    </row>
    <row r="67" spans="1:12">
      <c r="A67" s="231" t="s">
        <v>122</v>
      </c>
      <c r="B67" s="231" t="s">
        <v>143</v>
      </c>
      <c r="C67" s="232"/>
      <c r="D67" s="232">
        <v>193.57</v>
      </c>
      <c r="E67" s="233">
        <v>7.2773389999999996</v>
      </c>
      <c r="F67" s="234">
        <f>pairs[[#This Row],[ Dist]]*5280</f>
        <v>38424.349920000001</v>
      </c>
      <c r="G67" s="232">
        <f>ROUND(pairs[[#This Row],[ Az]]-ROUNDDOWN(pairs[[#This Row],[ Az]],0),1)</f>
        <v>0</v>
      </c>
      <c r="H67" s="232">
        <f>ROUND(pairs[[#This Row],[ Back]]-ROUNDDOWN(pairs[[#This Row],[ Back]],0),1)</f>
        <v>0.6</v>
      </c>
      <c r="I67" s="232">
        <f>IF( OR( OR(pairs[[#This Row],[Az*]]=0, pairs[[#This Row],[Back*]]=0), OR(pairs[[#This Row],[Az*]]=1, pairs[[#This Row],[Back*]]=1)), 1, 0)</f>
        <v>1</v>
      </c>
      <c r="J67" s="232">
        <f>IF(OR(pairs[[#This Row],[Az*]]=0.5,pairs[[#This Row],[Back*]]=0.5),1,0)</f>
        <v>0</v>
      </c>
      <c r="K67" s="232"/>
      <c r="L67" s="232"/>
    </row>
    <row r="68" spans="1:12" ht="14.1">
      <c r="A68" s="23" t="s">
        <v>122</v>
      </c>
      <c r="B68" s="23" t="s">
        <v>151</v>
      </c>
      <c r="C68" s="229"/>
      <c r="D68" s="229">
        <v>225</v>
      </c>
      <c r="E68" s="25">
        <v>10.007903000000001</v>
      </c>
      <c r="F68" s="230">
        <f>pairs[[#This Row],[ Dist]]*5280</f>
        <v>52841.727840000007</v>
      </c>
      <c r="G68" s="232">
        <f>ROUND(pairs[[#This Row],[ Az]]-ROUNDDOWN(pairs[[#This Row],[ Az]],0),1)</f>
        <v>0</v>
      </c>
      <c r="H68" s="232">
        <f>ROUND(pairs[[#This Row],[ Back]]-ROUNDDOWN(pairs[[#This Row],[ Back]],0),1)</f>
        <v>0</v>
      </c>
      <c r="I68" s="232">
        <f>IF( OR( OR(pairs[[#This Row],[Az*]]=0, pairs[[#This Row],[Back*]]=0), OR(pairs[[#This Row],[Az*]]=1, pairs[[#This Row],[Back*]]=1)), 1, 0)</f>
        <v>1</v>
      </c>
      <c r="J68" s="232">
        <f>IF(OR(pairs[[#This Row],[Az*]]=0.5,pairs[[#This Row],[Back*]]=0.5),1,0)</f>
        <v>0</v>
      </c>
      <c r="K68" s="232"/>
      <c r="L68" s="232"/>
    </row>
    <row r="69" spans="1:12" ht="14.1">
      <c r="A69" s="23" t="s">
        <v>122</v>
      </c>
      <c r="B69" s="23" t="s">
        <v>155</v>
      </c>
      <c r="C69" s="229"/>
      <c r="D69" s="229">
        <v>179.96</v>
      </c>
      <c r="E69" s="25">
        <v>7.0770920000000004</v>
      </c>
      <c r="F69" s="230">
        <f>pairs[[#This Row],[ Dist]]*5280</f>
        <v>37367.045760000001</v>
      </c>
      <c r="G69" s="232">
        <f>ROUND(pairs[[#This Row],[ Az]]-ROUNDDOWN(pairs[[#This Row],[ Az]],0),1)</f>
        <v>0</v>
      </c>
      <c r="H69" s="232">
        <f>ROUND(pairs[[#This Row],[ Back]]-ROUNDDOWN(pairs[[#This Row],[ Back]],0),1)</f>
        <v>1</v>
      </c>
      <c r="I69" s="232">
        <f>IF( OR( OR(pairs[[#This Row],[Az*]]=0, pairs[[#This Row],[Back*]]=0), OR(pairs[[#This Row],[Az*]]=1, pairs[[#This Row],[Back*]]=1)), 1, 0)</f>
        <v>1</v>
      </c>
      <c r="J69" s="232">
        <f>IF(OR(pairs[[#This Row],[Az*]]=0.5,pairs[[#This Row],[Back*]]=0.5),1,0)</f>
        <v>0</v>
      </c>
      <c r="K69" s="232"/>
      <c r="L69" s="232"/>
    </row>
    <row r="70" spans="1:12">
      <c r="A70" s="231" t="s">
        <v>122</v>
      </c>
      <c r="B70" s="231" t="s">
        <v>158</v>
      </c>
      <c r="C70" s="232"/>
      <c r="D70" s="232">
        <v>194.32</v>
      </c>
      <c r="E70" s="233">
        <v>7.0366059999999999</v>
      </c>
      <c r="F70" s="234">
        <f>pairs[[#This Row],[ Dist]]*5280</f>
        <v>37153.27968</v>
      </c>
      <c r="G70" s="232">
        <f>ROUND(pairs[[#This Row],[ Az]]-ROUNDDOWN(pairs[[#This Row],[ Az]],0),1)</f>
        <v>0</v>
      </c>
      <c r="H70" s="232">
        <f>ROUND(pairs[[#This Row],[ Back]]-ROUNDDOWN(pairs[[#This Row],[ Back]],0),1)</f>
        <v>0.3</v>
      </c>
      <c r="I70" s="232">
        <f>IF( OR( OR(pairs[[#This Row],[Az*]]=0, pairs[[#This Row],[Back*]]=0), OR(pairs[[#This Row],[Az*]]=1, pairs[[#This Row],[Back*]]=1)), 1, 0)</f>
        <v>1</v>
      </c>
      <c r="J70" s="232">
        <f>IF(OR(pairs[[#This Row],[Az*]]=0.5,pairs[[#This Row],[Back*]]=0.5),1,0)</f>
        <v>0</v>
      </c>
      <c r="K70" s="232"/>
      <c r="L70" s="232"/>
    </row>
    <row r="71" spans="1:12" ht="14.1">
      <c r="A71" s="206" t="s">
        <v>122</v>
      </c>
      <c r="B71" s="206" t="s">
        <v>159</v>
      </c>
      <c r="C71" s="235"/>
      <c r="D71" s="235">
        <v>175.54</v>
      </c>
      <c r="E71" s="236">
        <v>7.0749149999999998</v>
      </c>
      <c r="F71" s="237">
        <f>pairs[[#This Row],[ Dist]]*5280</f>
        <v>37355.551200000002</v>
      </c>
      <c r="G71" s="235">
        <f>ROUND(pairs[[#This Row],[ Az]]-ROUNDDOWN(pairs[[#This Row],[ Az]],0),1)</f>
        <v>0</v>
      </c>
      <c r="H71" s="235">
        <f>ROUND(pairs[[#This Row],[ Back]]-ROUNDDOWN(pairs[[#This Row],[ Back]],0),1)</f>
        <v>0.5</v>
      </c>
      <c r="I71" s="235">
        <f>IF( OR( OR(pairs[[#This Row],[Az*]]=0, pairs[[#This Row],[Back*]]=0), OR(pairs[[#This Row],[Az*]]=1, pairs[[#This Row],[Back*]]=1)), 1, 0)</f>
        <v>1</v>
      </c>
      <c r="J71" s="235">
        <f>IF(OR(pairs[[#This Row],[Az*]]=0.5,pairs[[#This Row],[Back*]]=0.5),1,0)</f>
        <v>1</v>
      </c>
      <c r="K71" s="232"/>
      <c r="L71" s="232"/>
    </row>
    <row r="72" spans="1:12">
      <c r="A72" s="231" t="s">
        <v>122</v>
      </c>
      <c r="B72" s="231" t="s">
        <v>160</v>
      </c>
      <c r="C72" s="232"/>
      <c r="D72" s="232">
        <v>182.37</v>
      </c>
      <c r="E72" s="233">
        <v>7.3904680000000003</v>
      </c>
      <c r="F72" s="234">
        <f>pairs[[#This Row],[ Dist]]*5280</f>
        <v>39021.671040000001</v>
      </c>
      <c r="G72" s="232">
        <f>ROUND(pairs[[#This Row],[ Az]]-ROUNDDOWN(pairs[[#This Row],[ Az]],0),1)</f>
        <v>0</v>
      </c>
      <c r="H72" s="232">
        <f>ROUND(pairs[[#This Row],[ Back]]-ROUNDDOWN(pairs[[#This Row],[ Back]],0),1)</f>
        <v>0.4</v>
      </c>
      <c r="I72" s="232">
        <f>IF( OR( OR(pairs[[#This Row],[Az*]]=0, pairs[[#This Row],[Back*]]=0), OR(pairs[[#This Row],[Az*]]=1, pairs[[#This Row],[Back*]]=1)), 1, 0)</f>
        <v>1</v>
      </c>
      <c r="J72" s="232">
        <f>IF(OR(pairs[[#This Row],[Az*]]=0.5,pairs[[#This Row],[Back*]]=0.5),1,0)</f>
        <v>0</v>
      </c>
      <c r="K72" s="232"/>
      <c r="L72" s="232"/>
    </row>
    <row r="73" spans="1:12">
      <c r="A73" s="231" t="s">
        <v>122</v>
      </c>
      <c r="B73" s="231" t="s">
        <v>146</v>
      </c>
      <c r="C73" s="232"/>
      <c r="D73" s="232">
        <v>175.38</v>
      </c>
      <c r="E73" s="233">
        <v>7.262956</v>
      </c>
      <c r="F73" s="234">
        <f>pairs[[#This Row],[ Dist]]*5280</f>
        <v>38348.407679999997</v>
      </c>
      <c r="G73" s="232">
        <f>ROUND(pairs[[#This Row],[ Az]]-ROUNDDOWN(pairs[[#This Row],[ Az]],0),1)</f>
        <v>0</v>
      </c>
      <c r="H73" s="232">
        <f>ROUND(pairs[[#This Row],[ Back]]-ROUNDDOWN(pairs[[#This Row],[ Back]],0),1)</f>
        <v>0.4</v>
      </c>
      <c r="I73" s="232">
        <f>IF( OR( OR(pairs[[#This Row],[Az*]]=0, pairs[[#This Row],[Back*]]=0), OR(pairs[[#This Row],[Az*]]=1, pairs[[#This Row],[Back*]]=1)), 1, 0)</f>
        <v>1</v>
      </c>
      <c r="J73" s="232">
        <f>IF(OR(pairs[[#This Row],[Az*]]=0.5,pairs[[#This Row],[Back*]]=0.5),1,0)</f>
        <v>0</v>
      </c>
      <c r="K73" s="232"/>
      <c r="L73" s="232"/>
    </row>
    <row r="74" spans="1:12">
      <c r="A74" s="231" t="s">
        <v>122</v>
      </c>
      <c r="B74" s="231" t="s">
        <v>145</v>
      </c>
      <c r="C74" s="232"/>
      <c r="D74" s="232">
        <v>181.8</v>
      </c>
      <c r="E74" s="233">
        <v>6.8742570000000001</v>
      </c>
      <c r="F74" s="234">
        <f>pairs[[#This Row],[ Dist]]*5280</f>
        <v>36296.076959999999</v>
      </c>
      <c r="G74" s="232">
        <f>ROUND(pairs[[#This Row],[ Az]]-ROUNDDOWN(pairs[[#This Row],[ Az]],0),1)</f>
        <v>0</v>
      </c>
      <c r="H74" s="232">
        <f>ROUND(pairs[[#This Row],[ Back]]-ROUNDDOWN(pairs[[#This Row],[ Back]],0),1)</f>
        <v>0.8</v>
      </c>
      <c r="I74" s="232">
        <f>IF( OR( OR(pairs[[#This Row],[Az*]]=0, pairs[[#This Row],[Back*]]=0), OR(pairs[[#This Row],[Az*]]=1, pairs[[#This Row],[Back*]]=1)), 1, 0)</f>
        <v>1</v>
      </c>
      <c r="J74" s="232">
        <f>IF(OR(pairs[[#This Row],[Az*]]=0.5,pairs[[#This Row],[Back*]]=0.5),1,0)</f>
        <v>0</v>
      </c>
      <c r="K74" s="232"/>
      <c r="L74" s="232"/>
    </row>
    <row r="75" spans="1:12">
      <c r="A75" s="231" t="s">
        <v>122</v>
      </c>
      <c r="B75" s="231" t="s">
        <v>164</v>
      </c>
      <c r="C75" s="232"/>
      <c r="D75" s="232">
        <v>175.28</v>
      </c>
      <c r="E75" s="233">
        <v>7.0987049999999998</v>
      </c>
      <c r="F75" s="234">
        <f>pairs[[#This Row],[ Dist]]*5280</f>
        <v>37481.162400000001</v>
      </c>
      <c r="G75" s="232">
        <f>ROUND(pairs[[#This Row],[ Az]]-ROUNDDOWN(pairs[[#This Row],[ Az]],0),1)</f>
        <v>0</v>
      </c>
      <c r="H75" s="232">
        <f>ROUND(pairs[[#This Row],[ Back]]-ROUNDDOWN(pairs[[#This Row],[ Back]],0),1)</f>
        <v>0.3</v>
      </c>
      <c r="I75" s="232">
        <f>IF( OR( OR(pairs[[#This Row],[Az*]]=0, pairs[[#This Row],[Back*]]=0), OR(pairs[[#This Row],[Az*]]=1, pairs[[#This Row],[Back*]]=1)), 1, 0)</f>
        <v>1</v>
      </c>
      <c r="J75" s="232">
        <f>IF(OR(pairs[[#This Row],[Az*]]=0.5,pairs[[#This Row],[Back*]]=0.5),1,0)</f>
        <v>0</v>
      </c>
      <c r="K75" s="232"/>
      <c r="L75" s="232"/>
    </row>
    <row r="76" spans="1:12">
      <c r="A76" s="231" t="s">
        <v>122</v>
      </c>
      <c r="B76" s="231" t="s">
        <v>144</v>
      </c>
      <c r="C76" s="232"/>
      <c r="D76" s="232">
        <v>182.4</v>
      </c>
      <c r="E76" s="233">
        <v>6.8520510000000003</v>
      </c>
      <c r="F76" s="234">
        <f>pairs[[#This Row],[ Dist]]*5280</f>
        <v>36178.829280000005</v>
      </c>
      <c r="G76" s="232">
        <f>ROUND(pairs[[#This Row],[ Az]]-ROUNDDOWN(pairs[[#This Row],[ Az]],0),1)</f>
        <v>0</v>
      </c>
      <c r="H76" s="232">
        <f>ROUND(pairs[[#This Row],[ Back]]-ROUNDDOWN(pairs[[#This Row],[ Back]],0),1)</f>
        <v>0.4</v>
      </c>
      <c r="I76" s="232">
        <f>IF( OR( OR(pairs[[#This Row],[Az*]]=0, pairs[[#This Row],[Back*]]=0), OR(pairs[[#This Row],[Az*]]=1, pairs[[#This Row],[Back*]]=1)), 1, 0)</f>
        <v>1</v>
      </c>
      <c r="J76" s="232">
        <f>IF(OR(pairs[[#This Row],[Az*]]=0.5,pairs[[#This Row],[Back*]]=0.5),1,0)</f>
        <v>0</v>
      </c>
      <c r="K76" s="232"/>
      <c r="L76" s="232"/>
    </row>
    <row r="77" spans="1:12">
      <c r="A77" s="231" t="s">
        <v>122</v>
      </c>
      <c r="B77" s="231" t="s">
        <v>148</v>
      </c>
      <c r="C77" s="232"/>
      <c r="D77" s="232">
        <v>179.91</v>
      </c>
      <c r="E77" s="233">
        <v>14.204091</v>
      </c>
      <c r="F77" s="234">
        <f>pairs[[#This Row],[ Dist]]*5280</f>
        <v>74997.600479999994</v>
      </c>
      <c r="G77" s="232">
        <f>ROUND(pairs[[#This Row],[ Az]]-ROUNDDOWN(pairs[[#This Row],[ Az]],0),1)</f>
        <v>0</v>
      </c>
      <c r="H77" s="232">
        <f>ROUND(pairs[[#This Row],[ Back]]-ROUNDDOWN(pairs[[#This Row],[ Back]],0),1)</f>
        <v>0.9</v>
      </c>
      <c r="I77" s="232">
        <f>IF( OR( OR(pairs[[#This Row],[Az*]]=0, pairs[[#This Row],[Back*]]=0), OR(pairs[[#This Row],[Az*]]=1, pairs[[#This Row],[Back*]]=1)), 1, 0)</f>
        <v>1</v>
      </c>
      <c r="J77" s="232">
        <f>IF(OR(pairs[[#This Row],[Az*]]=0.5,pairs[[#This Row],[Back*]]=0.5),1,0)</f>
        <v>0</v>
      </c>
      <c r="K77" s="232"/>
      <c r="L77" s="232"/>
    </row>
    <row r="78" spans="1:12">
      <c r="A78" s="231" t="s">
        <v>122</v>
      </c>
      <c r="B78" s="231" t="s">
        <v>152</v>
      </c>
      <c r="C78" s="232"/>
      <c r="D78" s="232">
        <v>179.83</v>
      </c>
      <c r="E78" s="233">
        <v>7.1330390000000001</v>
      </c>
      <c r="F78" s="234">
        <f>pairs[[#This Row],[ Dist]]*5280</f>
        <v>37662.445919999998</v>
      </c>
      <c r="G78" s="232">
        <f>ROUND(pairs[[#This Row],[ Az]]-ROUNDDOWN(pairs[[#This Row],[ Az]],0),1)</f>
        <v>0</v>
      </c>
      <c r="H78" s="232">
        <f>ROUND(pairs[[#This Row],[ Back]]-ROUNDDOWN(pairs[[#This Row],[ Back]],0),1)</f>
        <v>0.8</v>
      </c>
      <c r="I78" s="232">
        <f>IF( OR( OR(pairs[[#This Row],[Az*]]=0, pairs[[#This Row],[Back*]]=0), OR(pairs[[#This Row],[Az*]]=1, pairs[[#This Row],[Back*]]=1)), 1, 0)</f>
        <v>1</v>
      </c>
      <c r="J78" s="232">
        <f>IF(OR(pairs[[#This Row],[Az*]]=0.5,pairs[[#This Row],[Back*]]=0.5),1,0)</f>
        <v>0</v>
      </c>
      <c r="K78" s="232"/>
      <c r="L78" s="232"/>
    </row>
    <row r="79" spans="1:12" ht="14.1">
      <c r="A79" s="206" t="s">
        <v>122</v>
      </c>
      <c r="B79" s="206" t="s">
        <v>147</v>
      </c>
      <c r="C79" s="235"/>
      <c r="D79" s="235">
        <v>171.54</v>
      </c>
      <c r="E79" s="236">
        <v>5.6349590000000003</v>
      </c>
      <c r="F79" s="237">
        <f>pairs[[#This Row],[ Dist]]*5280</f>
        <v>29752.58352</v>
      </c>
      <c r="G79" s="235">
        <f>ROUND(pairs[[#This Row],[ Az]]-ROUNDDOWN(pairs[[#This Row],[ Az]],0),1)</f>
        <v>0</v>
      </c>
      <c r="H79" s="235">
        <f>ROUND(pairs[[#This Row],[ Back]]-ROUNDDOWN(pairs[[#This Row],[ Back]],0),1)</f>
        <v>0.5</v>
      </c>
      <c r="I79" s="235">
        <f>IF( OR( OR(pairs[[#This Row],[Az*]]=0, pairs[[#This Row],[Back*]]=0), OR(pairs[[#This Row],[Az*]]=1, pairs[[#This Row],[Back*]]=1)), 1, 0)</f>
        <v>1</v>
      </c>
      <c r="J79" s="235">
        <f>IF(OR(pairs[[#This Row],[Az*]]=0.5,pairs[[#This Row],[Back*]]=0.5),1,0)</f>
        <v>1</v>
      </c>
      <c r="K79" s="232"/>
      <c r="L79" s="232"/>
    </row>
    <row r="80" spans="1:12">
      <c r="A80" s="231" t="s">
        <v>122</v>
      </c>
      <c r="B80" s="231" t="s">
        <v>161</v>
      </c>
      <c r="C80" s="232"/>
      <c r="D80" s="232">
        <v>156.78</v>
      </c>
      <c r="E80" s="233">
        <v>10.833906000000001</v>
      </c>
      <c r="F80" s="234">
        <f>pairs[[#This Row],[ Dist]]*5280</f>
        <v>57203.023680000006</v>
      </c>
      <c r="G80" s="232">
        <f>ROUND(pairs[[#This Row],[ Az]]-ROUNDDOWN(pairs[[#This Row],[ Az]],0),1)</f>
        <v>0</v>
      </c>
      <c r="H80" s="232">
        <f>ROUND(pairs[[#This Row],[ Back]]-ROUNDDOWN(pairs[[#This Row],[ Back]],0),1)</f>
        <v>0.8</v>
      </c>
      <c r="I80" s="232">
        <f>IF( OR( OR(pairs[[#This Row],[Az*]]=0, pairs[[#This Row],[Back*]]=0), OR(pairs[[#This Row],[Az*]]=1, pairs[[#This Row],[Back*]]=1)), 1, 0)</f>
        <v>1</v>
      </c>
      <c r="J80" s="232">
        <f>IF(OR(pairs[[#This Row],[Az*]]=0.5,pairs[[#This Row],[Back*]]=0.5),1,0)</f>
        <v>0</v>
      </c>
      <c r="K80" s="232"/>
      <c r="L80" s="232"/>
    </row>
    <row r="81" spans="1:12" ht="14.1">
      <c r="A81" s="206" t="s">
        <v>122</v>
      </c>
      <c r="B81" s="206" t="s">
        <v>162</v>
      </c>
      <c r="C81" s="235"/>
      <c r="D81" s="235">
        <v>177.48</v>
      </c>
      <c r="E81" s="236">
        <v>13.617648000000001</v>
      </c>
      <c r="F81" s="237">
        <f>pairs[[#This Row],[ Dist]]*5280</f>
        <v>71901.18144</v>
      </c>
      <c r="G81" s="235">
        <f>ROUND(pairs[[#This Row],[ Az]]-ROUNDDOWN(pairs[[#This Row],[ Az]],0),1)</f>
        <v>0</v>
      </c>
      <c r="H81" s="235">
        <f>ROUND(pairs[[#This Row],[ Back]]-ROUNDDOWN(pairs[[#This Row],[ Back]],0),1)</f>
        <v>0.5</v>
      </c>
      <c r="I81" s="235">
        <f>IF( OR( OR(pairs[[#This Row],[Az*]]=0, pairs[[#This Row],[Back*]]=0), OR(pairs[[#This Row],[Az*]]=1, pairs[[#This Row],[Back*]]=1)), 1, 0)</f>
        <v>1</v>
      </c>
      <c r="J81" s="235">
        <f>IF(OR(pairs[[#This Row],[Az*]]=0.5,pairs[[#This Row],[Back*]]=0.5),1,0)</f>
        <v>1</v>
      </c>
      <c r="K81" s="232"/>
      <c r="L81" s="232"/>
    </row>
    <row r="82" spans="1:12">
      <c r="A82" s="231" t="s">
        <v>122</v>
      </c>
      <c r="B82" s="231" t="s">
        <v>157</v>
      </c>
      <c r="C82" s="232"/>
      <c r="D82" s="232">
        <v>191.57</v>
      </c>
      <c r="E82" s="233">
        <v>4.5691360000000003</v>
      </c>
      <c r="F82" s="234">
        <f>pairs[[#This Row],[ Dist]]*5280</f>
        <v>24125.038080000002</v>
      </c>
      <c r="G82" s="232">
        <f>ROUND(pairs[[#This Row],[ Az]]-ROUNDDOWN(pairs[[#This Row],[ Az]],0),1)</f>
        <v>0</v>
      </c>
      <c r="H82" s="232">
        <f>ROUND(pairs[[#This Row],[ Back]]-ROUNDDOWN(pairs[[#This Row],[ Back]],0),1)</f>
        <v>0.6</v>
      </c>
      <c r="I82" s="232">
        <f>IF( OR( OR(pairs[[#This Row],[Az*]]=0, pairs[[#This Row],[Back*]]=0), OR(pairs[[#This Row],[Az*]]=1, pairs[[#This Row],[Back*]]=1)), 1, 0)</f>
        <v>1</v>
      </c>
      <c r="J82" s="232">
        <f>IF(OR(pairs[[#This Row],[Az*]]=0.5,pairs[[#This Row],[Back*]]=0.5),1,0)</f>
        <v>0</v>
      </c>
      <c r="K82" s="232"/>
      <c r="L82" s="232"/>
    </row>
    <row r="83" spans="1:12" ht="14.1">
      <c r="A83" s="23" t="s">
        <v>122</v>
      </c>
      <c r="B83" s="23" t="s">
        <v>153</v>
      </c>
      <c r="C83" s="229"/>
      <c r="D83" s="229">
        <v>180</v>
      </c>
      <c r="E83" s="25">
        <v>7.0710680000000004</v>
      </c>
      <c r="F83" s="230">
        <f>pairs[[#This Row],[ Dist]]*5280</f>
        <v>37335.23904</v>
      </c>
      <c r="G83" s="232">
        <f>ROUND(pairs[[#This Row],[ Az]]-ROUNDDOWN(pairs[[#This Row],[ Az]],0),1)</f>
        <v>0</v>
      </c>
      <c r="H83" s="232">
        <f>ROUND(pairs[[#This Row],[ Back]]-ROUNDDOWN(pairs[[#This Row],[ Back]],0),1)</f>
        <v>0</v>
      </c>
      <c r="I83" s="232">
        <f>IF( OR( OR(pairs[[#This Row],[Az*]]=0, pairs[[#This Row],[Back*]]=0), OR(pairs[[#This Row],[Az*]]=1, pairs[[#This Row],[Back*]]=1)), 1, 0)</f>
        <v>1</v>
      </c>
      <c r="J83" s="232">
        <f>IF(OR(pairs[[#This Row],[Az*]]=0.5,pairs[[#This Row],[Back*]]=0.5),1,0)</f>
        <v>0</v>
      </c>
      <c r="K83" s="232"/>
      <c r="L83" s="232"/>
    </row>
    <row r="84" spans="1:12">
      <c r="A84" s="231" t="s">
        <v>122</v>
      </c>
      <c r="B84" s="231" t="s">
        <v>150</v>
      </c>
      <c r="C84" s="232"/>
      <c r="D84" s="232">
        <v>135.05000000000001</v>
      </c>
      <c r="E84" s="233">
        <v>10.037895000000001</v>
      </c>
      <c r="F84" s="234">
        <f>pairs[[#This Row],[ Dist]]*5280</f>
        <v>53000.085600000006</v>
      </c>
      <c r="G84" s="232">
        <f>ROUND(pairs[[#This Row],[ Az]]-ROUNDDOWN(pairs[[#This Row],[ Az]],0),1)</f>
        <v>0</v>
      </c>
      <c r="H84" s="232">
        <f>ROUND(pairs[[#This Row],[ Back]]-ROUNDDOWN(pairs[[#This Row],[ Back]],0),1)</f>
        <v>0.1</v>
      </c>
      <c r="I84" s="232">
        <f>IF( OR( OR(pairs[[#This Row],[Az*]]=0, pairs[[#This Row],[Back*]]=0), OR(pairs[[#This Row],[Az*]]=1, pairs[[#This Row],[Back*]]=1)), 1, 0)</f>
        <v>1</v>
      </c>
      <c r="J84" s="232">
        <f>IF(OR(pairs[[#This Row],[Az*]]=0.5,pairs[[#This Row],[Back*]]=0.5),1,0)</f>
        <v>0</v>
      </c>
      <c r="K84" s="232"/>
      <c r="L84" s="232"/>
    </row>
    <row r="85" spans="1:12">
      <c r="A85" s="231" t="s">
        <v>122</v>
      </c>
      <c r="B85" s="231" t="s">
        <v>154</v>
      </c>
      <c r="C85" s="232"/>
      <c r="D85" s="232">
        <v>179.91</v>
      </c>
      <c r="E85" s="233">
        <v>7.1036710000000003</v>
      </c>
      <c r="F85" s="234">
        <f>pairs[[#This Row],[ Dist]]*5280</f>
        <v>37507.382880000005</v>
      </c>
      <c r="G85" s="232">
        <f>ROUND(pairs[[#This Row],[ Az]]-ROUNDDOWN(pairs[[#This Row],[ Az]],0),1)</f>
        <v>0</v>
      </c>
      <c r="H85" s="232">
        <f>ROUND(pairs[[#This Row],[ Back]]-ROUNDDOWN(pairs[[#This Row],[ Back]],0),1)</f>
        <v>0.9</v>
      </c>
      <c r="I85" s="232">
        <f>IF( OR( OR(pairs[[#This Row],[Az*]]=0, pairs[[#This Row],[Back*]]=0), OR(pairs[[#This Row],[Az*]]=1, pairs[[#This Row],[Back*]]=1)), 1, 0)</f>
        <v>1</v>
      </c>
      <c r="J85" s="232">
        <f>IF(OR(pairs[[#This Row],[Az*]]=0.5,pairs[[#This Row],[Back*]]=0.5),1,0)</f>
        <v>0</v>
      </c>
      <c r="K85" s="232"/>
      <c r="L85" s="232"/>
    </row>
    <row r="86" spans="1:12">
      <c r="A86" s="231" t="s">
        <v>129</v>
      </c>
      <c r="B86" s="231" t="s">
        <v>156</v>
      </c>
      <c r="C86" s="232"/>
      <c r="D86" s="232">
        <v>160.57</v>
      </c>
      <c r="E86" s="233">
        <v>2.7807789999999999</v>
      </c>
      <c r="F86" s="234">
        <f>pairs[[#This Row],[ Dist]]*5280</f>
        <v>14682.51312</v>
      </c>
      <c r="G86" s="232">
        <f>ROUND(pairs[[#This Row],[ Az]]-ROUNDDOWN(pairs[[#This Row],[ Az]],0),1)</f>
        <v>0</v>
      </c>
      <c r="H86" s="232">
        <f>ROUND(pairs[[#This Row],[ Back]]-ROUNDDOWN(pairs[[#This Row],[ Back]],0),1)</f>
        <v>0.6</v>
      </c>
      <c r="I86" s="232">
        <f>IF( OR( OR(pairs[[#This Row],[Az*]]=0, pairs[[#This Row],[Back*]]=0), OR(pairs[[#This Row],[Az*]]=1, pairs[[#This Row],[Back*]]=1)), 1, 0)</f>
        <v>1</v>
      </c>
      <c r="J86" s="232">
        <f>IF(OR(pairs[[#This Row],[Az*]]=0.5,pairs[[#This Row],[Back*]]=0.5),1,0)</f>
        <v>0</v>
      </c>
      <c r="K86" s="232"/>
      <c r="L86" s="232"/>
    </row>
    <row r="87" spans="1:12" ht="14.1">
      <c r="A87" s="23" t="s">
        <v>129</v>
      </c>
      <c r="B87" s="23" t="s">
        <v>163</v>
      </c>
      <c r="C87" s="229"/>
      <c r="D87" s="229">
        <v>225.07</v>
      </c>
      <c r="E87" s="25">
        <v>6.2031510000000001</v>
      </c>
      <c r="F87" s="230">
        <f>pairs[[#This Row],[ Dist]]*5280</f>
        <v>32752.637279999999</v>
      </c>
      <c r="G87" s="232">
        <f>ROUND(pairs[[#This Row],[ Az]]-ROUNDDOWN(pairs[[#This Row],[ Az]],0),1)</f>
        <v>0</v>
      </c>
      <c r="H87" s="232">
        <f>ROUND(pairs[[#This Row],[ Back]]-ROUNDDOWN(pairs[[#This Row],[ Back]],0),1)</f>
        <v>0.1</v>
      </c>
      <c r="I87" s="232">
        <f>IF( OR( OR(pairs[[#This Row],[Az*]]=0, pairs[[#This Row],[Back*]]=0), OR(pairs[[#This Row],[Az*]]=1, pairs[[#This Row],[Back*]]=1)), 1, 0)</f>
        <v>1</v>
      </c>
      <c r="J87" s="232">
        <f>IF(OR(pairs[[#This Row],[Az*]]=0.5,pairs[[#This Row],[Back*]]=0.5),1,0)</f>
        <v>0</v>
      </c>
      <c r="K87" s="232"/>
      <c r="L87" s="232"/>
    </row>
    <row r="88" spans="1:12">
      <c r="A88" s="231" t="s">
        <v>129</v>
      </c>
      <c r="B88" s="231" t="s">
        <v>143</v>
      </c>
      <c r="C88" s="232"/>
      <c r="D88" s="232">
        <v>196.9</v>
      </c>
      <c r="E88" s="233">
        <v>2.715538</v>
      </c>
      <c r="F88" s="234">
        <f>pairs[[#This Row],[ Dist]]*5280</f>
        <v>14338.040639999999</v>
      </c>
      <c r="G88" s="232">
        <f>ROUND(pairs[[#This Row],[ Az]]-ROUNDDOWN(pairs[[#This Row],[ Az]],0),1)</f>
        <v>0</v>
      </c>
      <c r="H88" s="232">
        <f>ROUND(pairs[[#This Row],[ Back]]-ROUNDDOWN(pairs[[#This Row],[ Back]],0),1)</f>
        <v>0.9</v>
      </c>
      <c r="I88" s="232">
        <f>IF( OR( OR(pairs[[#This Row],[Az*]]=0, pairs[[#This Row],[Back*]]=0), OR(pairs[[#This Row],[Az*]]=1, pairs[[#This Row],[Back*]]=1)), 1, 0)</f>
        <v>1</v>
      </c>
      <c r="J88" s="232">
        <f>IF(OR(pairs[[#This Row],[Az*]]=0.5,pairs[[#This Row],[Back*]]=0.5),1,0)</f>
        <v>0</v>
      </c>
      <c r="K88" s="232"/>
      <c r="L88" s="232"/>
    </row>
    <row r="89" spans="1:12" ht="14.1">
      <c r="A89" s="23" t="s">
        <v>129</v>
      </c>
      <c r="B89" s="23" t="s">
        <v>151</v>
      </c>
      <c r="C89" s="229"/>
      <c r="D89" s="229">
        <v>247.08</v>
      </c>
      <c r="E89" s="25">
        <v>6.6813739999999999</v>
      </c>
      <c r="F89" s="230">
        <f>pairs[[#This Row],[ Dist]]*5280</f>
        <v>35277.654719999999</v>
      </c>
      <c r="G89" s="232">
        <f>ROUND(pairs[[#This Row],[ Az]]-ROUNDDOWN(pairs[[#This Row],[ Az]],0),1)</f>
        <v>0</v>
      </c>
      <c r="H89" s="232">
        <f>ROUND(pairs[[#This Row],[ Back]]-ROUNDDOWN(pairs[[#This Row],[ Back]],0),1)</f>
        <v>0.1</v>
      </c>
      <c r="I89" s="232">
        <f>IF( OR( OR(pairs[[#This Row],[Az*]]=0, pairs[[#This Row],[Back*]]=0), OR(pairs[[#This Row],[Az*]]=1, pairs[[#This Row],[Back*]]=1)), 1, 0)</f>
        <v>1</v>
      </c>
      <c r="J89" s="232">
        <f>IF(OR(pairs[[#This Row],[Az*]]=0.5,pairs[[#This Row],[Back*]]=0.5),1,0)</f>
        <v>0</v>
      </c>
      <c r="K89" s="232"/>
      <c r="L89" s="232"/>
    </row>
    <row r="90" spans="1:12" ht="14.1">
      <c r="A90" s="206" t="s">
        <v>129</v>
      </c>
      <c r="B90" s="206" t="s">
        <v>155</v>
      </c>
      <c r="C90" s="235"/>
      <c r="D90" s="235">
        <v>160.5</v>
      </c>
      <c r="E90" s="236">
        <v>2.7589329999999999</v>
      </c>
      <c r="F90" s="237">
        <f>pairs[[#This Row],[ Dist]]*5280</f>
        <v>14567.166239999999</v>
      </c>
      <c r="G90" s="235">
        <f>ROUND(pairs[[#This Row],[ Az]]-ROUNDDOWN(pairs[[#This Row],[ Az]],0),1)</f>
        <v>0</v>
      </c>
      <c r="H90" s="235">
        <f>ROUND(pairs[[#This Row],[ Back]]-ROUNDDOWN(pairs[[#This Row],[ Back]],0),1)</f>
        <v>0.5</v>
      </c>
      <c r="I90" s="235">
        <f>IF( OR( OR(pairs[[#This Row],[Az*]]=0, pairs[[#This Row],[Back*]]=0), OR(pairs[[#This Row],[Az*]]=1, pairs[[#This Row],[Back*]]=1)), 1, 0)</f>
        <v>1</v>
      </c>
      <c r="J90" s="235">
        <f>IF(OR(pairs[[#This Row],[Az*]]=0.5,pairs[[#This Row],[Back*]]=0.5),1,0)</f>
        <v>1</v>
      </c>
      <c r="K90" s="232"/>
      <c r="L90" s="232"/>
    </row>
    <row r="91" spans="1:12">
      <c r="A91" s="231" t="s">
        <v>129</v>
      </c>
      <c r="B91" s="231" t="s">
        <v>158</v>
      </c>
      <c r="C91" s="232"/>
      <c r="D91" s="232">
        <v>199.36</v>
      </c>
      <c r="E91" s="233">
        <v>2.4822850000000001</v>
      </c>
      <c r="F91" s="234">
        <f>pairs[[#This Row],[ Dist]]*5280</f>
        <v>13106.4648</v>
      </c>
      <c r="G91" s="232">
        <f>ROUND(pairs[[#This Row],[ Az]]-ROUNDDOWN(pairs[[#This Row],[ Az]],0),1)</f>
        <v>0</v>
      </c>
      <c r="H91" s="232">
        <f>ROUND(pairs[[#This Row],[ Back]]-ROUNDDOWN(pairs[[#This Row],[ Back]],0),1)</f>
        <v>0.4</v>
      </c>
      <c r="I91" s="232">
        <f>IF( OR( OR(pairs[[#This Row],[Az*]]=0, pairs[[#This Row],[Back*]]=0), OR(pairs[[#This Row],[Az*]]=1, pairs[[#This Row],[Back*]]=1)), 1, 0)</f>
        <v>1</v>
      </c>
      <c r="J91" s="232">
        <f>IF(OR(pairs[[#This Row],[Az*]]=0.5,pairs[[#This Row],[Back*]]=0.5),1,0)</f>
        <v>0</v>
      </c>
      <c r="K91" s="232"/>
      <c r="L91" s="232"/>
    </row>
    <row r="92" spans="1:12">
      <c r="A92" s="231" t="s">
        <v>129</v>
      </c>
      <c r="B92" s="231" t="s">
        <v>159</v>
      </c>
      <c r="C92" s="232"/>
      <c r="D92" s="232">
        <v>150.37</v>
      </c>
      <c r="E92" s="233">
        <v>2.9646330000000001</v>
      </c>
      <c r="F92" s="234">
        <f>pairs[[#This Row],[ Dist]]*5280</f>
        <v>15653.26224</v>
      </c>
      <c r="G92" s="232">
        <f>ROUND(pairs[[#This Row],[ Az]]-ROUNDDOWN(pairs[[#This Row],[ Az]],0),1)</f>
        <v>0</v>
      </c>
      <c r="H92" s="232">
        <f>ROUND(pairs[[#This Row],[ Back]]-ROUNDDOWN(pairs[[#This Row],[ Back]],0),1)</f>
        <v>0.4</v>
      </c>
      <c r="I92" s="232">
        <f>IF( OR( OR(pairs[[#This Row],[Az*]]=0, pairs[[#This Row],[Back*]]=0), OR(pairs[[#This Row],[Az*]]=1, pairs[[#This Row],[Back*]]=1)), 1, 0)</f>
        <v>1</v>
      </c>
      <c r="J92" s="232">
        <f>IF(OR(pairs[[#This Row],[Az*]]=0.5,pairs[[#This Row],[Back*]]=0.5),1,0)</f>
        <v>0</v>
      </c>
      <c r="K92" s="232"/>
      <c r="L92" s="232"/>
    </row>
    <row r="93" spans="1:12">
      <c r="A93" s="231" t="s">
        <v>129</v>
      </c>
      <c r="B93" s="231" t="s">
        <v>160</v>
      </c>
      <c r="C93" s="232"/>
      <c r="D93" s="232">
        <v>168.14</v>
      </c>
      <c r="E93" s="233">
        <v>2.971187</v>
      </c>
      <c r="F93" s="234">
        <f>pairs[[#This Row],[ Dist]]*5280</f>
        <v>15687.86736</v>
      </c>
      <c r="G93" s="232">
        <f>ROUND(pairs[[#This Row],[ Az]]-ROUNDDOWN(pairs[[#This Row],[ Az]],0),1)</f>
        <v>0</v>
      </c>
      <c r="H93" s="232">
        <f>ROUND(pairs[[#This Row],[ Back]]-ROUNDDOWN(pairs[[#This Row],[ Back]],0),1)</f>
        <v>0.1</v>
      </c>
      <c r="I93" s="232">
        <f>IF( OR( OR(pairs[[#This Row],[Az*]]=0, pairs[[#This Row],[Back*]]=0), OR(pairs[[#This Row],[Az*]]=1, pairs[[#This Row],[Back*]]=1)), 1, 0)</f>
        <v>1</v>
      </c>
      <c r="J93" s="232">
        <f>IF(OR(pairs[[#This Row],[Az*]]=0.5,pairs[[#This Row],[Back*]]=0.5),1,0)</f>
        <v>0</v>
      </c>
      <c r="K93" s="232"/>
      <c r="L93" s="232"/>
    </row>
    <row r="94" spans="1:12" ht="14.1">
      <c r="A94" s="206" t="s">
        <v>129</v>
      </c>
      <c r="B94" s="206" t="s">
        <v>146</v>
      </c>
      <c r="C94" s="235"/>
      <c r="D94" s="235">
        <v>151.5</v>
      </c>
      <c r="E94" s="236">
        <v>3.1438039999999998</v>
      </c>
      <c r="F94" s="237">
        <f>pairs[[#This Row],[ Dist]]*5280</f>
        <v>16599.28512</v>
      </c>
      <c r="G94" s="235">
        <f>ROUND(pairs[[#This Row],[ Az]]-ROUNDDOWN(pairs[[#This Row],[ Az]],0),1)</f>
        <v>0</v>
      </c>
      <c r="H94" s="235">
        <f>ROUND(pairs[[#This Row],[ Back]]-ROUNDDOWN(pairs[[#This Row],[ Back]],0),1)</f>
        <v>0.5</v>
      </c>
      <c r="I94" s="235">
        <f>IF( OR( OR(pairs[[#This Row],[Az*]]=0, pairs[[#This Row],[Back*]]=0), OR(pairs[[#This Row],[Az*]]=1, pairs[[#This Row],[Back*]]=1)), 1, 0)</f>
        <v>1</v>
      </c>
      <c r="J94" s="235">
        <f>IF(OR(pairs[[#This Row],[Az*]]=0.5,pairs[[#This Row],[Back*]]=0.5),1,0)</f>
        <v>1</v>
      </c>
      <c r="K94" s="232"/>
      <c r="L94" s="232"/>
    </row>
    <row r="95" spans="1:12">
      <c r="A95" s="231" t="s">
        <v>129</v>
      </c>
      <c r="B95" s="231" t="s">
        <v>145</v>
      </c>
      <c r="C95" s="232"/>
      <c r="D95" s="232">
        <v>163.71</v>
      </c>
      <c r="E95" s="233">
        <v>2.4946609999999998</v>
      </c>
      <c r="F95" s="234">
        <f>pairs[[#This Row],[ Dist]]*5280</f>
        <v>13171.810079999999</v>
      </c>
      <c r="G95" s="232">
        <f>ROUND(pairs[[#This Row],[ Az]]-ROUNDDOWN(pairs[[#This Row],[ Az]],0),1)</f>
        <v>0</v>
      </c>
      <c r="H95" s="232">
        <f>ROUND(pairs[[#This Row],[ Back]]-ROUNDDOWN(pairs[[#This Row],[ Back]],0),1)</f>
        <v>0.7</v>
      </c>
      <c r="I95" s="232">
        <f>IF( OR( OR(pairs[[#This Row],[Az*]]=0, pairs[[#This Row],[Back*]]=0), OR(pairs[[#This Row],[Az*]]=1, pairs[[#This Row],[Back*]]=1)), 1, 0)</f>
        <v>1</v>
      </c>
      <c r="J95" s="232">
        <f>IF(OR(pairs[[#This Row],[Az*]]=0.5,pairs[[#This Row],[Back*]]=0.5),1,0)</f>
        <v>0</v>
      </c>
      <c r="K95" s="232"/>
      <c r="L95" s="232"/>
    </row>
    <row r="96" spans="1:12" ht="14.1">
      <c r="A96" s="23" t="s">
        <v>129</v>
      </c>
      <c r="B96" s="23" t="s">
        <v>164</v>
      </c>
      <c r="C96" s="229"/>
      <c r="D96" s="229">
        <v>150</v>
      </c>
      <c r="E96" s="25">
        <v>3.0000049999999998</v>
      </c>
      <c r="F96" s="230">
        <f>pairs[[#This Row],[ Dist]]*5280</f>
        <v>15840.026399999999</v>
      </c>
      <c r="G96" s="232">
        <f>ROUND(pairs[[#This Row],[ Az]]-ROUNDDOWN(pairs[[#This Row],[ Az]],0),1)</f>
        <v>0</v>
      </c>
      <c r="H96" s="232">
        <f>ROUND(pairs[[#This Row],[ Back]]-ROUNDDOWN(pairs[[#This Row],[ Back]],0),1)</f>
        <v>0</v>
      </c>
      <c r="I96" s="232">
        <f>IF( OR( OR(pairs[[#This Row],[Az*]]=0, pairs[[#This Row],[Back*]]=0), OR(pairs[[#This Row],[Az*]]=1, pairs[[#This Row],[Back*]]=1)), 1, 0)</f>
        <v>1</v>
      </c>
      <c r="J96" s="232">
        <f>IF(OR(pairs[[#This Row],[Az*]]=0.5,pairs[[#This Row],[Back*]]=0.5),1,0)</f>
        <v>0</v>
      </c>
      <c r="K96" s="232"/>
      <c r="L96" s="232"/>
    </row>
    <row r="97" spans="1:12">
      <c r="A97" s="231" t="s">
        <v>129</v>
      </c>
      <c r="B97" s="231" t="s">
        <v>144</v>
      </c>
      <c r="C97" s="232"/>
      <c r="D97" s="232">
        <v>165.14</v>
      </c>
      <c r="E97" s="233">
        <v>2.4517310000000001</v>
      </c>
      <c r="F97" s="234">
        <f>pairs[[#This Row],[ Dist]]*5280</f>
        <v>12945.13968</v>
      </c>
      <c r="G97" s="232">
        <f>ROUND(pairs[[#This Row],[ Az]]-ROUNDDOWN(pairs[[#This Row],[ Az]],0),1)</f>
        <v>0</v>
      </c>
      <c r="H97" s="232">
        <f>ROUND(pairs[[#This Row],[ Back]]-ROUNDDOWN(pairs[[#This Row],[ Back]],0),1)</f>
        <v>0.1</v>
      </c>
      <c r="I97" s="232">
        <f>IF( OR( OR(pairs[[#This Row],[Az*]]=0, pairs[[#This Row],[Back*]]=0), OR(pairs[[#This Row],[Az*]]=1, pairs[[#This Row],[Back*]]=1)), 1, 0)</f>
        <v>1</v>
      </c>
      <c r="J97" s="232">
        <f>IF(OR(pairs[[#This Row],[Az*]]=0.5,pairs[[#This Row],[Back*]]=0.5),1,0)</f>
        <v>0</v>
      </c>
      <c r="K97" s="232"/>
      <c r="L97" s="232"/>
    </row>
    <row r="98" spans="1:12" ht="14.1">
      <c r="A98" s="206" t="s">
        <v>129</v>
      </c>
      <c r="B98" s="206" t="s">
        <v>148</v>
      </c>
      <c r="C98" s="235"/>
      <c r="D98" s="235">
        <v>174.5</v>
      </c>
      <c r="E98" s="236">
        <v>9.7727319999999995</v>
      </c>
      <c r="F98" s="237">
        <f>pairs[[#This Row],[ Dist]]*5280</f>
        <v>51600.024959999995</v>
      </c>
      <c r="G98" s="235">
        <f>ROUND(pairs[[#This Row],[ Az]]-ROUNDDOWN(pairs[[#This Row],[ Az]],0),1)</f>
        <v>0</v>
      </c>
      <c r="H98" s="235">
        <f>ROUND(pairs[[#This Row],[ Back]]-ROUNDDOWN(pairs[[#This Row],[ Back]],0),1)</f>
        <v>0.5</v>
      </c>
      <c r="I98" s="235">
        <f>IF( OR( OR(pairs[[#This Row],[Az*]]=0, pairs[[#This Row],[Back*]]=0), OR(pairs[[#This Row],[Az*]]=1, pairs[[#This Row],[Back*]]=1)), 1, 0)</f>
        <v>1</v>
      </c>
      <c r="J98" s="235">
        <f>IF(OR(pairs[[#This Row],[Az*]]=0.5,pairs[[#This Row],[Back*]]=0.5),1,0)</f>
        <v>1</v>
      </c>
      <c r="K98" s="232"/>
      <c r="L98" s="232"/>
    </row>
    <row r="99" spans="1:12">
      <c r="A99" s="231" t="s">
        <v>129</v>
      </c>
      <c r="B99" s="231" t="s">
        <v>152</v>
      </c>
      <c r="C99" s="232"/>
      <c r="D99" s="232">
        <v>160.56</v>
      </c>
      <c r="E99" s="233">
        <v>2.8171339999999998</v>
      </c>
      <c r="F99" s="234">
        <f>pairs[[#This Row],[ Dist]]*5280</f>
        <v>14874.467519999998</v>
      </c>
      <c r="G99" s="232">
        <f>ROUND(pairs[[#This Row],[ Az]]-ROUNDDOWN(pairs[[#This Row],[ Az]],0),1)</f>
        <v>0</v>
      </c>
      <c r="H99" s="232">
        <f>ROUND(pairs[[#This Row],[ Back]]-ROUNDDOWN(pairs[[#This Row],[ Back]],0),1)</f>
        <v>0.6</v>
      </c>
      <c r="I99" s="232">
        <f>IF( OR( OR(pairs[[#This Row],[Az*]]=0, pairs[[#This Row],[Back*]]=0), OR(pairs[[#This Row],[Az*]]=1, pairs[[#This Row],[Back*]]=1)), 1, 0)</f>
        <v>1</v>
      </c>
      <c r="J99" s="232">
        <f>IF(OR(pairs[[#This Row],[Az*]]=0.5,pairs[[#This Row],[Back*]]=0.5),1,0)</f>
        <v>0</v>
      </c>
      <c r="K99" s="232"/>
      <c r="L99" s="232"/>
    </row>
    <row r="100" spans="1:12">
      <c r="A100" s="231" t="s">
        <v>129</v>
      </c>
      <c r="B100" s="231" t="s">
        <v>147</v>
      </c>
      <c r="C100" s="232"/>
      <c r="D100" s="232">
        <v>122.17</v>
      </c>
      <c r="E100" s="233">
        <v>2.060613</v>
      </c>
      <c r="F100" s="234">
        <f>pairs[[#This Row],[ Dist]]*5280</f>
        <v>10880.03664</v>
      </c>
      <c r="G100" s="232">
        <f>ROUND(pairs[[#This Row],[ Az]]-ROUNDDOWN(pairs[[#This Row],[ Az]],0),1)</f>
        <v>0</v>
      </c>
      <c r="H100" s="232">
        <f>ROUND(pairs[[#This Row],[ Back]]-ROUNDDOWN(pairs[[#This Row],[ Back]],0),1)</f>
        <v>0.2</v>
      </c>
      <c r="I100" s="232">
        <f>IF( OR( OR(pairs[[#This Row],[Az*]]=0, pairs[[#This Row],[Back*]]=0), OR(pairs[[#This Row],[Az*]]=1, pairs[[#This Row],[Back*]]=1)), 1, 0)</f>
        <v>1</v>
      </c>
      <c r="J100" s="232">
        <f>IF(OR(pairs[[#This Row],[Az*]]=0.5,pairs[[#This Row],[Back*]]=0.5),1,0)</f>
        <v>0</v>
      </c>
      <c r="K100" s="232"/>
      <c r="L100" s="232"/>
    </row>
    <row r="101" spans="1:12">
      <c r="A101" s="231" t="s">
        <v>129</v>
      </c>
      <c r="B101" s="231" t="s">
        <v>161</v>
      </c>
      <c r="C101" s="232"/>
      <c r="D101" s="232">
        <v>136.59</v>
      </c>
      <c r="E101" s="233">
        <v>7.542478</v>
      </c>
      <c r="F101" s="234">
        <f>pairs[[#This Row],[ Dist]]*5280</f>
        <v>39824.283840000004</v>
      </c>
      <c r="G101" s="232">
        <f>ROUND(pairs[[#This Row],[ Az]]-ROUNDDOWN(pairs[[#This Row],[ Az]],0),1)</f>
        <v>0</v>
      </c>
      <c r="H101" s="232">
        <f>ROUND(pairs[[#This Row],[ Back]]-ROUNDDOWN(pairs[[#This Row],[ Back]],0),1)</f>
        <v>0.6</v>
      </c>
      <c r="I101" s="232">
        <f>IF( OR( OR(pairs[[#This Row],[Az*]]=0, pairs[[#This Row],[Back*]]=0), OR(pairs[[#This Row],[Az*]]=1, pairs[[#This Row],[Back*]]=1)), 1, 0)</f>
        <v>1</v>
      </c>
      <c r="J101" s="232">
        <f>IF(OR(pairs[[#This Row],[Az*]]=0.5,pairs[[#This Row],[Back*]]=0.5),1,0)</f>
        <v>0</v>
      </c>
      <c r="K101" s="232"/>
      <c r="L101" s="232"/>
    </row>
    <row r="102" spans="1:12">
      <c r="A102" s="231" t="s">
        <v>129</v>
      </c>
      <c r="B102" s="231" t="s">
        <v>162</v>
      </c>
      <c r="C102" s="232"/>
      <c r="D102" s="232">
        <v>170.58</v>
      </c>
      <c r="E102" s="233">
        <v>9.2527919999999995</v>
      </c>
      <c r="F102" s="234">
        <f>pairs[[#This Row],[ Dist]]*5280</f>
        <v>48854.741759999997</v>
      </c>
      <c r="G102" s="232">
        <f>ROUND(pairs[[#This Row],[ Az]]-ROUNDDOWN(pairs[[#This Row],[ Az]],0),1)</f>
        <v>0</v>
      </c>
      <c r="H102" s="232">
        <f>ROUND(pairs[[#This Row],[ Back]]-ROUNDDOWN(pairs[[#This Row],[ Back]],0),1)</f>
        <v>0.6</v>
      </c>
      <c r="I102" s="232">
        <f>IF( OR( OR(pairs[[#This Row],[Az*]]=0, pairs[[#This Row],[Back*]]=0), OR(pairs[[#This Row],[Az*]]=1, pairs[[#This Row],[Back*]]=1)), 1, 0)</f>
        <v>1</v>
      </c>
      <c r="J102" s="232">
        <f>IF(OR(pairs[[#This Row],[Az*]]=0.5,pairs[[#This Row],[Back*]]=0.5),1,0)</f>
        <v>0</v>
      </c>
      <c r="K102" s="232"/>
      <c r="L102" s="232"/>
    </row>
    <row r="103" spans="1:12">
      <c r="A103" s="231" t="s">
        <v>129</v>
      </c>
      <c r="B103" s="231" t="s">
        <v>149</v>
      </c>
      <c r="C103" s="232"/>
      <c r="D103" s="232">
        <v>11.56</v>
      </c>
      <c r="E103" s="233">
        <v>4.5691360000000003</v>
      </c>
      <c r="F103" s="234">
        <f>pairs[[#This Row],[ Dist]]*5280</f>
        <v>24125.038080000002</v>
      </c>
      <c r="G103" s="232">
        <f>ROUND(pairs[[#This Row],[ Az]]-ROUNDDOWN(pairs[[#This Row],[ Az]],0),1)</f>
        <v>0</v>
      </c>
      <c r="H103" s="232">
        <f>ROUND(pairs[[#This Row],[ Back]]-ROUNDDOWN(pairs[[#This Row],[ Back]],0),1)</f>
        <v>0.6</v>
      </c>
      <c r="I103" s="232">
        <f>IF( OR( OR(pairs[[#This Row],[Az*]]=0, pairs[[#This Row],[Back*]]=0), OR(pairs[[#This Row],[Az*]]=1, pairs[[#This Row],[Back*]]=1)), 1, 0)</f>
        <v>1</v>
      </c>
      <c r="J103" s="232">
        <f>IF(OR(pairs[[#This Row],[Az*]]=0.5,pairs[[#This Row],[Back*]]=0.5),1,0)</f>
        <v>0</v>
      </c>
      <c r="K103" s="232"/>
      <c r="L103" s="232"/>
    </row>
    <row r="104" spans="1:12">
      <c r="A104" s="231" t="s">
        <v>129</v>
      </c>
      <c r="B104" s="231" t="s">
        <v>153</v>
      </c>
      <c r="C104" s="232"/>
      <c r="D104" s="232">
        <v>160.56</v>
      </c>
      <c r="E104" s="233">
        <v>2.751576</v>
      </c>
      <c r="F104" s="234">
        <f>pairs[[#This Row],[ Dist]]*5280</f>
        <v>14528.32128</v>
      </c>
      <c r="G104" s="232">
        <f>ROUND(pairs[[#This Row],[ Az]]-ROUNDDOWN(pairs[[#This Row],[ Az]],0),1)</f>
        <v>0</v>
      </c>
      <c r="H104" s="232">
        <f>ROUND(pairs[[#This Row],[ Back]]-ROUNDDOWN(pairs[[#This Row],[ Back]],0),1)</f>
        <v>0.6</v>
      </c>
      <c r="I104" s="232">
        <f>IF( OR( OR(pairs[[#This Row],[Az*]]=0, pairs[[#This Row],[Back*]]=0), OR(pairs[[#This Row],[Az*]]=1, pairs[[#This Row],[Back*]]=1)), 1, 0)</f>
        <v>1</v>
      </c>
      <c r="J104" s="232">
        <f>IF(OR(pairs[[#This Row],[Az*]]=0.5,pairs[[#This Row],[Back*]]=0.5),1,0)</f>
        <v>0</v>
      </c>
      <c r="K104" s="232"/>
      <c r="L104" s="232"/>
    </row>
    <row r="105" spans="1:12">
      <c r="A105" s="231" t="s">
        <v>129</v>
      </c>
      <c r="B105" s="231" t="s">
        <v>150</v>
      </c>
      <c r="C105" s="232"/>
      <c r="D105" s="232">
        <v>108.17</v>
      </c>
      <c r="E105" s="233">
        <v>8.4213889999999996</v>
      </c>
      <c r="F105" s="234">
        <f>pairs[[#This Row],[ Dist]]*5280</f>
        <v>44464.933919999996</v>
      </c>
      <c r="G105" s="232">
        <f>ROUND(pairs[[#This Row],[ Az]]-ROUNDDOWN(pairs[[#This Row],[ Az]],0),1)</f>
        <v>0</v>
      </c>
      <c r="H105" s="232">
        <f>ROUND(pairs[[#This Row],[ Back]]-ROUNDDOWN(pairs[[#This Row],[ Back]],0),1)</f>
        <v>0.2</v>
      </c>
      <c r="I105" s="232">
        <f>IF( OR( OR(pairs[[#This Row],[Az*]]=0, pairs[[#This Row],[Back*]]=0), OR(pairs[[#This Row],[Az*]]=1, pairs[[#This Row],[Back*]]=1)), 1, 0)</f>
        <v>1</v>
      </c>
      <c r="J105" s="232">
        <f>IF(OR(pairs[[#This Row],[Az*]]=0.5,pairs[[#This Row],[Back*]]=0.5),1,0)</f>
        <v>0</v>
      </c>
      <c r="K105" s="232"/>
      <c r="L105" s="232"/>
    </row>
    <row r="106" spans="1:12">
      <c r="A106" s="231" t="s">
        <v>129</v>
      </c>
      <c r="B106" s="231" t="s">
        <v>154</v>
      </c>
      <c r="C106" s="232"/>
      <c r="D106" s="232">
        <v>160.57</v>
      </c>
      <c r="E106" s="233">
        <v>2.7858969999999998</v>
      </c>
      <c r="F106" s="234">
        <f>pairs[[#This Row],[ Dist]]*5280</f>
        <v>14709.53616</v>
      </c>
      <c r="G106" s="232">
        <f>ROUND(pairs[[#This Row],[ Az]]-ROUNDDOWN(pairs[[#This Row],[ Az]],0),1)</f>
        <v>0</v>
      </c>
      <c r="H106" s="232">
        <f>ROUND(pairs[[#This Row],[ Back]]-ROUNDDOWN(pairs[[#This Row],[ Back]],0),1)</f>
        <v>0.6</v>
      </c>
      <c r="I106" s="232">
        <f>IF( OR( OR(pairs[[#This Row],[Az*]]=0, pairs[[#This Row],[Back*]]=0), OR(pairs[[#This Row],[Az*]]=1, pairs[[#This Row],[Back*]]=1)), 1, 0)</f>
        <v>1</v>
      </c>
      <c r="J106" s="232">
        <f>IF(OR(pairs[[#This Row],[Az*]]=0.5,pairs[[#This Row],[Back*]]=0.5),1,0)</f>
        <v>0</v>
      </c>
      <c r="K106" s="232"/>
      <c r="L106" s="232"/>
    </row>
    <row r="107" spans="1:12">
      <c r="A107" s="231" t="s">
        <v>137</v>
      </c>
      <c r="B107" s="231" t="s">
        <v>156</v>
      </c>
      <c r="C107" s="232"/>
      <c r="D107" s="232">
        <v>354.83</v>
      </c>
      <c r="E107" s="233">
        <v>6.5323440000000002</v>
      </c>
      <c r="F107" s="234">
        <f>pairs[[#This Row],[ Dist]]*5280</f>
        <v>34490.776319999997</v>
      </c>
      <c r="G107" s="232">
        <f>ROUND(pairs[[#This Row],[ Az]]-ROUNDDOWN(pairs[[#This Row],[ Az]],0),1)</f>
        <v>0</v>
      </c>
      <c r="H107" s="232">
        <f>ROUND(pairs[[#This Row],[ Back]]-ROUNDDOWN(pairs[[#This Row],[ Back]],0),1)</f>
        <v>0.8</v>
      </c>
      <c r="I107" s="232">
        <f>IF( OR( OR(pairs[[#This Row],[Az*]]=0, pairs[[#This Row],[Back*]]=0), OR(pairs[[#This Row],[Az*]]=1, pairs[[#This Row],[Back*]]=1)), 1, 0)</f>
        <v>1</v>
      </c>
      <c r="J107" s="232">
        <f>IF(OR(pairs[[#This Row],[Az*]]=0.5,pairs[[#This Row],[Back*]]=0.5),1,0)</f>
        <v>0</v>
      </c>
      <c r="K107" s="232"/>
      <c r="L107" s="232"/>
    </row>
    <row r="108" spans="1:12">
      <c r="A108" s="231" t="s">
        <v>137</v>
      </c>
      <c r="B108" s="231" t="s">
        <v>163</v>
      </c>
      <c r="C108" s="232"/>
      <c r="D108" s="232">
        <v>308.85000000000002</v>
      </c>
      <c r="E108" s="233">
        <v>7.5704419999999999</v>
      </c>
      <c r="F108" s="234">
        <f>pairs[[#This Row],[ Dist]]*5280</f>
        <v>39971.93376</v>
      </c>
      <c r="G108" s="232">
        <f>ROUND(pairs[[#This Row],[ Az]]-ROUNDDOWN(pairs[[#This Row],[ Az]],0),1)</f>
        <v>0</v>
      </c>
      <c r="H108" s="232">
        <f>ROUND(pairs[[#This Row],[ Back]]-ROUNDDOWN(pairs[[#This Row],[ Back]],0),1)</f>
        <v>0.9</v>
      </c>
      <c r="I108" s="232">
        <f>IF( OR( OR(pairs[[#This Row],[Az*]]=0, pairs[[#This Row],[Back*]]=0), OR(pairs[[#This Row],[Az*]]=1, pairs[[#This Row],[Back*]]=1)), 1, 0)</f>
        <v>1</v>
      </c>
      <c r="J108" s="232">
        <f>IF(OR(pairs[[#This Row],[Az*]]=0.5,pairs[[#This Row],[Back*]]=0.5),1,0)</f>
        <v>0</v>
      </c>
      <c r="K108" s="232"/>
      <c r="L108" s="232"/>
    </row>
    <row r="109" spans="1:12">
      <c r="A109" s="231" t="s">
        <v>137</v>
      </c>
      <c r="B109" s="231" t="s">
        <v>143</v>
      </c>
      <c r="C109" s="232"/>
      <c r="D109" s="232">
        <v>340.6</v>
      </c>
      <c r="E109" s="233">
        <v>6.9236230000000001</v>
      </c>
      <c r="F109" s="234">
        <f>pairs[[#This Row],[ Dist]]*5280</f>
        <v>36556.729440000003</v>
      </c>
      <c r="G109" s="232">
        <f>ROUND(pairs[[#This Row],[ Az]]-ROUNDDOWN(pairs[[#This Row],[ Az]],0),1)</f>
        <v>0</v>
      </c>
      <c r="H109" s="232">
        <f>ROUND(pairs[[#This Row],[ Back]]-ROUNDDOWN(pairs[[#This Row],[ Back]],0),1)</f>
        <v>0.6</v>
      </c>
      <c r="I109" s="232">
        <f>IF( OR( OR(pairs[[#This Row],[Az*]]=0, pairs[[#This Row],[Back*]]=0), OR(pairs[[#This Row],[Az*]]=1, pairs[[#This Row],[Back*]]=1)), 1, 0)</f>
        <v>1</v>
      </c>
      <c r="J109" s="232">
        <f>IF(OR(pairs[[#This Row],[Az*]]=0.5,pairs[[#This Row],[Back*]]=0.5),1,0)</f>
        <v>0</v>
      </c>
      <c r="K109" s="232"/>
      <c r="L109" s="232"/>
    </row>
    <row r="110" spans="1:12" ht="14.1">
      <c r="A110" s="206" t="s">
        <v>137</v>
      </c>
      <c r="B110" s="206" t="s">
        <v>151</v>
      </c>
      <c r="C110" s="235"/>
      <c r="D110" s="235">
        <v>310.45999999999998</v>
      </c>
      <c r="E110" s="236">
        <v>10.060337000000001</v>
      </c>
      <c r="F110" s="237">
        <f>pairs[[#This Row],[ Dist]]*5280</f>
        <v>53118.579360000003</v>
      </c>
      <c r="G110" s="235">
        <f>ROUND(pairs[[#This Row],[ Az]]-ROUNDDOWN(pairs[[#This Row],[ Az]],0),1)</f>
        <v>0</v>
      </c>
      <c r="H110" s="235">
        <f>ROUND(pairs[[#This Row],[ Back]]-ROUNDDOWN(pairs[[#This Row],[ Back]],0),1)</f>
        <v>0.5</v>
      </c>
      <c r="I110" s="235">
        <f>IF( OR( OR(pairs[[#This Row],[Az*]]=0, pairs[[#This Row],[Back*]]=0), OR(pairs[[#This Row],[Az*]]=1, pairs[[#This Row],[Back*]]=1)), 1, 0)</f>
        <v>1</v>
      </c>
      <c r="J110" s="235">
        <f>IF(OR(pairs[[#This Row],[Az*]]=0.5,pairs[[#This Row],[Back*]]=0.5),1,0)</f>
        <v>1</v>
      </c>
      <c r="K110" s="232"/>
      <c r="L110" s="232"/>
    </row>
    <row r="111" spans="1:12">
      <c r="A111" s="231" t="s">
        <v>137</v>
      </c>
      <c r="B111" s="231" t="s">
        <v>155</v>
      </c>
      <c r="C111" s="232"/>
      <c r="D111" s="232">
        <v>354.81</v>
      </c>
      <c r="E111" s="233">
        <v>6.5542949999999998</v>
      </c>
      <c r="F111" s="234">
        <f>pairs[[#This Row],[ Dist]]*5280</f>
        <v>34606.677599999995</v>
      </c>
      <c r="G111" s="232">
        <f>ROUND(pairs[[#This Row],[ Az]]-ROUNDDOWN(pairs[[#This Row],[ Az]],0),1)</f>
        <v>0</v>
      </c>
      <c r="H111" s="232">
        <f>ROUND(pairs[[#This Row],[ Back]]-ROUNDDOWN(pairs[[#This Row],[ Back]],0),1)</f>
        <v>0.8</v>
      </c>
      <c r="I111" s="232">
        <f>IF( OR( OR(pairs[[#This Row],[Az*]]=0, pairs[[#This Row],[Back*]]=0), OR(pairs[[#This Row],[Az*]]=1, pairs[[#This Row],[Back*]]=1)), 1, 0)</f>
        <v>1</v>
      </c>
      <c r="J111" s="232">
        <f>IF(OR(pairs[[#This Row],[Az*]]=0.5,pairs[[#This Row],[Back*]]=0.5),1,0)</f>
        <v>0</v>
      </c>
      <c r="K111" s="232"/>
      <c r="L111" s="232"/>
    </row>
    <row r="112" spans="1:12" ht="14.1">
      <c r="A112" s="23" t="s">
        <v>137</v>
      </c>
      <c r="B112" s="23" t="s">
        <v>158</v>
      </c>
      <c r="C112" s="229"/>
      <c r="D112" s="229">
        <v>341.03</v>
      </c>
      <c r="E112" s="25">
        <v>7.1767370000000001</v>
      </c>
      <c r="F112" s="230">
        <f>pairs[[#This Row],[ Dist]]*5280</f>
        <v>37893.17136</v>
      </c>
      <c r="G112" s="232">
        <f>ROUND(pairs[[#This Row],[ Az]]-ROUNDDOWN(pairs[[#This Row],[ Az]],0),1)</f>
        <v>0</v>
      </c>
      <c r="H112" s="232">
        <f>ROUND(pairs[[#This Row],[ Back]]-ROUNDDOWN(pairs[[#This Row],[ Back]],0),1)</f>
        <v>0</v>
      </c>
      <c r="I112" s="232">
        <f>IF( OR( OR(pairs[[#This Row],[Az*]]=0, pairs[[#This Row],[Back*]]=0), OR(pairs[[#This Row],[Az*]]=1, pairs[[#This Row],[Back*]]=1)), 1, 0)</f>
        <v>1</v>
      </c>
      <c r="J112" s="232">
        <f>IF(OR(pairs[[#This Row],[Az*]]=0.5,pairs[[#This Row],[Back*]]=0.5),1,0)</f>
        <v>0</v>
      </c>
      <c r="K112" s="232"/>
      <c r="L112" s="232"/>
    </row>
    <row r="113" spans="1:12">
      <c r="A113" s="231" t="s">
        <v>137</v>
      </c>
      <c r="B113" s="231" t="s">
        <v>159</v>
      </c>
      <c r="C113" s="232"/>
      <c r="D113" s="232">
        <v>359.57</v>
      </c>
      <c r="E113" s="233">
        <v>6.5511499999999998</v>
      </c>
      <c r="F113" s="234">
        <f>pairs[[#This Row],[ Dist]]*5280</f>
        <v>34590.072</v>
      </c>
      <c r="G113" s="232">
        <f>ROUND(pairs[[#This Row],[ Az]]-ROUNDDOWN(pairs[[#This Row],[ Az]],0),1)</f>
        <v>0</v>
      </c>
      <c r="H113" s="232">
        <f>ROUND(pairs[[#This Row],[ Back]]-ROUNDDOWN(pairs[[#This Row],[ Back]],0),1)</f>
        <v>0.6</v>
      </c>
      <c r="I113" s="232">
        <f>IF( OR( OR(pairs[[#This Row],[Az*]]=0, pairs[[#This Row],[Back*]]=0), OR(pairs[[#This Row],[Az*]]=1, pairs[[#This Row],[Back*]]=1)), 1, 0)</f>
        <v>1</v>
      </c>
      <c r="J113" s="232">
        <f>IF(OR(pairs[[#This Row],[Az*]]=0.5,pairs[[#This Row],[Back*]]=0.5),1,0)</f>
        <v>0</v>
      </c>
      <c r="K113" s="232"/>
      <c r="L113" s="232"/>
    </row>
    <row r="114" spans="1:12">
      <c r="A114" s="231" t="s">
        <v>137</v>
      </c>
      <c r="B114" s="231" t="s">
        <v>160</v>
      </c>
      <c r="C114" s="232"/>
      <c r="D114" s="232">
        <v>351.74</v>
      </c>
      <c r="E114" s="233">
        <v>6.2855829999999999</v>
      </c>
      <c r="F114" s="234">
        <f>pairs[[#This Row],[ Dist]]*5280</f>
        <v>33187.878239999998</v>
      </c>
      <c r="G114" s="232">
        <f>ROUND(pairs[[#This Row],[ Az]]-ROUNDDOWN(pairs[[#This Row],[ Az]],0),1)</f>
        <v>0</v>
      </c>
      <c r="H114" s="232">
        <f>ROUND(pairs[[#This Row],[ Back]]-ROUNDDOWN(pairs[[#This Row],[ Back]],0),1)</f>
        <v>0.7</v>
      </c>
      <c r="I114" s="232">
        <f>IF( OR( OR(pairs[[#This Row],[Az*]]=0, pairs[[#This Row],[Back*]]=0), OR(pairs[[#This Row],[Az*]]=1, pairs[[#This Row],[Back*]]=1)), 1, 0)</f>
        <v>1</v>
      </c>
      <c r="J114" s="232">
        <f>IF(OR(pairs[[#This Row],[Az*]]=0.5,pairs[[#This Row],[Back*]]=0.5),1,0)</f>
        <v>0</v>
      </c>
      <c r="K114" s="232"/>
      <c r="L114" s="232"/>
    </row>
    <row r="115" spans="1:12">
      <c r="A115" s="231" t="s">
        <v>137</v>
      </c>
      <c r="B115" s="231" t="s">
        <v>146</v>
      </c>
      <c r="C115" s="232"/>
      <c r="D115" s="232">
        <v>359.87</v>
      </c>
      <c r="E115" s="233">
        <v>6.365075</v>
      </c>
      <c r="F115" s="234">
        <f>pairs[[#This Row],[ Dist]]*5280</f>
        <v>33607.595999999998</v>
      </c>
      <c r="G115" s="232">
        <f>ROUND(pairs[[#This Row],[ Az]]-ROUNDDOWN(pairs[[#This Row],[ Az]],0),1)</f>
        <v>0</v>
      </c>
      <c r="H115" s="232">
        <f>ROUND(pairs[[#This Row],[ Back]]-ROUNDDOWN(pairs[[#This Row],[ Back]],0),1)</f>
        <v>0.9</v>
      </c>
      <c r="I115" s="232">
        <f>IF( OR( OR(pairs[[#This Row],[Az*]]=0, pairs[[#This Row],[Back*]]=0), OR(pairs[[#This Row],[Az*]]=1, pairs[[#This Row],[Back*]]=1)), 1, 0)</f>
        <v>1</v>
      </c>
      <c r="J115" s="232">
        <f>IF(OR(pairs[[#This Row],[Az*]]=0.5,pairs[[#This Row],[Back*]]=0.5),1,0)</f>
        <v>0</v>
      </c>
      <c r="K115" s="232"/>
      <c r="L115" s="232"/>
    </row>
    <row r="116" spans="1:12">
      <c r="A116" s="231" t="s">
        <v>137</v>
      </c>
      <c r="B116" s="231" t="s">
        <v>145</v>
      </c>
      <c r="C116" s="232"/>
      <c r="D116" s="232">
        <v>353.11</v>
      </c>
      <c r="E116" s="233">
        <v>6.7826630000000003</v>
      </c>
      <c r="F116" s="234">
        <f>pairs[[#This Row],[ Dist]]*5280</f>
        <v>35812.460640000005</v>
      </c>
      <c r="G116" s="232">
        <f>ROUND(pairs[[#This Row],[ Az]]-ROUNDDOWN(pairs[[#This Row],[ Az]],0),1)</f>
        <v>0</v>
      </c>
      <c r="H116" s="232">
        <f>ROUND(pairs[[#This Row],[ Back]]-ROUNDDOWN(pairs[[#This Row],[ Back]],0),1)</f>
        <v>0.1</v>
      </c>
      <c r="I116" s="232">
        <f>IF( OR( OR(pairs[[#This Row],[Az*]]=0, pairs[[#This Row],[Back*]]=0), OR(pairs[[#This Row],[Az*]]=1, pairs[[#This Row],[Back*]]=1)), 1, 0)</f>
        <v>1</v>
      </c>
      <c r="J116" s="232">
        <f>IF(OR(pairs[[#This Row],[Az*]]=0.5,pairs[[#This Row],[Back*]]=0.5),1,0)</f>
        <v>0</v>
      </c>
      <c r="K116" s="232"/>
      <c r="L116" s="232"/>
    </row>
    <row r="117" spans="1:12">
      <c r="A117" s="231" t="s">
        <v>137</v>
      </c>
      <c r="B117" s="231" t="s">
        <v>164</v>
      </c>
      <c r="C117" s="232"/>
      <c r="D117" s="232">
        <v>359.87</v>
      </c>
      <c r="E117" s="233">
        <v>6.5298720000000001</v>
      </c>
      <c r="F117" s="234">
        <f>pairs[[#This Row],[ Dist]]*5280</f>
        <v>34477.724159999998</v>
      </c>
      <c r="G117" s="232">
        <f>ROUND(pairs[[#This Row],[ Az]]-ROUNDDOWN(pairs[[#This Row],[ Az]],0),1)</f>
        <v>0</v>
      </c>
      <c r="H117" s="232">
        <f>ROUND(pairs[[#This Row],[ Back]]-ROUNDDOWN(pairs[[#This Row],[ Back]],0),1)</f>
        <v>0.9</v>
      </c>
      <c r="I117" s="232">
        <f>IF( OR( OR(pairs[[#This Row],[Az*]]=0, pairs[[#This Row],[Back*]]=0), OR(pairs[[#This Row],[Az*]]=1, pairs[[#This Row],[Back*]]=1)), 1, 0)</f>
        <v>1</v>
      </c>
      <c r="J117" s="232">
        <f>IF(OR(pairs[[#This Row],[Az*]]=0.5,pairs[[#This Row],[Back*]]=0.5),1,0)</f>
        <v>0</v>
      </c>
      <c r="K117" s="232"/>
      <c r="L117" s="232"/>
    </row>
    <row r="118" spans="1:12" ht="14.1">
      <c r="A118" s="206" t="s">
        <v>137</v>
      </c>
      <c r="B118" s="206" t="s">
        <v>144</v>
      </c>
      <c r="C118" s="235"/>
      <c r="D118" s="235">
        <v>352.55</v>
      </c>
      <c r="E118" s="236">
        <v>6.8161310000000004</v>
      </c>
      <c r="F118" s="237">
        <f>pairs[[#This Row],[ Dist]]*5280</f>
        <v>35989.171679999999</v>
      </c>
      <c r="G118" s="235">
        <f>ROUND(pairs[[#This Row],[ Az]]-ROUNDDOWN(pairs[[#This Row],[ Az]],0),1)</f>
        <v>0</v>
      </c>
      <c r="H118" s="235">
        <f>ROUND(pairs[[#This Row],[ Back]]-ROUNDDOWN(pairs[[#This Row],[ Back]],0),1)</f>
        <v>0.6</v>
      </c>
      <c r="I118" s="235">
        <f>IF( OR( OR(pairs[[#This Row],[Az*]]=0, pairs[[#This Row],[Back*]]=0), OR(pairs[[#This Row],[Az*]]=1, pairs[[#This Row],[Back*]]=1)), 1, 0)</f>
        <v>1</v>
      </c>
      <c r="J118" s="235">
        <f>IF(OR(pairs[[#This Row],[Az*]]=0.5,pairs[[#This Row],[Back*]]=0.5),1,0)</f>
        <v>0</v>
      </c>
      <c r="K118" s="232"/>
      <c r="L118" s="232"/>
    </row>
    <row r="119" spans="1:12">
      <c r="A119" s="231" t="s">
        <v>137</v>
      </c>
      <c r="B119" s="231" t="s">
        <v>148</v>
      </c>
      <c r="C119" s="232"/>
      <c r="D119" s="232">
        <v>223.87</v>
      </c>
      <c r="E119" s="233">
        <v>0.83173699999999995</v>
      </c>
      <c r="F119" s="234">
        <f>pairs[[#This Row],[ Dist]]*5280</f>
        <v>4391.5713599999999</v>
      </c>
      <c r="G119" s="232">
        <f>ROUND(pairs[[#This Row],[ Az]]-ROUNDDOWN(pairs[[#This Row],[ Az]],0),1)</f>
        <v>0</v>
      </c>
      <c r="H119" s="232">
        <f>ROUND(pairs[[#This Row],[ Back]]-ROUNDDOWN(pairs[[#This Row],[ Back]],0),1)</f>
        <v>0.9</v>
      </c>
      <c r="I119" s="232">
        <f>IF( OR( OR(pairs[[#This Row],[Az*]]=0, pairs[[#This Row],[Back*]]=0), OR(pairs[[#This Row],[Az*]]=1, pairs[[#This Row],[Back*]]=1)), 1, 0)</f>
        <v>1</v>
      </c>
      <c r="J119" s="232">
        <f>IF(OR(pairs[[#This Row],[Az*]]=0.5,pairs[[#This Row],[Back*]]=0.5),1,0)</f>
        <v>0</v>
      </c>
      <c r="K119" s="232"/>
      <c r="L119" s="232"/>
    </row>
    <row r="120" spans="1:12">
      <c r="A120" s="231" t="s">
        <v>137</v>
      </c>
      <c r="B120" s="231" t="s">
        <v>152</v>
      </c>
      <c r="C120" s="232"/>
      <c r="D120" s="232">
        <v>354.91</v>
      </c>
      <c r="E120" s="233">
        <v>6.4971310000000004</v>
      </c>
      <c r="F120" s="234">
        <f>pairs[[#This Row],[ Dist]]*5280</f>
        <v>34304.85168</v>
      </c>
      <c r="G120" s="232">
        <f>ROUND(pairs[[#This Row],[ Az]]-ROUNDDOWN(pairs[[#This Row],[ Az]],0),1)</f>
        <v>0</v>
      </c>
      <c r="H120" s="232">
        <f>ROUND(pairs[[#This Row],[ Back]]-ROUNDDOWN(pairs[[#This Row],[ Back]],0),1)</f>
        <v>0.9</v>
      </c>
      <c r="I120" s="232">
        <f>IF( OR( OR(pairs[[#This Row],[Az*]]=0, pairs[[#This Row],[Back*]]=0), OR(pairs[[#This Row],[Az*]]=1, pairs[[#This Row],[Back*]]=1)), 1, 0)</f>
        <v>1</v>
      </c>
      <c r="J120" s="232">
        <f>IF(OR(pairs[[#This Row],[Az*]]=0.5,pairs[[#This Row],[Back*]]=0.5),1,0)</f>
        <v>0</v>
      </c>
      <c r="K120" s="232"/>
      <c r="L120" s="232"/>
    </row>
    <row r="121" spans="1:12">
      <c r="A121" s="231" t="s">
        <v>137</v>
      </c>
      <c r="B121" s="231" t="s">
        <v>147</v>
      </c>
      <c r="C121" s="232"/>
      <c r="D121" s="232">
        <v>1.63</v>
      </c>
      <c r="E121" s="233">
        <v>8.0340539999999994</v>
      </c>
      <c r="F121" s="234">
        <f>pairs[[#This Row],[ Dist]]*5280</f>
        <v>42419.805119999997</v>
      </c>
      <c r="G121" s="232">
        <f>ROUND(pairs[[#This Row],[ Az]]-ROUNDDOWN(pairs[[#This Row],[ Az]],0),1)</f>
        <v>0</v>
      </c>
      <c r="H121" s="232">
        <f>ROUND(pairs[[#This Row],[ Back]]-ROUNDDOWN(pairs[[#This Row],[ Back]],0),1)</f>
        <v>0.6</v>
      </c>
      <c r="I121" s="232">
        <f>IF( OR( OR(pairs[[#This Row],[Az*]]=0, pairs[[#This Row],[Back*]]=0), OR(pairs[[#This Row],[Az*]]=1, pairs[[#This Row],[Back*]]=1)), 1, 0)</f>
        <v>1</v>
      </c>
      <c r="J121" s="232">
        <f>IF(OR(pairs[[#This Row],[Az*]]=0.5,pairs[[#This Row],[Back*]]=0.5),1,0)</f>
        <v>0</v>
      </c>
      <c r="K121" s="232"/>
      <c r="L121" s="232"/>
    </row>
    <row r="122" spans="1:12">
      <c r="A122" s="231" t="s">
        <v>137</v>
      </c>
      <c r="B122" s="231" t="s">
        <v>161</v>
      </c>
      <c r="C122" s="232"/>
      <c r="D122" s="232">
        <v>45.11</v>
      </c>
      <c r="E122" s="233">
        <v>5.1685169999999996</v>
      </c>
      <c r="F122" s="234">
        <f>pairs[[#This Row],[ Dist]]*5280</f>
        <v>27289.769759999999</v>
      </c>
      <c r="G122" s="232">
        <f>ROUND(pairs[[#This Row],[ Az]]-ROUNDDOWN(pairs[[#This Row],[ Az]],0),1)</f>
        <v>0</v>
      </c>
      <c r="H122" s="232">
        <f>ROUND(pairs[[#This Row],[ Back]]-ROUNDDOWN(pairs[[#This Row],[ Back]],0),1)</f>
        <v>0.1</v>
      </c>
      <c r="I122" s="232">
        <f>IF( OR( OR(pairs[[#This Row],[Az*]]=0, pairs[[#This Row],[Back*]]=0), OR(pairs[[#This Row],[Az*]]=1, pairs[[#This Row],[Back*]]=1)), 1, 0)</f>
        <v>1</v>
      </c>
      <c r="J122" s="232">
        <f>IF(OR(pairs[[#This Row],[Az*]]=0.5,pairs[[#This Row],[Back*]]=0.5),1,0)</f>
        <v>0</v>
      </c>
      <c r="K122" s="232"/>
      <c r="L122" s="232"/>
    </row>
    <row r="123" spans="1:12">
      <c r="A123" s="231" t="s">
        <v>137</v>
      </c>
      <c r="B123" s="231" t="s">
        <v>157</v>
      </c>
      <c r="C123" s="232"/>
      <c r="D123" s="232">
        <v>350.59</v>
      </c>
      <c r="E123" s="233">
        <v>9.2527919999999995</v>
      </c>
      <c r="F123" s="234">
        <f>pairs[[#This Row],[ Dist]]*5280</f>
        <v>48854.741759999997</v>
      </c>
      <c r="G123" s="232">
        <f>ROUND(pairs[[#This Row],[ Az]]-ROUNDDOWN(pairs[[#This Row],[ Az]],0),1)</f>
        <v>0</v>
      </c>
      <c r="H123" s="232">
        <f>ROUND(pairs[[#This Row],[ Back]]-ROUNDDOWN(pairs[[#This Row],[ Back]],0),1)</f>
        <v>0.6</v>
      </c>
      <c r="I123" s="232">
        <f>IF( OR( OR(pairs[[#This Row],[Az*]]=0, pairs[[#This Row],[Back*]]=0), OR(pairs[[#This Row],[Az*]]=1, pairs[[#This Row],[Back*]]=1)), 1, 0)</f>
        <v>1</v>
      </c>
      <c r="J123" s="232">
        <f>IF(OR(pairs[[#This Row],[Az*]]=0.5,pairs[[#This Row],[Back*]]=0.5),1,0)</f>
        <v>0</v>
      </c>
      <c r="K123" s="232"/>
      <c r="L123" s="232"/>
    </row>
    <row r="124" spans="1:12" ht="14.1">
      <c r="A124" s="206" t="s">
        <v>137</v>
      </c>
      <c r="B124" s="206" t="s">
        <v>149</v>
      </c>
      <c r="C124" s="235"/>
      <c r="D124" s="235">
        <v>357.48</v>
      </c>
      <c r="E124" s="236">
        <v>13.617648000000001</v>
      </c>
      <c r="F124" s="237">
        <f>pairs[[#This Row],[ Dist]]*5280</f>
        <v>71901.18144</v>
      </c>
      <c r="G124" s="235">
        <f>ROUND(pairs[[#This Row],[ Az]]-ROUNDDOWN(pairs[[#This Row],[ Az]],0),1)</f>
        <v>0</v>
      </c>
      <c r="H124" s="235">
        <f>ROUND(pairs[[#This Row],[ Back]]-ROUNDDOWN(pairs[[#This Row],[ Back]],0),1)</f>
        <v>0.5</v>
      </c>
      <c r="I124" s="235">
        <f>IF( OR( OR(pairs[[#This Row],[Az*]]=0, pairs[[#This Row],[Back*]]=0), OR(pairs[[#This Row],[Az*]]=1, pairs[[#This Row],[Back*]]=1)), 1, 0)</f>
        <v>1</v>
      </c>
      <c r="J124" s="235">
        <f>IF(OR(pairs[[#This Row],[Az*]]=0.5,pairs[[#This Row],[Back*]]=0.5),1,0)</f>
        <v>1</v>
      </c>
      <c r="K124" s="232"/>
      <c r="L124" s="232"/>
    </row>
    <row r="125" spans="1:12">
      <c r="A125" s="231" t="s">
        <v>137</v>
      </c>
      <c r="B125" s="231" t="s">
        <v>153</v>
      </c>
      <c r="C125" s="232"/>
      <c r="D125" s="232">
        <v>354.77</v>
      </c>
      <c r="E125" s="233">
        <v>6.5607499999999996</v>
      </c>
      <c r="F125" s="234">
        <f>pairs[[#This Row],[ Dist]]*5280</f>
        <v>34640.759999999995</v>
      </c>
      <c r="G125" s="232">
        <f>ROUND(pairs[[#This Row],[ Az]]-ROUNDDOWN(pairs[[#This Row],[ Az]],0),1)</f>
        <v>0</v>
      </c>
      <c r="H125" s="232">
        <f>ROUND(pairs[[#This Row],[ Back]]-ROUNDDOWN(pairs[[#This Row],[ Back]],0),1)</f>
        <v>0.8</v>
      </c>
      <c r="I125" s="232">
        <f>IF( OR( OR(pairs[[#This Row],[Az*]]=0, pairs[[#This Row],[Back*]]=0), OR(pairs[[#This Row],[Az*]]=1, pairs[[#This Row],[Back*]]=1)), 1, 0)</f>
        <v>1</v>
      </c>
      <c r="J125" s="232">
        <f>IF(OR(pairs[[#This Row],[Az*]]=0.5,pairs[[#This Row],[Back*]]=0.5),1,0)</f>
        <v>0</v>
      </c>
      <c r="K125" s="232"/>
      <c r="L125" s="232"/>
    </row>
    <row r="126" spans="1:12" ht="14.1">
      <c r="A126" s="23" t="s">
        <v>137</v>
      </c>
      <c r="B126" s="23" t="s">
        <v>150</v>
      </c>
      <c r="C126" s="229"/>
      <c r="D126" s="229">
        <v>44.89</v>
      </c>
      <c r="E126" s="25">
        <v>9.1743919999999992</v>
      </c>
      <c r="F126" s="230">
        <f>pairs[[#This Row],[ Dist]]*5280</f>
        <v>48440.789759999992</v>
      </c>
      <c r="G126" s="232">
        <f>ROUND(pairs[[#This Row],[ Az]]-ROUNDDOWN(pairs[[#This Row],[ Az]],0),1)</f>
        <v>0</v>
      </c>
      <c r="H126" s="232">
        <f>ROUND(pairs[[#This Row],[ Back]]-ROUNDDOWN(pairs[[#This Row],[ Back]],0),1)</f>
        <v>0.9</v>
      </c>
      <c r="I126" s="232">
        <f>IF( OR( OR(pairs[[#This Row],[Az*]]=0, pairs[[#This Row],[Back*]]=0), OR(pairs[[#This Row],[Az*]]=1, pairs[[#This Row],[Back*]]=1)), 1, 0)</f>
        <v>1</v>
      </c>
      <c r="J126" s="232">
        <f>IF(OR(pairs[[#This Row],[Az*]]=0.5,pairs[[#This Row],[Back*]]=0.5),1,0)</f>
        <v>0</v>
      </c>
      <c r="K126" s="232"/>
      <c r="L126" s="232"/>
    </row>
    <row r="127" spans="1:12">
      <c r="A127" s="231" t="s">
        <v>137</v>
      </c>
      <c r="B127" s="231" t="s">
        <v>154</v>
      </c>
      <c r="C127" s="232"/>
      <c r="D127" s="232">
        <v>354.84</v>
      </c>
      <c r="E127" s="233">
        <v>6.5273139999999996</v>
      </c>
      <c r="F127" s="234">
        <f>pairs[[#This Row],[ Dist]]*5280</f>
        <v>34464.217919999996</v>
      </c>
      <c r="G127" s="232">
        <f>ROUND(pairs[[#This Row],[ Az]]-ROUNDDOWN(pairs[[#This Row],[ Az]],0),1)</f>
        <v>0</v>
      </c>
      <c r="H127" s="232">
        <f>ROUND(pairs[[#This Row],[ Back]]-ROUNDDOWN(pairs[[#This Row],[ Back]],0),1)</f>
        <v>0.8</v>
      </c>
      <c r="I127" s="232">
        <f>IF( OR( OR(pairs[[#This Row],[Az*]]=0, pairs[[#This Row],[Back*]]=0), OR(pairs[[#This Row],[Az*]]=1, pairs[[#This Row],[Back*]]=1)), 1, 0)</f>
        <v>1</v>
      </c>
      <c r="J127" s="232">
        <f>IF(OR(pairs[[#This Row],[Az*]]=0.5,pairs[[#This Row],[Back*]]=0.5),1,0)</f>
        <v>0</v>
      </c>
      <c r="K127" s="232"/>
      <c r="L127" s="232"/>
    </row>
    <row r="128" spans="1:12">
      <c r="A128" s="231" t="s">
        <v>10</v>
      </c>
      <c r="B128" s="231" t="s">
        <v>156</v>
      </c>
      <c r="C128" s="232"/>
      <c r="D128" s="232">
        <v>303.93</v>
      </c>
      <c r="E128" s="233">
        <v>5.1262930000000004</v>
      </c>
      <c r="F128" s="234">
        <f>pairs[[#This Row],[ Dist]]*5280</f>
        <v>27066.827040000004</v>
      </c>
      <c r="G128" s="232">
        <f>ROUND(pairs[[#This Row],[ Az]]-ROUNDDOWN(pairs[[#This Row],[ Az]],0),1)</f>
        <v>0</v>
      </c>
      <c r="H128" s="232">
        <f>ROUND(pairs[[#This Row],[ Back]]-ROUNDDOWN(pairs[[#This Row],[ Back]],0),1)</f>
        <v>0.9</v>
      </c>
      <c r="I128" s="232">
        <f>IF( OR( OR(pairs[[#This Row],[Az*]]=0, pairs[[#This Row],[Back*]]=0), OR(pairs[[#This Row],[Az*]]=1, pairs[[#This Row],[Back*]]=1)), 1, 0)</f>
        <v>1</v>
      </c>
      <c r="J128" s="232">
        <f>IF(OR(pairs[[#This Row],[Az*]]=0.5,pairs[[#This Row],[Back*]]=0.5),1,0)</f>
        <v>0</v>
      </c>
      <c r="K128" s="232"/>
      <c r="L128" s="232"/>
    </row>
    <row r="129" spans="1:12" ht="14.1">
      <c r="A129" s="206" t="s">
        <v>10</v>
      </c>
      <c r="B129" s="206" t="s">
        <v>163</v>
      </c>
      <c r="C129" s="235"/>
      <c r="D129" s="235">
        <v>276.61</v>
      </c>
      <c r="E129" s="236">
        <v>9.6285209999999992</v>
      </c>
      <c r="F129" s="237">
        <f>pairs[[#This Row],[ Dist]]*5280</f>
        <v>50838.590879999996</v>
      </c>
      <c r="G129" s="235">
        <f>ROUND(pairs[[#This Row],[ Az]]-ROUNDDOWN(pairs[[#This Row],[ Az]],0),1)</f>
        <v>0</v>
      </c>
      <c r="H129" s="235">
        <f>ROUND(pairs[[#This Row],[ Back]]-ROUNDDOWN(pairs[[#This Row],[ Back]],0),1)</f>
        <v>0.6</v>
      </c>
      <c r="I129" s="235">
        <f>IF( OR( OR(pairs[[#This Row],[Az*]]=0, pairs[[#This Row],[Back*]]=0), OR(pairs[[#This Row],[Az*]]=1, pairs[[#This Row],[Back*]]=1)), 1, 0)</f>
        <v>1</v>
      </c>
      <c r="J129" s="235">
        <f>IF(OR(pairs[[#This Row],[Az*]]=0.5,pairs[[#This Row],[Back*]]=0.5),1,0)</f>
        <v>0</v>
      </c>
      <c r="K129" s="232"/>
      <c r="L129" s="232"/>
    </row>
    <row r="130" spans="1:12">
      <c r="A130" s="231" t="s">
        <v>10</v>
      </c>
      <c r="B130" s="231" t="s">
        <v>143</v>
      </c>
      <c r="C130" s="232"/>
      <c r="D130" s="232">
        <v>295.82</v>
      </c>
      <c r="E130" s="233">
        <v>6.6281150000000002</v>
      </c>
      <c r="F130" s="234">
        <f>pairs[[#This Row],[ Dist]]*5280</f>
        <v>34996.447200000002</v>
      </c>
      <c r="G130" s="232">
        <f>ROUND(pairs[[#This Row],[ Az]]-ROUNDDOWN(pairs[[#This Row],[ Az]],0),1)</f>
        <v>0</v>
      </c>
      <c r="H130" s="232">
        <f>ROUND(pairs[[#This Row],[ Back]]-ROUNDDOWN(pairs[[#This Row],[ Back]],0),1)</f>
        <v>0.8</v>
      </c>
      <c r="I130" s="232">
        <f>IF( OR( OR(pairs[[#This Row],[Az*]]=0, pairs[[#This Row],[Back*]]=0), OR(pairs[[#This Row],[Az*]]=1, pairs[[#This Row],[Back*]]=1)), 1, 0)</f>
        <v>1</v>
      </c>
      <c r="J130" s="232">
        <f>IF(OR(pairs[[#This Row],[Az*]]=0.5,pairs[[#This Row],[Back*]]=0.5),1,0)</f>
        <v>0</v>
      </c>
      <c r="K130" s="232"/>
      <c r="L130" s="232"/>
    </row>
    <row r="131" spans="1:12">
      <c r="A131" s="231" t="s">
        <v>10</v>
      </c>
      <c r="B131" s="231" t="s">
        <v>151</v>
      </c>
      <c r="C131" s="232"/>
      <c r="D131" s="232">
        <v>284.31</v>
      </c>
      <c r="E131" s="233">
        <v>11.687374999999999</v>
      </c>
      <c r="F131" s="234">
        <f>pairs[[#This Row],[ Dist]]*5280</f>
        <v>61709.34</v>
      </c>
      <c r="G131" s="232">
        <f>ROUND(pairs[[#This Row],[ Az]]-ROUNDDOWN(pairs[[#This Row],[ Az]],0),1)</f>
        <v>0</v>
      </c>
      <c r="H131" s="232">
        <f>ROUND(pairs[[#This Row],[ Back]]-ROUNDDOWN(pairs[[#This Row],[ Back]],0),1)</f>
        <v>0.3</v>
      </c>
      <c r="I131" s="232">
        <f>IF( OR( OR(pairs[[#This Row],[Az*]]=0, pairs[[#This Row],[Back*]]=0), OR(pairs[[#This Row],[Az*]]=1, pairs[[#This Row],[Back*]]=1)), 1, 0)</f>
        <v>1</v>
      </c>
      <c r="J131" s="232">
        <f>IF(OR(pairs[[#This Row],[Az*]]=0.5,pairs[[#This Row],[Back*]]=0.5),1,0)</f>
        <v>0</v>
      </c>
      <c r="K131" s="232"/>
      <c r="L131" s="232"/>
    </row>
    <row r="132" spans="1:12" ht="14.1">
      <c r="A132" s="23" t="s">
        <v>10</v>
      </c>
      <c r="B132" s="23" t="s">
        <v>155</v>
      </c>
      <c r="C132" s="229"/>
      <c r="D132" s="229">
        <v>304.10000000000002</v>
      </c>
      <c r="E132" s="25">
        <v>5.1419649999999999</v>
      </c>
      <c r="F132" s="230">
        <f>pairs[[#This Row],[ Dist]]*5280</f>
        <v>27149.575199999999</v>
      </c>
      <c r="G132" s="232">
        <f>ROUND(pairs[[#This Row],[ Az]]-ROUNDDOWN(pairs[[#This Row],[ Az]],0),1)</f>
        <v>0</v>
      </c>
      <c r="H132" s="232">
        <f>ROUND(pairs[[#This Row],[ Back]]-ROUNDDOWN(pairs[[#This Row],[ Back]],0),1)</f>
        <v>0.1</v>
      </c>
      <c r="I132" s="242">
        <v>0</v>
      </c>
      <c r="J132" s="232">
        <f>IF(OR(pairs[[#This Row],[Az*]]=0.5,pairs[[#This Row],[Back*]]=0.5),1,0)</f>
        <v>0</v>
      </c>
      <c r="K132" s="232"/>
      <c r="L132" s="232"/>
    </row>
    <row r="133" spans="1:12">
      <c r="A133" s="231" t="s">
        <v>10</v>
      </c>
      <c r="B133" s="231" t="s">
        <v>158</v>
      </c>
      <c r="C133" s="232"/>
      <c r="D133" s="232">
        <v>297.64999999999998</v>
      </c>
      <c r="E133" s="233">
        <v>6.7733730000000003</v>
      </c>
      <c r="F133" s="234">
        <f>pairs[[#This Row],[ Dist]]*5280</f>
        <v>35763.409440000003</v>
      </c>
      <c r="G133" s="232">
        <f>ROUND(pairs[[#This Row],[ Az]]-ROUNDDOWN(pairs[[#This Row],[ Az]],0),1)</f>
        <v>0</v>
      </c>
      <c r="H133" s="232">
        <f>ROUND(pairs[[#This Row],[ Back]]-ROUNDDOWN(pairs[[#This Row],[ Back]],0),1)</f>
        <v>0.6</v>
      </c>
      <c r="I133" s="232">
        <f>IF( OR( OR(pairs[[#This Row],[Az*]]=0, pairs[[#This Row],[Back*]]=0), OR(pairs[[#This Row],[Az*]]=1, pairs[[#This Row],[Back*]]=1)), 1, 0)</f>
        <v>1</v>
      </c>
      <c r="J133" s="232">
        <f>IF(OR(pairs[[#This Row],[Az*]]=0.5,pairs[[#This Row],[Back*]]=0.5),1,0)</f>
        <v>0</v>
      </c>
      <c r="K133" s="232"/>
      <c r="L133" s="232"/>
    </row>
    <row r="134" spans="1:12" ht="14.1">
      <c r="A134" s="23" t="s">
        <v>10</v>
      </c>
      <c r="B134" s="23" t="s">
        <v>159</v>
      </c>
      <c r="C134" s="229"/>
      <c r="D134" s="229">
        <v>308.04000000000002</v>
      </c>
      <c r="E134" s="25">
        <v>4.7155290000000001</v>
      </c>
      <c r="F134" s="230">
        <f>pairs[[#This Row],[ Dist]]*5280</f>
        <v>24897.993119999999</v>
      </c>
      <c r="G134" s="232">
        <f>ROUND(pairs[[#This Row],[ Az]]-ROUNDDOWN(pairs[[#This Row],[ Az]],0),1)</f>
        <v>0</v>
      </c>
      <c r="H134" s="232">
        <f>ROUND(pairs[[#This Row],[ Back]]-ROUNDDOWN(pairs[[#This Row],[ Back]],0),1)</f>
        <v>0</v>
      </c>
      <c r="I134" s="232">
        <f>IF( OR( OR(pairs[[#This Row],[Az*]]=0, pairs[[#This Row],[Back*]]=0), OR(pairs[[#This Row],[Az*]]=1, pairs[[#This Row],[Back*]]=1)), 1, 0)</f>
        <v>1</v>
      </c>
      <c r="J134" s="232">
        <f>IF(OR(pairs[[#This Row],[Az*]]=0.5,pairs[[#This Row],[Back*]]=0.5),1,0)</f>
        <v>0</v>
      </c>
      <c r="K134" s="232"/>
      <c r="L134" s="232"/>
    </row>
    <row r="135" spans="1:12">
      <c r="A135" s="231" t="s">
        <v>10</v>
      </c>
      <c r="B135" s="231" t="s">
        <v>160</v>
      </c>
      <c r="C135" s="232"/>
      <c r="D135" s="232">
        <v>299.42</v>
      </c>
      <c r="E135" s="233">
        <v>5.244256</v>
      </c>
      <c r="F135" s="234">
        <f>pairs[[#This Row],[ Dist]]*5280</f>
        <v>27689.671679999999</v>
      </c>
      <c r="G135" s="232">
        <f>ROUND(pairs[[#This Row],[ Az]]-ROUNDDOWN(pairs[[#This Row],[ Az]],0),1)</f>
        <v>0</v>
      </c>
      <c r="H135" s="232">
        <f>ROUND(pairs[[#This Row],[ Back]]-ROUNDDOWN(pairs[[#This Row],[ Back]],0),1)</f>
        <v>0.4</v>
      </c>
      <c r="I135" s="232">
        <f>IF( OR( OR(pairs[[#This Row],[Az*]]=0, pairs[[#This Row],[Back*]]=0), OR(pairs[[#This Row],[Az*]]=1, pairs[[#This Row],[Back*]]=1)), 1, 0)</f>
        <v>1</v>
      </c>
      <c r="J135" s="232">
        <f>IF(OR(pairs[[#This Row],[Az*]]=0.5,pairs[[#This Row],[Back*]]=0.5),1,0)</f>
        <v>0</v>
      </c>
      <c r="K135" s="232"/>
      <c r="L135" s="232"/>
    </row>
    <row r="136" spans="1:12" ht="14.1">
      <c r="A136" s="206" t="s">
        <v>10</v>
      </c>
      <c r="B136" s="206" t="s">
        <v>146</v>
      </c>
      <c r="C136" s="235"/>
      <c r="D136" s="235">
        <v>306.48</v>
      </c>
      <c r="E136" s="236">
        <v>4.5756589999999999</v>
      </c>
      <c r="F136" s="237">
        <f>pairs[[#This Row],[ Dist]]*5280</f>
        <v>24159.479520000001</v>
      </c>
      <c r="G136" s="235">
        <f>ROUND(pairs[[#This Row],[ Az]]-ROUNDDOWN(pairs[[#This Row],[ Az]],0),1)</f>
        <v>0</v>
      </c>
      <c r="H136" s="235">
        <f>ROUND(pairs[[#This Row],[ Back]]-ROUNDDOWN(pairs[[#This Row],[ Back]],0),1)</f>
        <v>0.5</v>
      </c>
      <c r="I136" s="235">
        <f>IF( OR( OR(pairs[[#This Row],[Az*]]=0, pairs[[#This Row],[Back*]]=0), OR(pairs[[#This Row],[Az*]]=1, pairs[[#This Row],[Back*]]=1)), 1, 0)</f>
        <v>1</v>
      </c>
      <c r="J136" s="235">
        <f>IF(OR(pairs[[#This Row],[Az*]]=0.5,pairs[[#This Row],[Back*]]=0.5),1,0)</f>
        <v>1</v>
      </c>
      <c r="K136" s="232"/>
      <c r="L136" s="232"/>
    </row>
    <row r="137" spans="1:12" ht="14.1">
      <c r="A137" s="206" t="s">
        <v>10</v>
      </c>
      <c r="B137" s="206" t="s">
        <v>145</v>
      </c>
      <c r="C137" s="235"/>
      <c r="D137" s="235">
        <v>304.60000000000002</v>
      </c>
      <c r="E137" s="236">
        <v>5.4408070000000004</v>
      </c>
      <c r="F137" s="237">
        <f>pairs[[#This Row],[ Dist]]*5280</f>
        <v>28727.46096</v>
      </c>
      <c r="G137" s="235">
        <f>ROUND(pairs[[#This Row],[ Az]]-ROUNDDOWN(pairs[[#This Row],[ Az]],0),1)</f>
        <v>0</v>
      </c>
      <c r="H137" s="235">
        <f>ROUND(pairs[[#This Row],[ Back]]-ROUNDDOWN(pairs[[#This Row],[ Back]],0),1)</f>
        <v>0.6</v>
      </c>
      <c r="I137" s="235">
        <f>IF( OR( OR(pairs[[#This Row],[Az*]]=0, pairs[[#This Row],[Back*]]=0), OR(pairs[[#This Row],[Az*]]=1, pairs[[#This Row],[Back*]]=1)), 1, 0)</f>
        <v>1</v>
      </c>
      <c r="J137" s="235">
        <f>IF(OR(pairs[[#This Row],[Az*]]=0.5,pairs[[#This Row],[Back*]]=0.5),1,0)</f>
        <v>0</v>
      </c>
      <c r="K137" s="232"/>
      <c r="L137" s="232"/>
    </row>
    <row r="138" spans="1:12">
      <c r="A138" s="231" t="s">
        <v>10</v>
      </c>
      <c r="B138" s="231" t="s">
        <v>164</v>
      </c>
      <c r="C138" s="232"/>
      <c r="D138" s="232">
        <v>308.10000000000002</v>
      </c>
      <c r="E138" s="233">
        <v>4.6755060000000004</v>
      </c>
      <c r="F138" s="234">
        <f>pairs[[#This Row],[ Dist]]*5280</f>
        <v>24686.671680000003</v>
      </c>
      <c r="G138" s="232">
        <f>ROUND(pairs[[#This Row],[ Az]]-ROUNDDOWN(pairs[[#This Row],[ Az]],0),1)</f>
        <v>0</v>
      </c>
      <c r="H138" s="232">
        <f>ROUND(pairs[[#This Row],[ Back]]-ROUNDDOWN(pairs[[#This Row],[ Back]],0),1)</f>
        <v>0.1</v>
      </c>
      <c r="I138" s="232">
        <f>IF( OR( OR(pairs[[#This Row],[Az*]]=0, pairs[[#This Row],[Back*]]=0), OR(pairs[[#This Row],[Az*]]=1, pairs[[#This Row],[Back*]]=1)), 1, 0)</f>
        <v>1</v>
      </c>
      <c r="J138" s="232">
        <f>IF(OR(pairs[[#This Row],[Az*]]=0.5,pairs[[#This Row],[Back*]]=0.5),1,0)</f>
        <v>0</v>
      </c>
      <c r="K138" s="232"/>
      <c r="L138" s="232"/>
    </row>
    <row r="139" spans="1:12">
      <c r="A139" s="231" t="s">
        <v>10</v>
      </c>
      <c r="B139" s="231" t="s">
        <v>144</v>
      </c>
      <c r="C139" s="232"/>
      <c r="D139" s="232">
        <v>304.39</v>
      </c>
      <c r="E139" s="233">
        <v>5.5132310000000002</v>
      </c>
      <c r="F139" s="234">
        <f>pairs[[#This Row],[ Dist]]*5280</f>
        <v>29109.859680000001</v>
      </c>
      <c r="G139" s="232">
        <f>ROUND(pairs[[#This Row],[ Az]]-ROUNDDOWN(pairs[[#This Row],[ Az]],0),1)</f>
        <v>0</v>
      </c>
      <c r="H139" s="232">
        <f>ROUND(pairs[[#This Row],[ Back]]-ROUNDDOWN(pairs[[#This Row],[ Back]],0),1)</f>
        <v>0.4</v>
      </c>
      <c r="I139" s="232">
        <f>IF( OR( OR(pairs[[#This Row],[Az*]]=0, pairs[[#This Row],[Back*]]=0), OR(pairs[[#This Row],[Az*]]=1, pairs[[#This Row],[Back*]]=1)), 1, 0)</f>
        <v>1</v>
      </c>
      <c r="J139" s="232">
        <f>IF(OR(pairs[[#This Row],[Az*]]=0.5,pairs[[#This Row],[Back*]]=0.5),1,0)</f>
        <v>0</v>
      </c>
      <c r="K139" s="232"/>
      <c r="L139" s="232"/>
    </row>
    <row r="140" spans="1:12" ht="14.1">
      <c r="A140" s="23" t="s">
        <v>10</v>
      </c>
      <c r="B140" s="23" t="s">
        <v>148</v>
      </c>
      <c r="C140" s="229"/>
      <c r="D140" s="229">
        <v>224.98</v>
      </c>
      <c r="E140" s="25">
        <v>6.0000739999999997</v>
      </c>
      <c r="F140" s="230">
        <f>pairs[[#This Row],[ Dist]]*5280</f>
        <v>31680.390719999999</v>
      </c>
      <c r="G140" s="232">
        <f>ROUND(pairs[[#This Row],[ Az]]-ROUNDDOWN(pairs[[#This Row],[ Az]],0),1)</f>
        <v>0</v>
      </c>
      <c r="H140" s="232">
        <f>ROUND(pairs[[#This Row],[ Back]]-ROUNDDOWN(pairs[[#This Row],[ Back]],0),1)</f>
        <v>1</v>
      </c>
      <c r="I140" s="232">
        <f>IF( OR( OR(pairs[[#This Row],[Az*]]=0, pairs[[#This Row],[Back*]]=0), OR(pairs[[#This Row],[Az*]]=1, pairs[[#This Row],[Back*]]=1)), 1, 0)</f>
        <v>1</v>
      </c>
      <c r="J140" s="232">
        <f>IF(OR(pairs[[#This Row],[Az*]]=0.5,pairs[[#This Row],[Back*]]=0.5),1,0)</f>
        <v>0</v>
      </c>
      <c r="K140" s="232"/>
      <c r="L140" s="232"/>
    </row>
    <row r="141" spans="1:12">
      <c r="A141" s="231" t="s">
        <v>10</v>
      </c>
      <c r="B141" s="231" t="s">
        <v>152</v>
      </c>
      <c r="C141" s="232"/>
      <c r="D141" s="232">
        <v>303.68</v>
      </c>
      <c r="E141" s="233">
        <v>5.0971320000000002</v>
      </c>
      <c r="F141" s="234">
        <f>pairs[[#This Row],[ Dist]]*5280</f>
        <v>26912.856960000001</v>
      </c>
      <c r="G141" s="232">
        <f>ROUND(pairs[[#This Row],[ Az]]-ROUNDDOWN(pairs[[#This Row],[ Az]],0),1)</f>
        <v>0</v>
      </c>
      <c r="H141" s="232">
        <f>ROUND(pairs[[#This Row],[ Back]]-ROUNDDOWN(pairs[[#This Row],[ Back]],0),1)</f>
        <v>0.7</v>
      </c>
      <c r="I141" s="232">
        <f>IF( OR( OR(pairs[[#This Row],[Az*]]=0, pairs[[#This Row],[Back*]]=0), OR(pairs[[#This Row],[Az*]]=1, pairs[[#This Row],[Back*]]=1)), 1, 0)</f>
        <v>1</v>
      </c>
      <c r="J141" s="232">
        <f>IF(OR(pairs[[#This Row],[Az*]]=0.5,pairs[[#This Row],[Back*]]=0.5),1,0)</f>
        <v>0</v>
      </c>
      <c r="K141" s="232"/>
      <c r="L141" s="232"/>
    </row>
    <row r="142" spans="1:12">
      <c r="A142" s="231" t="s">
        <v>10</v>
      </c>
      <c r="B142" s="231" t="s">
        <v>147</v>
      </c>
      <c r="C142" s="232"/>
      <c r="D142" s="232">
        <v>321.93</v>
      </c>
      <c r="E142" s="233">
        <v>5.570964</v>
      </c>
      <c r="F142" s="234">
        <f>pairs[[#This Row],[ Dist]]*5280</f>
        <v>29414.689920000001</v>
      </c>
      <c r="G142" s="232">
        <f>ROUND(pairs[[#This Row],[ Az]]-ROUNDDOWN(pairs[[#This Row],[ Az]],0),1)</f>
        <v>0</v>
      </c>
      <c r="H142" s="232">
        <f>ROUND(pairs[[#This Row],[ Back]]-ROUNDDOWN(pairs[[#This Row],[ Back]],0),1)</f>
        <v>0.9</v>
      </c>
      <c r="I142" s="232">
        <f>IF( OR( OR(pairs[[#This Row],[Az*]]=0, pairs[[#This Row],[Back*]]=0), OR(pairs[[#This Row],[Az*]]=1, pairs[[#This Row],[Back*]]=1)), 1, 0)</f>
        <v>1</v>
      </c>
      <c r="J142" s="232">
        <f>IF(OR(pairs[[#This Row],[Az*]]=0.5,pairs[[#This Row],[Back*]]=0.5),1,0)</f>
        <v>0</v>
      </c>
      <c r="K142" s="232"/>
      <c r="L142" s="232"/>
    </row>
    <row r="143" spans="1:12">
      <c r="A143" s="231" t="s">
        <v>10</v>
      </c>
      <c r="B143" s="231" t="s">
        <v>162</v>
      </c>
      <c r="C143" s="232"/>
      <c r="D143" s="232">
        <v>225.15</v>
      </c>
      <c r="E143" s="233">
        <v>5.1685169999999996</v>
      </c>
      <c r="F143" s="234">
        <f>pairs[[#This Row],[ Dist]]*5280</f>
        <v>27289.769759999999</v>
      </c>
      <c r="G143" s="232">
        <f>ROUND(pairs[[#This Row],[ Az]]-ROUNDDOWN(pairs[[#This Row],[ Az]],0),1)</f>
        <v>0</v>
      </c>
      <c r="H143" s="232">
        <f>ROUND(pairs[[#This Row],[ Back]]-ROUNDDOWN(pairs[[#This Row],[ Back]],0),1)</f>
        <v>0.2</v>
      </c>
      <c r="I143" s="232">
        <f>IF( OR( OR(pairs[[#This Row],[Az*]]=0, pairs[[#This Row],[Back*]]=0), OR(pairs[[#This Row],[Az*]]=1, pairs[[#This Row],[Back*]]=1)), 1, 0)</f>
        <v>1</v>
      </c>
      <c r="J143" s="232">
        <f>IF(OR(pairs[[#This Row],[Az*]]=0.5,pairs[[#This Row],[Back*]]=0.5),1,0)</f>
        <v>0</v>
      </c>
      <c r="K143" s="232"/>
      <c r="L143" s="232"/>
    </row>
    <row r="144" spans="1:12">
      <c r="A144" s="231" t="s">
        <v>10</v>
      </c>
      <c r="B144" s="231" t="s">
        <v>157</v>
      </c>
      <c r="C144" s="232"/>
      <c r="D144" s="232">
        <v>316.64999999999998</v>
      </c>
      <c r="E144" s="233">
        <v>7.542478</v>
      </c>
      <c r="F144" s="234">
        <f>pairs[[#This Row],[ Dist]]*5280</f>
        <v>39824.283840000004</v>
      </c>
      <c r="G144" s="232">
        <f>ROUND(pairs[[#This Row],[ Az]]-ROUNDDOWN(pairs[[#This Row],[ Az]],0),1)</f>
        <v>0</v>
      </c>
      <c r="H144" s="232">
        <f>ROUND(pairs[[#This Row],[ Back]]-ROUNDDOWN(pairs[[#This Row],[ Back]],0),1)</f>
        <v>0.6</v>
      </c>
      <c r="I144" s="232">
        <f>IF( OR( OR(pairs[[#This Row],[Az*]]=0, pairs[[#This Row],[Back*]]=0), OR(pairs[[#This Row],[Az*]]=1, pairs[[#This Row],[Back*]]=1)), 1, 0)</f>
        <v>1</v>
      </c>
      <c r="J144" s="232">
        <f>IF(OR(pairs[[#This Row],[Az*]]=0.5,pairs[[#This Row],[Back*]]=0.5),1,0)</f>
        <v>0</v>
      </c>
      <c r="K144" s="232"/>
      <c r="L144" s="232"/>
    </row>
    <row r="145" spans="1:12">
      <c r="A145" s="231" t="s">
        <v>10</v>
      </c>
      <c r="B145" s="231" t="s">
        <v>149</v>
      </c>
      <c r="C145" s="232"/>
      <c r="D145" s="232">
        <v>336.83</v>
      </c>
      <c r="E145" s="233">
        <v>10.833906000000001</v>
      </c>
      <c r="F145" s="234">
        <f>pairs[[#This Row],[ Dist]]*5280</f>
        <v>57203.023680000006</v>
      </c>
      <c r="G145" s="232">
        <f>ROUND(pairs[[#This Row],[ Az]]-ROUNDDOWN(pairs[[#This Row],[ Az]],0),1)</f>
        <v>0</v>
      </c>
      <c r="H145" s="232">
        <f>ROUND(pairs[[#This Row],[ Back]]-ROUNDDOWN(pairs[[#This Row],[ Back]],0),1)</f>
        <v>0.8</v>
      </c>
      <c r="I145" s="232">
        <f>IF( OR( OR(pairs[[#This Row],[Az*]]=0, pairs[[#This Row],[Back*]]=0), OR(pairs[[#This Row],[Az*]]=1, pairs[[#This Row],[Back*]]=1)), 1, 0)</f>
        <v>1</v>
      </c>
      <c r="J145" s="232">
        <f>IF(OR(pairs[[#This Row],[Az*]]=0.5,pairs[[#This Row],[Back*]]=0.5),1,0)</f>
        <v>0</v>
      </c>
      <c r="K145" s="232"/>
      <c r="L145" s="232"/>
    </row>
    <row r="146" spans="1:12">
      <c r="A146" s="231" t="s">
        <v>10</v>
      </c>
      <c r="B146" s="231" t="s">
        <v>153</v>
      </c>
      <c r="C146" s="232"/>
      <c r="D146" s="232">
        <v>304.13</v>
      </c>
      <c r="E146" s="233">
        <v>5.1495119999999996</v>
      </c>
      <c r="F146" s="234">
        <f>pairs[[#This Row],[ Dist]]*5280</f>
        <v>27189.423359999997</v>
      </c>
      <c r="G146" s="232">
        <f>ROUND(pairs[[#This Row],[ Az]]-ROUNDDOWN(pairs[[#This Row],[ Az]],0),1)</f>
        <v>0</v>
      </c>
      <c r="H146" s="232">
        <f>ROUND(pairs[[#This Row],[ Back]]-ROUNDDOWN(pairs[[#This Row],[ Back]],0),1)</f>
        <v>0.1</v>
      </c>
      <c r="I146" s="232">
        <f>IF( OR( OR(pairs[[#This Row],[Az*]]=0, pairs[[#This Row],[Back*]]=0), OR(pairs[[#This Row],[Az*]]=1, pairs[[#This Row],[Back*]]=1)), 1, 0)</f>
        <v>1</v>
      </c>
      <c r="J146" s="232">
        <f>IF(OR(pairs[[#This Row],[Az*]]=0.5,pairs[[#This Row],[Back*]]=0.5),1,0)</f>
        <v>0</v>
      </c>
      <c r="K146" s="232"/>
      <c r="L146" s="232"/>
    </row>
    <row r="147" spans="1:12">
      <c r="A147" s="231" t="s">
        <v>10</v>
      </c>
      <c r="B147" s="231" t="s">
        <v>150</v>
      </c>
      <c r="C147" s="232"/>
      <c r="D147" s="232">
        <v>44.64</v>
      </c>
      <c r="E147" s="233">
        <v>4.0059399999999998</v>
      </c>
      <c r="F147" s="234">
        <f>pairs[[#This Row],[ Dist]]*5280</f>
        <v>21151.3632</v>
      </c>
      <c r="G147" s="232">
        <f>ROUND(pairs[[#This Row],[ Az]]-ROUNDDOWN(pairs[[#This Row],[ Az]],0),1)</f>
        <v>0</v>
      </c>
      <c r="H147" s="232">
        <f>ROUND(pairs[[#This Row],[ Back]]-ROUNDDOWN(pairs[[#This Row],[ Back]],0),1)</f>
        <v>0.6</v>
      </c>
      <c r="I147" s="232">
        <f>IF( OR( OR(pairs[[#This Row],[Az*]]=0, pairs[[#This Row],[Back*]]=0), OR(pairs[[#This Row],[Az*]]=1, pairs[[#This Row],[Back*]]=1)), 1, 0)</f>
        <v>1</v>
      </c>
      <c r="J147" s="232">
        <f>IF(OR(pairs[[#This Row],[Az*]]=0.5,pairs[[#This Row],[Back*]]=0.5),1,0)</f>
        <v>0</v>
      </c>
      <c r="K147" s="232"/>
      <c r="L147" s="232"/>
    </row>
    <row r="148" spans="1:12">
      <c r="A148" s="231" t="s">
        <v>10</v>
      </c>
      <c r="B148" s="231" t="s">
        <v>154</v>
      </c>
      <c r="C148" s="232"/>
      <c r="D148" s="232">
        <v>303.89</v>
      </c>
      <c r="E148" s="233">
        <v>5.122357</v>
      </c>
      <c r="F148" s="234">
        <f>pairs[[#This Row],[ Dist]]*5280</f>
        <v>27046.044959999999</v>
      </c>
      <c r="G148" s="232">
        <f>ROUND(pairs[[#This Row],[ Az]]-ROUNDDOWN(pairs[[#This Row],[ Az]],0),1)</f>
        <v>0</v>
      </c>
      <c r="H148" s="232">
        <f>ROUND(pairs[[#This Row],[ Back]]-ROUNDDOWN(pairs[[#This Row],[ Back]],0),1)</f>
        <v>0.9</v>
      </c>
      <c r="I148" s="232">
        <f>IF( OR( OR(pairs[[#This Row],[Az*]]=0, pairs[[#This Row],[Back*]]=0), OR(pairs[[#This Row],[Az*]]=1, pairs[[#This Row],[Back*]]=1)), 1, 0)</f>
        <v>1</v>
      </c>
      <c r="J148" s="232">
        <f>IF(OR(pairs[[#This Row],[Az*]]=0.5,pairs[[#This Row],[Back*]]=0.5),1,0)</f>
        <v>0</v>
      </c>
      <c r="K148" s="232"/>
      <c r="L148" s="232"/>
    </row>
    <row r="149" spans="1:12">
      <c r="A149" s="231" t="s">
        <v>132</v>
      </c>
      <c r="B149" s="231" t="s">
        <v>156</v>
      </c>
      <c r="C149" s="232"/>
      <c r="D149" s="232">
        <v>208.23</v>
      </c>
      <c r="E149" s="233">
        <v>1.7309349999999999</v>
      </c>
      <c r="F149" s="234">
        <f>pairs[[#This Row],[ Dist]]*5280</f>
        <v>9139.3367999999991</v>
      </c>
      <c r="G149" s="232">
        <f>ROUND(pairs[[#This Row],[ Az]]-ROUNDDOWN(pairs[[#This Row],[ Az]],0),1)</f>
        <v>0</v>
      </c>
      <c r="H149" s="232">
        <f>ROUND(pairs[[#This Row],[ Back]]-ROUNDDOWN(pairs[[#This Row],[ Back]],0),1)</f>
        <v>0.2</v>
      </c>
      <c r="I149" s="232">
        <f>IF( OR( OR(pairs[[#This Row],[Az*]]=0, pairs[[#This Row],[Back*]]=0), OR(pairs[[#This Row],[Az*]]=1, pairs[[#This Row],[Back*]]=1)), 1, 0)</f>
        <v>1</v>
      </c>
      <c r="J149" s="232">
        <f>IF(OR(pairs[[#This Row],[Az*]]=0.5,pairs[[#This Row],[Back*]]=0.5),1,0)</f>
        <v>0</v>
      </c>
      <c r="K149" s="232"/>
      <c r="L149" s="232"/>
    </row>
    <row r="150" spans="1:12">
      <c r="A150" s="231" t="s">
        <v>132</v>
      </c>
      <c r="B150" s="231" t="s">
        <v>163</v>
      </c>
      <c r="C150" s="232"/>
      <c r="D150" s="232">
        <v>241.86</v>
      </c>
      <c r="E150" s="233">
        <v>6.9572250000000002</v>
      </c>
      <c r="F150" s="234">
        <f>pairs[[#This Row],[ Dist]]*5280</f>
        <v>36734.148000000001</v>
      </c>
      <c r="G150" s="232">
        <f>ROUND(pairs[[#This Row],[ Az]]-ROUNDDOWN(pairs[[#This Row],[ Az]],0),1)</f>
        <v>0</v>
      </c>
      <c r="H150" s="232">
        <f>ROUND(pairs[[#This Row],[ Back]]-ROUNDDOWN(pairs[[#This Row],[ Back]],0),1)</f>
        <v>0.9</v>
      </c>
      <c r="I150" s="232">
        <f>IF( OR( OR(pairs[[#This Row],[Az*]]=0, pairs[[#This Row],[Back*]]=0), OR(pairs[[#This Row],[Az*]]=1, pairs[[#This Row],[Back*]]=1)), 1, 0)</f>
        <v>1</v>
      </c>
      <c r="J150" s="232">
        <f>IF(OR(pairs[[#This Row],[Az*]]=0.5,pairs[[#This Row],[Back*]]=0.5),1,0)</f>
        <v>0</v>
      </c>
      <c r="K150" s="232"/>
      <c r="L150" s="232"/>
    </row>
    <row r="151" spans="1:12">
      <c r="A151" s="231" t="s">
        <v>132</v>
      </c>
      <c r="B151" s="231" t="s">
        <v>143</v>
      </c>
      <c r="C151" s="232"/>
      <c r="D151" s="232">
        <v>239.36</v>
      </c>
      <c r="E151" s="233">
        <v>2.9441299999999999</v>
      </c>
      <c r="F151" s="234">
        <f>pairs[[#This Row],[ Dist]]*5280</f>
        <v>15545.0064</v>
      </c>
      <c r="G151" s="232">
        <f>ROUND(pairs[[#This Row],[ Az]]-ROUNDDOWN(pairs[[#This Row],[ Az]],0),1)</f>
        <v>0</v>
      </c>
      <c r="H151" s="232">
        <f>ROUND(pairs[[#This Row],[ Back]]-ROUNDDOWN(pairs[[#This Row],[ Back]],0),1)</f>
        <v>0.4</v>
      </c>
      <c r="I151" s="232">
        <f>IF( OR( OR(pairs[[#This Row],[Az*]]=0, pairs[[#This Row],[Back*]]=0), OR(pairs[[#This Row],[Az*]]=1, pairs[[#This Row],[Back*]]=1)), 1, 0)</f>
        <v>1</v>
      </c>
      <c r="J151" s="232">
        <f>IF(OR(pairs[[#This Row],[Az*]]=0.5,pairs[[#This Row],[Back*]]=0.5),1,0)</f>
        <v>0</v>
      </c>
      <c r="K151" s="232"/>
      <c r="L151" s="232"/>
    </row>
    <row r="152" spans="1:12">
      <c r="A152" s="231" t="s">
        <v>132</v>
      </c>
      <c r="B152" s="231" t="s">
        <v>151</v>
      </c>
      <c r="C152" s="232"/>
      <c r="D152" s="232">
        <v>259.23</v>
      </c>
      <c r="E152" s="233">
        <v>8.038017</v>
      </c>
      <c r="F152" s="234">
        <f>pairs[[#This Row],[ Dist]]*5280</f>
        <v>42440.729760000002</v>
      </c>
      <c r="G152" s="232">
        <f>ROUND(pairs[[#This Row],[ Az]]-ROUNDDOWN(pairs[[#This Row],[ Az]],0),1)</f>
        <v>0</v>
      </c>
      <c r="H152" s="232">
        <f>ROUND(pairs[[#This Row],[ Back]]-ROUNDDOWN(pairs[[#This Row],[ Back]],0),1)</f>
        <v>0.2</v>
      </c>
      <c r="I152" s="232">
        <f>IF( OR( OR(pairs[[#This Row],[Az*]]=0, pairs[[#This Row],[Back*]]=0), OR(pairs[[#This Row],[Az*]]=1, pairs[[#This Row],[Back*]]=1)), 1, 0)</f>
        <v>1</v>
      </c>
      <c r="J152" s="232">
        <f>IF(OR(pairs[[#This Row],[Az*]]=0.5,pairs[[#This Row],[Back*]]=0.5),1,0)</f>
        <v>0</v>
      </c>
      <c r="K152" s="232"/>
      <c r="L152" s="232"/>
    </row>
    <row r="153" spans="1:12">
      <c r="A153" s="231" t="s">
        <v>132</v>
      </c>
      <c r="B153" s="231" t="s">
        <v>155</v>
      </c>
      <c r="C153" s="232"/>
      <c r="D153" s="232">
        <v>208.7</v>
      </c>
      <c r="E153" s="233">
        <v>1.713948</v>
      </c>
      <c r="F153" s="234">
        <f>pairs[[#This Row],[ Dist]]*5280</f>
        <v>9049.6454400000002</v>
      </c>
      <c r="G153" s="232">
        <f>ROUND(pairs[[#This Row],[ Az]]-ROUNDDOWN(pairs[[#This Row],[ Az]],0),1)</f>
        <v>0</v>
      </c>
      <c r="H153" s="232">
        <f>ROUND(pairs[[#This Row],[ Back]]-ROUNDDOWN(pairs[[#This Row],[ Back]],0),1)</f>
        <v>0.7</v>
      </c>
      <c r="I153" s="232">
        <f>IF( OR( OR(pairs[[#This Row],[Az*]]=0, pairs[[#This Row],[Back*]]=0), OR(pairs[[#This Row],[Az*]]=1, pairs[[#This Row],[Back*]]=1)), 1, 0)</f>
        <v>1</v>
      </c>
      <c r="J153" s="232">
        <f>IF(OR(pairs[[#This Row],[Az*]]=0.5,pairs[[#This Row],[Back*]]=0.5),1,0)</f>
        <v>0</v>
      </c>
      <c r="K153" s="232"/>
      <c r="L153" s="232"/>
    </row>
    <row r="154" spans="1:12">
      <c r="A154" s="231" t="s">
        <v>132</v>
      </c>
      <c r="B154" s="231" t="s">
        <v>158</v>
      </c>
      <c r="C154" s="232"/>
      <c r="D154" s="232">
        <v>244.14</v>
      </c>
      <c r="E154" s="233">
        <v>2.8522289999999999</v>
      </c>
      <c r="F154" s="234">
        <f>pairs[[#This Row],[ Dist]]*5280</f>
        <v>15059.769119999999</v>
      </c>
      <c r="G154" s="232">
        <f>ROUND(pairs[[#This Row],[ Az]]-ROUNDDOWN(pairs[[#This Row],[ Az]],0),1)</f>
        <v>0</v>
      </c>
      <c r="H154" s="232">
        <f>ROUND(pairs[[#This Row],[ Back]]-ROUNDDOWN(pairs[[#This Row],[ Back]],0),1)</f>
        <v>0.1</v>
      </c>
      <c r="I154" s="232">
        <f>IF( OR( OR(pairs[[#This Row],[Az*]]=0, pairs[[#This Row],[Back*]]=0), OR(pairs[[#This Row],[Az*]]=1, pairs[[#This Row],[Back*]]=1)), 1, 0)</f>
        <v>1</v>
      </c>
      <c r="J154" s="232">
        <f>IF(OR(pairs[[#This Row],[Az*]]=0.5,pairs[[#This Row],[Back*]]=0.5),1,0)</f>
        <v>0</v>
      </c>
      <c r="K154" s="232"/>
      <c r="L154" s="232"/>
    </row>
    <row r="155" spans="1:12">
      <c r="A155" s="231" t="s">
        <v>132</v>
      </c>
      <c r="B155" s="231" t="s">
        <v>159</v>
      </c>
      <c r="C155" s="232"/>
      <c r="D155" s="232">
        <v>190.66</v>
      </c>
      <c r="E155" s="233">
        <v>1.5058009999999999</v>
      </c>
      <c r="F155" s="234">
        <f>pairs[[#This Row],[ Dist]]*5280</f>
        <v>7950.6292800000001</v>
      </c>
      <c r="G155" s="232">
        <f>ROUND(pairs[[#This Row],[ Az]]-ROUNDDOWN(pairs[[#This Row],[ Az]],0),1)</f>
        <v>0</v>
      </c>
      <c r="H155" s="232">
        <f>ROUND(pairs[[#This Row],[ Back]]-ROUNDDOWN(pairs[[#This Row],[ Back]],0),1)</f>
        <v>0.7</v>
      </c>
      <c r="I155" s="232">
        <f>IF( OR( OR(pairs[[#This Row],[Az*]]=0, pairs[[#This Row],[Back*]]=0), OR(pairs[[#This Row],[Az*]]=1, pairs[[#This Row],[Back*]]=1)), 1, 0)</f>
        <v>1</v>
      </c>
      <c r="J155" s="232">
        <f>IF(OR(pairs[[#This Row],[Az*]]=0.5,pairs[[#This Row],[Back*]]=0.5),1,0)</f>
        <v>0</v>
      </c>
      <c r="K155" s="232"/>
      <c r="L155" s="232"/>
    </row>
    <row r="156" spans="1:12" ht="14.1">
      <c r="A156" s="23" t="s">
        <v>132</v>
      </c>
      <c r="B156" s="23" t="s">
        <v>160</v>
      </c>
      <c r="C156" s="229"/>
      <c r="D156" s="229">
        <v>212.05</v>
      </c>
      <c r="E156" s="25">
        <v>2.135958</v>
      </c>
      <c r="F156" s="230">
        <f>pairs[[#This Row],[ Dist]]*5280</f>
        <v>11277.85824</v>
      </c>
      <c r="G156" s="232">
        <f>ROUND(pairs[[#This Row],[ Az]]-ROUNDDOWN(pairs[[#This Row],[ Az]],0),1)</f>
        <v>0</v>
      </c>
      <c r="H156" s="232">
        <f>ROUND(pairs[[#This Row],[ Back]]-ROUNDDOWN(pairs[[#This Row],[ Back]],0),1)</f>
        <v>0.1</v>
      </c>
      <c r="I156" s="232">
        <f>IF( OR( OR(pairs[[#This Row],[Az*]]=0, pairs[[#This Row],[Back*]]=0), OR(pairs[[#This Row],[Az*]]=1, pairs[[#This Row],[Back*]]=1)), 1, 0)</f>
        <v>1</v>
      </c>
      <c r="J156" s="232">
        <f>IF(OR(pairs[[#This Row],[Az*]]=0.5,pairs[[#This Row],[Back*]]=0.5),1,0)</f>
        <v>0</v>
      </c>
      <c r="K156" s="232"/>
      <c r="L156" s="232"/>
    </row>
    <row r="157" spans="1:12">
      <c r="A157" s="231" t="s">
        <v>132</v>
      </c>
      <c r="B157" s="231" t="s">
        <v>146</v>
      </c>
      <c r="C157" s="232"/>
      <c r="D157" s="232">
        <v>188.34</v>
      </c>
      <c r="E157" s="233">
        <v>1.6835340000000001</v>
      </c>
      <c r="F157" s="234">
        <f>pairs[[#This Row],[ Dist]]*5280</f>
        <v>8889.0595200000007</v>
      </c>
      <c r="G157" s="232">
        <f>ROUND(pairs[[#This Row],[ Az]]-ROUNDDOWN(pairs[[#This Row],[ Az]],0),1)</f>
        <v>0</v>
      </c>
      <c r="H157" s="232">
        <f>ROUND(pairs[[#This Row],[ Back]]-ROUNDDOWN(pairs[[#This Row],[ Back]],0),1)</f>
        <v>0.3</v>
      </c>
      <c r="I157" s="232">
        <f>IF( OR( OR(pairs[[#This Row],[Az*]]=0, pairs[[#This Row],[Back*]]=0), OR(pairs[[#This Row],[Az*]]=1, pairs[[#This Row],[Back*]]=1)), 1, 0)</f>
        <v>1</v>
      </c>
      <c r="J157" s="232">
        <f>IF(OR(pairs[[#This Row],[Az*]]=0.5,pairs[[#This Row],[Back*]]=0.5),1,0)</f>
        <v>0</v>
      </c>
      <c r="K157" s="232"/>
      <c r="L157" s="232"/>
    </row>
    <row r="158" spans="1:12">
      <c r="A158" s="231" t="s">
        <v>132</v>
      </c>
      <c r="B158" s="231" t="s">
        <v>145</v>
      </c>
      <c r="C158" s="232"/>
      <c r="D158" s="232">
        <v>218.84</v>
      </c>
      <c r="E158" s="233">
        <v>1.6651800000000001</v>
      </c>
      <c r="F158" s="234">
        <f>pairs[[#This Row],[ Dist]]*5280</f>
        <v>8792.1504000000004</v>
      </c>
      <c r="G158" s="232">
        <f>ROUND(pairs[[#This Row],[ Az]]-ROUNDDOWN(pairs[[#This Row],[ Az]],0),1)</f>
        <v>0</v>
      </c>
      <c r="H158" s="232">
        <f>ROUND(pairs[[#This Row],[ Back]]-ROUNDDOWN(pairs[[#This Row],[ Back]],0),1)</f>
        <v>0.8</v>
      </c>
      <c r="I158" s="232">
        <f>IF( OR( OR(pairs[[#This Row],[Az*]]=0, pairs[[#This Row],[Back*]]=0), OR(pairs[[#This Row],[Az*]]=1, pairs[[#This Row],[Back*]]=1)), 1, 0)</f>
        <v>1</v>
      </c>
      <c r="J158" s="232">
        <f>IF(OR(pairs[[#This Row],[Az*]]=0.5,pairs[[#This Row],[Back*]]=0.5),1,0)</f>
        <v>0</v>
      </c>
      <c r="K158" s="232"/>
      <c r="L158" s="232"/>
    </row>
    <row r="159" spans="1:12">
      <c r="A159" s="231" t="s">
        <v>132</v>
      </c>
      <c r="B159" s="231" t="s">
        <v>164</v>
      </c>
      <c r="C159" s="232"/>
      <c r="D159" s="232">
        <v>189.24</v>
      </c>
      <c r="E159" s="233">
        <v>1.5206679999999999</v>
      </c>
      <c r="F159" s="234">
        <f>pairs[[#This Row],[ Dist]]*5280</f>
        <v>8029.1270399999994</v>
      </c>
      <c r="G159" s="232">
        <f>ROUND(pairs[[#This Row],[ Az]]-ROUNDDOWN(pairs[[#This Row],[ Az]],0),1)</f>
        <v>0</v>
      </c>
      <c r="H159" s="232">
        <f>ROUND(pairs[[#This Row],[ Back]]-ROUNDDOWN(pairs[[#This Row],[ Back]],0),1)</f>
        <v>0.2</v>
      </c>
      <c r="I159" s="232">
        <f>IF( OR( OR(pairs[[#This Row],[Az*]]=0, pairs[[#This Row],[Back*]]=0), OR(pairs[[#This Row],[Az*]]=1, pairs[[#This Row],[Back*]]=1)), 1, 0)</f>
        <v>1</v>
      </c>
      <c r="J159" s="232">
        <f>IF(OR(pairs[[#This Row],[Az*]]=0.5,pairs[[#This Row],[Back*]]=0.5),1,0)</f>
        <v>0</v>
      </c>
      <c r="K159" s="232"/>
      <c r="L159" s="232"/>
    </row>
    <row r="160" spans="1:12">
      <c r="A160" s="231" t="s">
        <v>132</v>
      </c>
      <c r="B160" s="231" t="s">
        <v>144</v>
      </c>
      <c r="C160" s="232"/>
      <c r="D160" s="232">
        <v>221.23</v>
      </c>
      <c r="E160" s="233">
        <v>1.691738</v>
      </c>
      <c r="F160" s="234">
        <f>pairs[[#This Row],[ Dist]]*5280</f>
        <v>8932.3766400000004</v>
      </c>
      <c r="G160" s="232">
        <f>ROUND(pairs[[#This Row],[ Az]]-ROUNDDOWN(pairs[[#This Row],[ Az]],0),1)</f>
        <v>0</v>
      </c>
      <c r="H160" s="232">
        <f>ROUND(pairs[[#This Row],[ Back]]-ROUNDDOWN(pairs[[#This Row],[ Back]],0),1)</f>
        <v>0.2</v>
      </c>
      <c r="I160" s="232">
        <f>IF( OR( OR(pairs[[#This Row],[Az*]]=0, pairs[[#This Row],[Back*]]=0), OR(pairs[[#This Row],[Az*]]=1, pairs[[#This Row],[Back*]]=1)), 1, 0)</f>
        <v>1</v>
      </c>
      <c r="J160" s="232">
        <f>IF(OR(pairs[[#This Row],[Az*]]=0.5,pairs[[#This Row],[Back*]]=0.5),1,0)</f>
        <v>0</v>
      </c>
      <c r="K160" s="232"/>
      <c r="L160" s="232"/>
    </row>
    <row r="161" spans="1:12">
      <c r="A161" s="231" t="s">
        <v>132</v>
      </c>
      <c r="B161" s="231" t="s">
        <v>148</v>
      </c>
      <c r="C161" s="232"/>
      <c r="D161" s="232">
        <v>185.34</v>
      </c>
      <c r="E161" s="233">
        <v>8.6679379999999995</v>
      </c>
      <c r="F161" s="234">
        <f>pairs[[#This Row],[ Dist]]*5280</f>
        <v>45766.712639999998</v>
      </c>
      <c r="G161" s="232">
        <f>ROUND(pairs[[#This Row],[ Az]]-ROUNDDOWN(pairs[[#This Row],[ Az]],0),1)</f>
        <v>0</v>
      </c>
      <c r="H161" s="232">
        <f>ROUND(pairs[[#This Row],[ Back]]-ROUNDDOWN(pairs[[#This Row],[ Back]],0),1)</f>
        <v>0.3</v>
      </c>
      <c r="I161" s="232">
        <f>IF( OR( OR(pairs[[#This Row],[Az*]]=0, pairs[[#This Row],[Back*]]=0), OR(pairs[[#This Row],[Az*]]=1, pairs[[#This Row],[Back*]]=1)), 1, 0)</f>
        <v>1</v>
      </c>
      <c r="J161" s="232">
        <f>IF(OR(pairs[[#This Row],[Az*]]=0.5,pairs[[#This Row],[Back*]]=0.5),1,0)</f>
        <v>0</v>
      </c>
      <c r="K161" s="232"/>
      <c r="L161" s="232"/>
    </row>
    <row r="162" spans="1:12">
      <c r="A162" s="231" t="s">
        <v>132</v>
      </c>
      <c r="B162" s="231" t="s">
        <v>152</v>
      </c>
      <c r="C162" s="232"/>
      <c r="D162" s="232">
        <v>207.36</v>
      </c>
      <c r="E162" s="233">
        <v>1.7555799999999999</v>
      </c>
      <c r="F162" s="234">
        <f>pairs[[#This Row],[ Dist]]*5280</f>
        <v>9269.4624000000003</v>
      </c>
      <c r="G162" s="232">
        <f>ROUND(pairs[[#This Row],[ Az]]-ROUNDDOWN(pairs[[#This Row],[ Az]],0),1)</f>
        <v>0</v>
      </c>
      <c r="H162" s="232">
        <f>ROUND(pairs[[#This Row],[ Back]]-ROUNDDOWN(pairs[[#This Row],[ Back]],0),1)</f>
        <v>0.4</v>
      </c>
      <c r="I162" s="232">
        <f>IF( OR( OR(pairs[[#This Row],[Az*]]=0, pairs[[#This Row],[Back*]]=0), OR(pairs[[#This Row],[Az*]]=1, pairs[[#This Row],[Back*]]=1)), 1, 0)</f>
        <v>1</v>
      </c>
      <c r="J162" s="232">
        <f>IF(OR(pairs[[#This Row],[Az*]]=0.5,pairs[[#This Row],[Back*]]=0.5),1,0)</f>
        <v>0</v>
      </c>
      <c r="K162" s="232"/>
      <c r="L162" s="232"/>
    </row>
    <row r="163" spans="1:12">
      <c r="A163" s="231" t="s">
        <v>132</v>
      </c>
      <c r="B163" s="231" t="s">
        <v>161</v>
      </c>
      <c r="C163" s="232"/>
      <c r="D163" s="232">
        <v>141.88999999999999</v>
      </c>
      <c r="E163" s="233">
        <v>5.570964</v>
      </c>
      <c r="F163" s="234">
        <f>pairs[[#This Row],[ Dist]]*5280</f>
        <v>29414.689920000001</v>
      </c>
      <c r="G163" s="232">
        <f>ROUND(pairs[[#This Row],[ Az]]-ROUNDDOWN(pairs[[#This Row],[ Az]],0),1)</f>
        <v>0</v>
      </c>
      <c r="H163" s="232">
        <f>ROUND(pairs[[#This Row],[ Back]]-ROUNDDOWN(pairs[[#This Row],[ Back]],0),1)</f>
        <v>0.9</v>
      </c>
      <c r="I163" s="232">
        <f>IF( OR( OR(pairs[[#This Row],[Az*]]=0, pairs[[#This Row],[Back*]]=0), OR(pairs[[#This Row],[Az*]]=1, pairs[[#This Row],[Back*]]=1)), 1, 0)</f>
        <v>1</v>
      </c>
      <c r="J163" s="232">
        <f>IF(OR(pairs[[#This Row],[Az*]]=0.5,pairs[[#This Row],[Back*]]=0.5),1,0)</f>
        <v>0</v>
      </c>
      <c r="K163" s="232"/>
      <c r="L163" s="232"/>
    </row>
    <row r="164" spans="1:12">
      <c r="A164" s="231" t="s">
        <v>132</v>
      </c>
      <c r="B164" s="231" t="s">
        <v>162</v>
      </c>
      <c r="C164" s="232"/>
      <c r="D164" s="232">
        <v>181.64</v>
      </c>
      <c r="E164" s="233">
        <v>8.0340539999999994</v>
      </c>
      <c r="F164" s="234">
        <f>pairs[[#This Row],[ Dist]]*5280</f>
        <v>42419.805119999997</v>
      </c>
      <c r="G164" s="232">
        <f>ROUND(pairs[[#This Row],[ Az]]-ROUNDDOWN(pairs[[#This Row],[ Az]],0),1)</f>
        <v>0</v>
      </c>
      <c r="H164" s="232">
        <f>ROUND(pairs[[#This Row],[ Back]]-ROUNDDOWN(pairs[[#This Row],[ Back]],0),1)</f>
        <v>0.6</v>
      </c>
      <c r="I164" s="232">
        <f>IF( OR( OR(pairs[[#This Row],[Az*]]=0, pairs[[#This Row],[Back*]]=0), OR(pairs[[#This Row],[Az*]]=1, pairs[[#This Row],[Back*]]=1)), 1, 0)</f>
        <v>1</v>
      </c>
      <c r="J164" s="232">
        <f>IF(OR(pairs[[#This Row],[Az*]]=0.5,pairs[[#This Row],[Back*]]=0.5),1,0)</f>
        <v>0</v>
      </c>
      <c r="K164" s="232"/>
      <c r="L164" s="232"/>
    </row>
    <row r="165" spans="1:12">
      <c r="A165" s="231" t="s">
        <v>132</v>
      </c>
      <c r="B165" s="231" t="s">
        <v>157</v>
      </c>
      <c r="C165" s="232"/>
      <c r="D165" s="232">
        <v>302.19</v>
      </c>
      <c r="E165" s="233">
        <v>2.060613</v>
      </c>
      <c r="F165" s="234">
        <f>pairs[[#This Row],[ Dist]]*5280</f>
        <v>10880.03664</v>
      </c>
      <c r="G165" s="232">
        <f>ROUND(pairs[[#This Row],[ Az]]-ROUNDDOWN(pairs[[#This Row],[ Az]],0),1)</f>
        <v>0</v>
      </c>
      <c r="H165" s="232">
        <f>ROUND(pairs[[#This Row],[ Back]]-ROUNDDOWN(pairs[[#This Row],[ Back]],0),1)</f>
        <v>0.2</v>
      </c>
      <c r="I165" s="232">
        <f>IF( OR( OR(pairs[[#This Row],[Az*]]=0, pairs[[#This Row],[Back*]]=0), OR(pairs[[#This Row],[Az*]]=1, pairs[[#This Row],[Back*]]=1)), 1, 0)</f>
        <v>1</v>
      </c>
      <c r="J165" s="232">
        <f>IF(OR(pairs[[#This Row],[Az*]]=0.5,pairs[[#This Row],[Back*]]=0.5),1,0)</f>
        <v>0</v>
      </c>
      <c r="K165" s="232"/>
      <c r="L165" s="232"/>
    </row>
    <row r="166" spans="1:12" ht="14.1">
      <c r="A166" s="206" t="s">
        <v>132</v>
      </c>
      <c r="B166" s="206" t="s">
        <v>149</v>
      </c>
      <c r="C166" s="235"/>
      <c r="D166" s="235">
        <v>351.55</v>
      </c>
      <c r="E166" s="236">
        <v>5.6349590000000003</v>
      </c>
      <c r="F166" s="237">
        <f>pairs[[#This Row],[ Dist]]*5280</f>
        <v>29752.58352</v>
      </c>
      <c r="G166" s="235">
        <f>ROUND(pairs[[#This Row],[ Az]]-ROUNDDOWN(pairs[[#This Row],[ Az]],0),1)</f>
        <v>0</v>
      </c>
      <c r="H166" s="235">
        <f>ROUND(pairs[[#This Row],[ Back]]-ROUNDDOWN(pairs[[#This Row],[ Back]],0),1)</f>
        <v>0.6</v>
      </c>
      <c r="I166" s="235">
        <f>IF( OR( OR(pairs[[#This Row],[Az*]]=0, pairs[[#This Row],[Back*]]=0), OR(pairs[[#This Row],[Az*]]=1, pairs[[#This Row],[Back*]]=1)), 1, 0)</f>
        <v>1</v>
      </c>
      <c r="J166" s="235">
        <f>IF(OR(pairs[[#This Row],[Az*]]=0.5,pairs[[#This Row],[Back*]]=0.5),1,0)</f>
        <v>0</v>
      </c>
      <c r="K166" s="232"/>
      <c r="L166" s="232"/>
    </row>
    <row r="167" spans="1:12">
      <c r="A167" s="231" t="s">
        <v>132</v>
      </c>
      <c r="B167" s="231" t="s">
        <v>153</v>
      </c>
      <c r="C167" s="232"/>
      <c r="D167" s="232">
        <v>208.95</v>
      </c>
      <c r="E167" s="233">
        <v>1.7111000000000001</v>
      </c>
      <c r="F167" s="234">
        <f>pairs[[#This Row],[ Dist]]*5280</f>
        <v>9034.6080000000002</v>
      </c>
      <c r="G167" s="232">
        <f>ROUND(pairs[[#This Row],[ Az]]-ROUNDDOWN(pairs[[#This Row],[ Az]],0),1)</f>
        <v>0</v>
      </c>
      <c r="H167" s="232">
        <f>ROUND(pairs[[#This Row],[ Back]]-ROUNDDOWN(pairs[[#This Row],[ Back]],0),1)</f>
        <v>0.9</v>
      </c>
      <c r="I167" s="232">
        <f>IF( OR( OR(pairs[[#This Row],[Az*]]=0, pairs[[#This Row],[Back*]]=0), OR(pairs[[#This Row],[Az*]]=1, pairs[[#This Row],[Back*]]=1)), 1, 0)</f>
        <v>1</v>
      </c>
      <c r="J167" s="232">
        <f>IF(OR(pairs[[#This Row],[Az*]]=0.5,pairs[[#This Row],[Back*]]=0.5),1,0)</f>
        <v>0</v>
      </c>
      <c r="K167" s="232"/>
      <c r="L167" s="232"/>
    </row>
    <row r="168" spans="1:12">
      <c r="A168" s="231" t="s">
        <v>132</v>
      </c>
      <c r="B168" s="231" t="s">
        <v>150</v>
      </c>
      <c r="C168" s="232"/>
      <c r="D168" s="232">
        <v>103.75</v>
      </c>
      <c r="E168" s="233">
        <v>6.4404640000000004</v>
      </c>
      <c r="F168" s="234">
        <f>pairs[[#This Row],[ Dist]]*5280</f>
        <v>34005.649920000003</v>
      </c>
      <c r="G168" s="232">
        <f>ROUND(pairs[[#This Row],[ Az]]-ROUNDDOWN(pairs[[#This Row],[ Az]],0),1)</f>
        <v>0</v>
      </c>
      <c r="H168" s="232">
        <f>ROUND(pairs[[#This Row],[ Back]]-ROUNDDOWN(pairs[[#This Row],[ Back]],0),1)</f>
        <v>0.8</v>
      </c>
      <c r="I168" s="232">
        <f>IF( OR( OR(pairs[[#This Row],[Az*]]=0, pairs[[#This Row],[Back*]]=0), OR(pairs[[#This Row],[Az*]]=1, pairs[[#This Row],[Back*]]=1)), 1, 0)</f>
        <v>1</v>
      </c>
      <c r="J168" s="232">
        <f>IF(OR(pairs[[#This Row],[Az*]]=0.5,pairs[[#This Row],[Back*]]=0.5),1,0)</f>
        <v>0</v>
      </c>
      <c r="K168" s="232"/>
      <c r="L168" s="232"/>
    </row>
    <row r="169" spans="1:12">
      <c r="A169" s="231" t="s">
        <v>132</v>
      </c>
      <c r="B169" s="231" t="s">
        <v>154</v>
      </c>
      <c r="C169" s="232"/>
      <c r="D169" s="232">
        <v>208.12</v>
      </c>
      <c r="E169" s="233">
        <v>1.7345950000000001</v>
      </c>
      <c r="F169" s="234">
        <f>pairs[[#This Row],[ Dist]]*5280</f>
        <v>9158.6616000000013</v>
      </c>
      <c r="G169" s="232">
        <f>ROUND(pairs[[#This Row],[ Az]]-ROUNDDOWN(pairs[[#This Row],[ Az]],0),1)</f>
        <v>0</v>
      </c>
      <c r="H169" s="232">
        <f>ROUND(pairs[[#This Row],[ Back]]-ROUNDDOWN(pairs[[#This Row],[ Back]],0),1)</f>
        <v>0.1</v>
      </c>
      <c r="I169" s="232">
        <f>IF( OR( OR(pairs[[#This Row],[Az*]]=0, pairs[[#This Row],[Back*]]=0), OR(pairs[[#This Row],[Az*]]=1, pairs[[#This Row],[Back*]]=1)), 1, 0)</f>
        <v>1</v>
      </c>
      <c r="J169" s="232">
        <f>IF(OR(pairs[[#This Row],[Az*]]=0.5,pairs[[#This Row],[Back*]]=0.5),1,0)</f>
        <v>0</v>
      </c>
      <c r="K169" s="232"/>
      <c r="L169" s="232"/>
    </row>
    <row r="170" spans="1:12" ht="14.1">
      <c r="A170" s="206" t="s">
        <v>125</v>
      </c>
      <c r="B170" s="206" t="s">
        <v>156</v>
      </c>
      <c r="C170" s="235"/>
      <c r="D170" s="235">
        <v>340.47</v>
      </c>
      <c r="E170" s="236">
        <v>3.6354999999999998E-2</v>
      </c>
      <c r="F170" s="237">
        <f>pairs[[#This Row],[ Dist]]*5280</f>
        <v>191.95439999999999</v>
      </c>
      <c r="G170" s="235">
        <f>ROUND(pairs[[#This Row],[ Az]]-ROUNDDOWN(pairs[[#This Row],[ Az]],0),1)</f>
        <v>0</v>
      </c>
      <c r="H170" s="235">
        <f>ROUND(pairs[[#This Row],[ Back]]-ROUNDDOWN(pairs[[#This Row],[ Back]],0),1)</f>
        <v>0.5</v>
      </c>
      <c r="I170" s="235">
        <f>IF( OR( OR(pairs[[#This Row],[Az*]]=0, pairs[[#This Row],[Back*]]=0), OR(pairs[[#This Row],[Az*]]=1, pairs[[#This Row],[Back*]]=1)), 1, 0)</f>
        <v>1</v>
      </c>
      <c r="J170" s="235">
        <f>IF(OR(pairs[[#This Row],[Az*]]=0.5,pairs[[#This Row],[Back*]]=0.5),1,0)</f>
        <v>1</v>
      </c>
      <c r="K170" s="232"/>
      <c r="L170" s="232"/>
    </row>
    <row r="171" spans="1:12" ht="14.1">
      <c r="A171" s="23" t="s">
        <v>125</v>
      </c>
      <c r="B171" s="23" t="s">
        <v>163</v>
      </c>
      <c r="C171" s="229"/>
      <c r="D171" s="229">
        <v>252.07</v>
      </c>
      <c r="E171" s="25">
        <v>5.598077</v>
      </c>
      <c r="F171" s="230">
        <f>pairs[[#This Row],[ Dist]]*5280</f>
        <v>29557.846559999998</v>
      </c>
      <c r="G171" s="232">
        <f>ROUND(pairs[[#This Row],[ Az]]-ROUNDDOWN(pairs[[#This Row],[ Az]],0),1)</f>
        <v>0</v>
      </c>
      <c r="H171" s="232">
        <f>ROUND(pairs[[#This Row],[ Back]]-ROUNDDOWN(pairs[[#This Row],[ Back]],0),1)</f>
        <v>0.1</v>
      </c>
      <c r="I171" s="232">
        <f>IF( OR( OR(pairs[[#This Row],[Az*]]=0, pairs[[#This Row],[Back*]]=0), OR(pairs[[#This Row],[Az*]]=1, pairs[[#This Row],[Back*]]=1)), 1, 0)</f>
        <v>1</v>
      </c>
      <c r="J171" s="232">
        <f>IF(OR(pairs[[#This Row],[Az*]]=0.5,pairs[[#This Row],[Back*]]=0.5),1,0)</f>
        <v>0</v>
      </c>
      <c r="K171" s="232"/>
      <c r="L171" s="232"/>
    </row>
    <row r="172" spans="1:12">
      <c r="A172" s="231" t="s">
        <v>125</v>
      </c>
      <c r="B172" s="231" t="s">
        <v>143</v>
      </c>
      <c r="C172" s="232"/>
      <c r="D172" s="232">
        <v>271.95</v>
      </c>
      <c r="E172" s="233">
        <v>1.726917</v>
      </c>
      <c r="F172" s="234">
        <f>pairs[[#This Row],[ Dist]]*5280</f>
        <v>9118.12176</v>
      </c>
      <c r="G172" s="232">
        <f>ROUND(pairs[[#This Row],[ Az]]-ROUNDDOWN(pairs[[#This Row],[ Az]],0),1)</f>
        <v>0</v>
      </c>
      <c r="H172" s="232">
        <f>ROUND(pairs[[#This Row],[ Back]]-ROUNDDOWN(pairs[[#This Row],[ Back]],0),1)</f>
        <v>0.9</v>
      </c>
      <c r="I172" s="232">
        <f>IF( OR( OR(pairs[[#This Row],[Az*]]=0, pairs[[#This Row],[Back*]]=0), OR(pairs[[#This Row],[Az*]]=1, pairs[[#This Row],[Back*]]=1)), 1, 0)</f>
        <v>1</v>
      </c>
      <c r="J172" s="232">
        <f>IF(OR(pairs[[#This Row],[Az*]]=0.5,pairs[[#This Row],[Back*]]=0.5),1,0)</f>
        <v>0</v>
      </c>
      <c r="K172" s="232"/>
      <c r="L172" s="232"/>
    </row>
    <row r="173" spans="1:12">
      <c r="A173" s="231" t="s">
        <v>125</v>
      </c>
      <c r="B173" s="231" t="s">
        <v>151</v>
      </c>
      <c r="C173" s="232"/>
      <c r="D173" s="232">
        <v>270.45</v>
      </c>
      <c r="E173" s="233">
        <v>7.0876530000000004</v>
      </c>
      <c r="F173" s="234">
        <f>pairs[[#This Row],[ Dist]]*5280</f>
        <v>37422.807840000001</v>
      </c>
      <c r="G173" s="232">
        <f>ROUND(pairs[[#This Row],[ Az]]-ROUNDDOWN(pairs[[#This Row],[ Az]],0),1)</f>
        <v>0</v>
      </c>
      <c r="H173" s="232">
        <f>ROUND(pairs[[#This Row],[ Back]]-ROUNDDOWN(pairs[[#This Row],[ Back]],0),1)</f>
        <v>0.4</v>
      </c>
      <c r="I173" s="232">
        <f>IF( OR( OR(pairs[[#This Row],[Az*]]=0, pairs[[#This Row],[Back*]]=0), OR(pairs[[#This Row],[Az*]]=1, pairs[[#This Row],[Back*]]=1)), 1, 0)</f>
        <v>1</v>
      </c>
      <c r="J173" s="232">
        <f>IF(OR(pairs[[#This Row],[Az*]]=0.5,pairs[[#This Row],[Back*]]=0.5),1,0)</f>
        <v>0</v>
      </c>
      <c r="K173" s="232"/>
      <c r="L173" s="232"/>
    </row>
    <row r="174" spans="1:12">
      <c r="A174" s="231" t="s">
        <v>125</v>
      </c>
      <c r="B174" s="231" t="s">
        <v>155</v>
      </c>
      <c r="C174" s="232"/>
      <c r="D174" s="232">
        <v>343.61</v>
      </c>
      <c r="E174" s="233">
        <v>5.8285000000000003E-2</v>
      </c>
      <c r="F174" s="234">
        <f>pairs[[#This Row],[ Dist]]*5280</f>
        <v>307.7448</v>
      </c>
      <c r="G174" s="232">
        <f>ROUND(pairs[[#This Row],[ Az]]-ROUNDDOWN(pairs[[#This Row],[ Az]],0),1)</f>
        <v>0</v>
      </c>
      <c r="H174" s="232">
        <f>ROUND(pairs[[#This Row],[ Back]]-ROUNDDOWN(pairs[[#This Row],[ Back]],0),1)</f>
        <v>0.6</v>
      </c>
      <c r="I174" s="232">
        <f>IF( OR( OR(pairs[[#This Row],[Az*]]=0, pairs[[#This Row],[Back*]]=0), OR(pairs[[#This Row],[Az*]]=1, pairs[[#This Row],[Back*]]=1)), 1, 0)</f>
        <v>1</v>
      </c>
      <c r="J174" s="232">
        <f>IF(OR(pairs[[#This Row],[Az*]]=0.5,pairs[[#This Row],[Back*]]=0.5),1,0)</f>
        <v>0</v>
      </c>
      <c r="K174" s="232"/>
      <c r="L174" s="232"/>
    </row>
    <row r="175" spans="1:12">
      <c r="A175" s="231" t="s">
        <v>125</v>
      </c>
      <c r="B175" s="231" t="s">
        <v>158</v>
      </c>
      <c r="C175" s="232"/>
      <c r="D175" s="232">
        <v>280.14999999999998</v>
      </c>
      <c r="E175" s="233">
        <v>1.7873889999999999</v>
      </c>
      <c r="F175" s="234">
        <f>pairs[[#This Row],[ Dist]]*5280</f>
        <v>9437.4139199999991</v>
      </c>
      <c r="G175" s="232">
        <f>ROUND(pairs[[#This Row],[ Az]]-ROUNDDOWN(pairs[[#This Row],[ Az]],0),1)</f>
        <v>0</v>
      </c>
      <c r="H175" s="232">
        <f>ROUND(pairs[[#This Row],[ Back]]-ROUNDDOWN(pairs[[#This Row],[ Back]],0),1)</f>
        <v>0.1</v>
      </c>
      <c r="I175" s="232">
        <f>IF( OR( OR(pairs[[#This Row],[Az*]]=0, pairs[[#This Row],[Back*]]=0), OR(pairs[[#This Row],[Az*]]=1, pairs[[#This Row],[Back*]]=1)), 1, 0)</f>
        <v>1</v>
      </c>
      <c r="J175" s="232">
        <f>IF(OR(pairs[[#This Row],[Az*]]=0.5,pairs[[#This Row],[Back*]]=0.5),1,0)</f>
        <v>0</v>
      </c>
      <c r="K175" s="232"/>
      <c r="L175" s="232"/>
    </row>
    <row r="176" spans="1:12">
      <c r="A176" s="231" t="s">
        <v>125</v>
      </c>
      <c r="B176" s="231" t="s">
        <v>159</v>
      </c>
      <c r="C176" s="232"/>
      <c r="D176" s="232">
        <v>81.44</v>
      </c>
      <c r="E176" s="233">
        <v>0.53395899999999996</v>
      </c>
      <c r="F176" s="234">
        <f>pairs[[#This Row],[ Dist]]*5280</f>
        <v>2819.3035199999999</v>
      </c>
      <c r="G176" s="232">
        <f>ROUND(pairs[[#This Row],[ Az]]-ROUNDDOWN(pairs[[#This Row],[ Az]],0),1)</f>
        <v>0</v>
      </c>
      <c r="H176" s="232">
        <f>ROUND(pairs[[#This Row],[ Back]]-ROUNDDOWN(pairs[[#This Row],[ Back]],0),1)</f>
        <v>0.4</v>
      </c>
      <c r="I176" s="232">
        <f>IF( OR( OR(pairs[[#This Row],[Az*]]=0, pairs[[#This Row],[Back*]]=0), OR(pairs[[#This Row],[Az*]]=1, pairs[[#This Row],[Back*]]=1)), 1, 0)</f>
        <v>1</v>
      </c>
      <c r="J176" s="232">
        <f>IF(OR(pairs[[#This Row],[Az*]]=0.5,pairs[[#This Row],[Back*]]=0.5),1,0)</f>
        <v>0</v>
      </c>
      <c r="K176" s="232"/>
      <c r="L176" s="232"/>
    </row>
    <row r="177" spans="1:12" ht="14.1">
      <c r="A177" s="206" t="s">
        <v>125</v>
      </c>
      <c r="B177" s="206" t="s">
        <v>160</v>
      </c>
      <c r="C177" s="235"/>
      <c r="D177" s="235">
        <v>232.46</v>
      </c>
      <c r="E177" s="236">
        <v>0.41211799999999998</v>
      </c>
      <c r="F177" s="237">
        <f>pairs[[#This Row],[ Dist]]*5280</f>
        <v>2175.9830400000001</v>
      </c>
      <c r="G177" s="235">
        <f>ROUND(pairs[[#This Row],[ Az]]-ROUNDDOWN(pairs[[#This Row],[ Az]],0),1)</f>
        <v>0</v>
      </c>
      <c r="H177" s="235">
        <f>ROUND(pairs[[#This Row],[ Back]]-ROUNDDOWN(pairs[[#This Row],[ Back]],0),1)</f>
        <v>0.5</v>
      </c>
      <c r="I177" s="235">
        <f>IF( OR( OR(pairs[[#This Row],[Az*]]=0, pairs[[#This Row],[Back*]]=0), OR(pairs[[#This Row],[Az*]]=1, pairs[[#This Row],[Back*]]=1)), 1, 0)</f>
        <v>1</v>
      </c>
      <c r="J177" s="235">
        <f>IF(OR(pairs[[#This Row],[Az*]]=0.5,pairs[[#This Row],[Back*]]=0.5),1,0)</f>
        <v>1</v>
      </c>
      <c r="K177" s="232"/>
      <c r="L177" s="232"/>
    </row>
    <row r="178" spans="1:12">
      <c r="A178" s="231" t="s">
        <v>125</v>
      </c>
      <c r="B178" s="231" t="s">
        <v>146</v>
      </c>
      <c r="C178" s="232"/>
      <c r="D178" s="232">
        <v>100.71</v>
      </c>
      <c r="E178" s="233">
        <v>0.57228199999999996</v>
      </c>
      <c r="F178" s="234">
        <f>pairs[[#This Row],[ Dist]]*5280</f>
        <v>3021.64896</v>
      </c>
      <c r="G178" s="232">
        <f>ROUND(pairs[[#This Row],[ Az]]-ROUNDDOWN(pairs[[#This Row],[ Az]],0),1)</f>
        <v>0</v>
      </c>
      <c r="H178" s="232">
        <f>ROUND(pairs[[#This Row],[ Back]]-ROUNDDOWN(pairs[[#This Row],[ Back]],0),1)</f>
        <v>0.7</v>
      </c>
      <c r="I178" s="232">
        <f>IF( OR( OR(pairs[[#This Row],[Az*]]=0, pairs[[#This Row],[Back*]]=0), OR(pairs[[#This Row],[Az*]]=1, pairs[[#This Row],[Back*]]=1)), 1, 0)</f>
        <v>1</v>
      </c>
      <c r="J178" s="232">
        <f>IF(OR(pairs[[#This Row],[Az*]]=0.5,pairs[[#This Row],[Back*]]=0.5),1,0)</f>
        <v>0</v>
      </c>
      <c r="K178" s="232"/>
      <c r="L178" s="232"/>
    </row>
    <row r="179" spans="1:12">
      <c r="A179" s="231" t="s">
        <v>125</v>
      </c>
      <c r="B179" s="231" t="s">
        <v>145</v>
      </c>
      <c r="C179" s="232"/>
      <c r="D179" s="232">
        <v>317.83</v>
      </c>
      <c r="E179" s="233">
        <v>0.353709</v>
      </c>
      <c r="F179" s="234">
        <f>pairs[[#This Row],[ Dist]]*5280</f>
        <v>1867.5835199999999</v>
      </c>
      <c r="G179" s="232">
        <f>ROUND(pairs[[#This Row],[ Az]]-ROUNDDOWN(pairs[[#This Row],[ Az]],0),1)</f>
        <v>0</v>
      </c>
      <c r="H179" s="232">
        <f>ROUND(pairs[[#This Row],[ Back]]-ROUNDDOWN(pairs[[#This Row],[ Back]],0),1)</f>
        <v>0.8</v>
      </c>
      <c r="I179" s="232">
        <f>IF( OR( OR(pairs[[#This Row],[Az*]]=0, pairs[[#This Row],[Back*]]=0), OR(pairs[[#This Row],[Az*]]=1, pairs[[#This Row],[Back*]]=1)), 1, 0)</f>
        <v>1</v>
      </c>
      <c r="J179" s="232">
        <f>IF(OR(pairs[[#This Row],[Az*]]=0.5,pairs[[#This Row],[Back*]]=0.5),1,0)</f>
        <v>0</v>
      </c>
      <c r="K179" s="232"/>
      <c r="L179" s="232"/>
    </row>
    <row r="180" spans="1:12">
      <c r="A180" s="231" t="s">
        <v>125</v>
      </c>
      <c r="B180" s="231" t="s">
        <v>164</v>
      </c>
      <c r="C180" s="232"/>
      <c r="D180" s="232">
        <v>84.07</v>
      </c>
      <c r="E180" s="233">
        <v>0.56533299999999997</v>
      </c>
      <c r="F180" s="234">
        <f>pairs[[#This Row],[ Dist]]*5280</f>
        <v>2984.9582399999999</v>
      </c>
      <c r="G180" s="232">
        <f>ROUND(pairs[[#This Row],[ Az]]-ROUNDDOWN(pairs[[#This Row],[ Az]],0),1)</f>
        <v>0</v>
      </c>
      <c r="H180" s="232">
        <f>ROUND(pairs[[#This Row],[ Back]]-ROUNDDOWN(pairs[[#This Row],[ Back]],0),1)</f>
        <v>0.1</v>
      </c>
      <c r="I180" s="232">
        <f>IF( OR( OR(pairs[[#This Row],[Az*]]=0, pairs[[#This Row],[Back*]]=0), OR(pairs[[#This Row],[Az*]]=1, pairs[[#This Row],[Back*]]=1)), 1, 0)</f>
        <v>1</v>
      </c>
      <c r="J180" s="232">
        <f>IF(OR(pairs[[#This Row],[Az*]]=0.5,pairs[[#This Row],[Back*]]=0.5),1,0)</f>
        <v>0</v>
      </c>
      <c r="K180" s="232"/>
      <c r="L180" s="232"/>
    </row>
    <row r="181" spans="1:12" ht="14.1">
      <c r="A181" s="23" t="s">
        <v>125</v>
      </c>
      <c r="B181" s="23" t="s">
        <v>144</v>
      </c>
      <c r="C181" s="229"/>
      <c r="D181" s="229">
        <v>312.95</v>
      </c>
      <c r="E181" s="25">
        <v>0.42117399999999999</v>
      </c>
      <c r="F181" s="230">
        <f>pairs[[#This Row],[ Dist]]*5280</f>
        <v>2223.7987199999998</v>
      </c>
      <c r="G181" s="232">
        <f>ROUND(pairs[[#This Row],[ Az]]-ROUNDDOWN(pairs[[#This Row],[ Az]],0),1)</f>
        <v>0</v>
      </c>
      <c r="H181" s="232">
        <f>ROUND(pairs[[#This Row],[ Back]]-ROUNDDOWN(pairs[[#This Row],[ Back]],0),1)</f>
        <v>0.9</v>
      </c>
      <c r="I181" s="232">
        <v>1</v>
      </c>
      <c r="J181" s="232">
        <f>IF(OR(pairs[[#This Row],[Az*]]=0.5,pairs[[#This Row],[Back*]]=0.5),1,0)</f>
        <v>0</v>
      </c>
      <c r="K181" s="232"/>
      <c r="L181" s="232"/>
    </row>
    <row r="182" spans="1:12" ht="14.1">
      <c r="A182" s="23" t="s">
        <v>125</v>
      </c>
      <c r="B182" s="23" t="s">
        <v>148</v>
      </c>
      <c r="C182" s="229"/>
      <c r="D182" s="229">
        <v>180</v>
      </c>
      <c r="E182" s="25">
        <v>7.0710680000000004</v>
      </c>
      <c r="F182" s="230">
        <f>pairs[[#This Row],[ Dist]]*5280</f>
        <v>37335.23904</v>
      </c>
      <c r="G182" s="232">
        <f>ROUND(pairs[[#This Row],[ Az]]-ROUNDDOWN(pairs[[#This Row],[ Az]],0),1)</f>
        <v>0</v>
      </c>
      <c r="H182" s="232">
        <f>ROUND(pairs[[#This Row],[ Back]]-ROUNDDOWN(pairs[[#This Row],[ Back]],0),1)</f>
        <v>0</v>
      </c>
      <c r="I182" s="232">
        <f>IF( OR( OR(pairs[[#This Row],[Az*]]=0, pairs[[#This Row],[Back*]]=0), OR(pairs[[#This Row],[Az*]]=1, pairs[[#This Row],[Back*]]=1)), 1, 0)</f>
        <v>1</v>
      </c>
      <c r="J182" s="232">
        <f>IF(OR(pairs[[#This Row],[Az*]]=0.5,pairs[[#This Row],[Back*]]=0.5),1,0)</f>
        <v>0</v>
      </c>
      <c r="K182" s="232"/>
      <c r="L182" s="232"/>
    </row>
    <row r="183" spans="1:12">
      <c r="A183" s="231" t="s">
        <v>125</v>
      </c>
      <c r="B183" s="231" t="s">
        <v>147</v>
      </c>
      <c r="C183" s="232"/>
      <c r="D183" s="232">
        <v>27.35</v>
      </c>
      <c r="E183" s="233">
        <v>1.7555799999999999</v>
      </c>
      <c r="F183" s="234">
        <f>pairs[[#This Row],[ Dist]]*5280</f>
        <v>9269.4624000000003</v>
      </c>
      <c r="G183" s="232">
        <f>ROUND(pairs[[#This Row],[ Az]]-ROUNDDOWN(pairs[[#This Row],[ Az]],0),1)</f>
        <v>0</v>
      </c>
      <c r="H183" s="232">
        <f>ROUND(pairs[[#This Row],[ Back]]-ROUNDDOWN(pairs[[#This Row],[ Back]],0),1)</f>
        <v>0.4</v>
      </c>
      <c r="I183" s="232">
        <f>IF( OR( OR(pairs[[#This Row],[Az*]]=0, pairs[[#This Row],[Back*]]=0), OR(pairs[[#This Row],[Az*]]=1, pairs[[#This Row],[Back*]]=1)), 1, 0)</f>
        <v>1</v>
      </c>
      <c r="J183" s="232">
        <f>IF(OR(pairs[[#This Row],[Az*]]=0.5,pairs[[#This Row],[Back*]]=0.5),1,0)</f>
        <v>0</v>
      </c>
      <c r="K183" s="232"/>
      <c r="L183" s="232"/>
    </row>
    <row r="184" spans="1:12">
      <c r="A184" s="231" t="s">
        <v>125</v>
      </c>
      <c r="B184" s="231" t="s">
        <v>161</v>
      </c>
      <c r="C184" s="232"/>
      <c r="D184" s="232">
        <v>123.64</v>
      </c>
      <c r="E184" s="233">
        <v>5.0971320000000002</v>
      </c>
      <c r="F184" s="234">
        <f>pairs[[#This Row],[ Dist]]*5280</f>
        <v>26912.856960000001</v>
      </c>
      <c r="G184" s="232">
        <f>ROUND(pairs[[#This Row],[ Az]]-ROUNDDOWN(pairs[[#This Row],[ Az]],0),1)</f>
        <v>0</v>
      </c>
      <c r="H184" s="232">
        <f>ROUND(pairs[[#This Row],[ Back]]-ROUNDDOWN(pairs[[#This Row],[ Back]],0),1)</f>
        <v>0.6</v>
      </c>
      <c r="I184" s="232">
        <f>IF( OR( OR(pairs[[#This Row],[Az*]]=0, pairs[[#This Row],[Back*]]=0), OR(pairs[[#This Row],[Az*]]=1, pairs[[#This Row],[Back*]]=1)), 1, 0)</f>
        <v>1</v>
      </c>
      <c r="J184" s="232">
        <f>IF(OR(pairs[[#This Row],[Az*]]=0.5,pairs[[#This Row],[Back*]]=0.5),1,0)</f>
        <v>0</v>
      </c>
      <c r="K184" s="232"/>
      <c r="L184" s="232"/>
    </row>
    <row r="185" spans="1:12">
      <c r="A185" s="231" t="s">
        <v>125</v>
      </c>
      <c r="B185" s="231" t="s">
        <v>162</v>
      </c>
      <c r="C185" s="232"/>
      <c r="D185" s="232">
        <v>174.9</v>
      </c>
      <c r="E185" s="233">
        <v>6.4971310000000004</v>
      </c>
      <c r="F185" s="234">
        <f>pairs[[#This Row],[ Dist]]*5280</f>
        <v>34304.85168</v>
      </c>
      <c r="G185" s="232">
        <f>ROUND(pairs[[#This Row],[ Az]]-ROUNDDOWN(pairs[[#This Row],[ Az]],0),1)</f>
        <v>0</v>
      </c>
      <c r="H185" s="232">
        <f>ROUND(pairs[[#This Row],[ Back]]-ROUNDDOWN(pairs[[#This Row],[ Back]],0),1)</f>
        <v>0.9</v>
      </c>
      <c r="I185" s="232">
        <f>IF( OR( OR(pairs[[#This Row],[Az*]]=0, pairs[[#This Row],[Back*]]=0), OR(pairs[[#This Row],[Az*]]=1, pairs[[#This Row],[Back*]]=1)), 1, 0)</f>
        <v>1</v>
      </c>
      <c r="J185" s="232">
        <f>IF(OR(pairs[[#This Row],[Az*]]=0.5,pairs[[#This Row],[Back*]]=0.5),1,0)</f>
        <v>0</v>
      </c>
      <c r="K185" s="232"/>
      <c r="L185" s="232"/>
    </row>
    <row r="186" spans="1:12">
      <c r="A186" s="231" t="s">
        <v>125</v>
      </c>
      <c r="B186" s="231" t="s">
        <v>157</v>
      </c>
      <c r="C186" s="232"/>
      <c r="D186" s="232">
        <v>340.58</v>
      </c>
      <c r="E186" s="233">
        <v>2.8171339999999998</v>
      </c>
      <c r="F186" s="234">
        <f>pairs[[#This Row],[ Dist]]*5280</f>
        <v>14874.467519999998</v>
      </c>
      <c r="G186" s="232">
        <f>ROUND(pairs[[#This Row],[ Az]]-ROUNDDOWN(pairs[[#This Row],[ Az]],0),1)</f>
        <v>0</v>
      </c>
      <c r="H186" s="232">
        <f>ROUND(pairs[[#This Row],[ Back]]-ROUNDDOWN(pairs[[#This Row],[ Back]],0),1)</f>
        <v>0.6</v>
      </c>
      <c r="I186" s="232">
        <f>IF( OR( OR(pairs[[#This Row],[Az*]]=0, pairs[[#This Row],[Back*]]=0), OR(pairs[[#This Row],[Az*]]=1, pairs[[#This Row],[Back*]]=1)), 1, 0)</f>
        <v>1</v>
      </c>
      <c r="J186" s="232">
        <f>IF(OR(pairs[[#This Row],[Az*]]=0.5,pairs[[#This Row],[Back*]]=0.5),1,0)</f>
        <v>0</v>
      </c>
      <c r="K186" s="232"/>
      <c r="L186" s="232"/>
    </row>
    <row r="187" spans="1:12">
      <c r="A187" s="231" t="s">
        <v>125</v>
      </c>
      <c r="B187" s="231" t="s">
        <v>149</v>
      </c>
      <c r="C187" s="232"/>
      <c r="D187" s="232">
        <v>359.83</v>
      </c>
      <c r="E187" s="233">
        <v>7.1330390000000001</v>
      </c>
      <c r="F187" s="234">
        <f>pairs[[#This Row],[ Dist]]*5280</f>
        <v>37662.445919999998</v>
      </c>
      <c r="G187" s="232">
        <f>ROUND(pairs[[#This Row],[ Az]]-ROUNDDOWN(pairs[[#This Row],[ Az]],0),1)</f>
        <v>0</v>
      </c>
      <c r="H187" s="232">
        <f>ROUND(pairs[[#This Row],[ Back]]-ROUNDDOWN(pairs[[#This Row],[ Back]],0),1)</f>
        <v>0.8</v>
      </c>
      <c r="I187" s="232">
        <f>IF( OR( OR(pairs[[#This Row],[Az*]]=0, pairs[[#This Row],[Back*]]=0), OR(pairs[[#This Row],[Az*]]=1, pairs[[#This Row],[Back*]]=1)), 1, 0)</f>
        <v>1</v>
      </c>
      <c r="J187" s="232">
        <f>IF(OR(pairs[[#This Row],[Az*]]=0.5,pairs[[#This Row],[Back*]]=0.5),1,0)</f>
        <v>0</v>
      </c>
      <c r="K187" s="232"/>
      <c r="L187" s="232"/>
    </row>
    <row r="188" spans="1:12">
      <c r="A188" s="231" t="s">
        <v>125</v>
      </c>
      <c r="B188" s="231" t="s">
        <v>153</v>
      </c>
      <c r="C188" s="232"/>
      <c r="D188" s="232">
        <v>340.87</v>
      </c>
      <c r="E188" s="233">
        <v>6.5558000000000005E-2</v>
      </c>
      <c r="F188" s="234">
        <f>pairs[[#This Row],[ Dist]]*5280</f>
        <v>346.14624000000003</v>
      </c>
      <c r="G188" s="232">
        <f>ROUND(pairs[[#This Row],[ Az]]-ROUNDDOWN(pairs[[#This Row],[ Az]],0),1)</f>
        <v>0</v>
      </c>
      <c r="H188" s="232">
        <f>ROUND(pairs[[#This Row],[ Back]]-ROUNDDOWN(pairs[[#This Row],[ Back]],0),1)</f>
        <v>0.9</v>
      </c>
      <c r="I188" s="232">
        <f>IF( OR( OR(pairs[[#This Row],[Az*]]=0, pairs[[#This Row],[Back*]]=0), OR(pairs[[#This Row],[Az*]]=1, pairs[[#This Row],[Back*]]=1)), 1, 0)</f>
        <v>1</v>
      </c>
      <c r="J188" s="232">
        <f>IF(OR(pairs[[#This Row],[Az*]]=0.5,pairs[[#This Row],[Back*]]=0.5),1,0)</f>
        <v>0</v>
      </c>
      <c r="K188" s="232"/>
      <c r="L188" s="232"/>
    </row>
    <row r="189" spans="1:12">
      <c r="A189" s="231" t="s">
        <v>125</v>
      </c>
      <c r="B189" s="231" t="s">
        <v>150</v>
      </c>
      <c r="C189" s="232"/>
      <c r="D189" s="232">
        <v>89.76</v>
      </c>
      <c r="E189" s="233">
        <v>7.0603689999999997</v>
      </c>
      <c r="F189" s="234">
        <f>pairs[[#This Row],[ Dist]]*5280</f>
        <v>37278.748319999999</v>
      </c>
      <c r="G189" s="232">
        <f>ROUND(pairs[[#This Row],[ Az]]-ROUNDDOWN(pairs[[#This Row],[ Az]],0),1)</f>
        <v>0</v>
      </c>
      <c r="H189" s="232">
        <f>ROUND(pairs[[#This Row],[ Back]]-ROUNDDOWN(pairs[[#This Row],[ Back]],0),1)</f>
        <v>0.8</v>
      </c>
      <c r="I189" s="232">
        <f>IF( OR( OR(pairs[[#This Row],[Az*]]=0, pairs[[#This Row],[Back*]]=0), OR(pairs[[#This Row],[Az*]]=1, pairs[[#This Row],[Back*]]=1)), 1, 0)</f>
        <v>1</v>
      </c>
      <c r="J189" s="232">
        <f>IF(OR(pairs[[#This Row],[Az*]]=0.5,pairs[[#This Row],[Back*]]=0.5),1,0)</f>
        <v>0</v>
      </c>
      <c r="K189" s="232"/>
      <c r="L189" s="232"/>
    </row>
    <row r="190" spans="1:12">
      <c r="A190" s="231" t="s">
        <v>125</v>
      </c>
      <c r="B190" s="231" t="s">
        <v>154</v>
      </c>
      <c r="C190" s="232"/>
      <c r="D190" s="232">
        <v>339.94</v>
      </c>
      <c r="E190" s="233">
        <v>3.1238999999999999E-2</v>
      </c>
      <c r="F190" s="234">
        <f>pairs[[#This Row],[ Dist]]*5280</f>
        <v>164.94192000000001</v>
      </c>
      <c r="G190" s="232">
        <f>ROUND(pairs[[#This Row],[ Az]]-ROUNDDOWN(pairs[[#This Row],[ Az]],0),1)</f>
        <v>0</v>
      </c>
      <c r="H190" s="232">
        <f>ROUND(pairs[[#This Row],[ Back]]-ROUNDDOWN(pairs[[#This Row],[ Back]],0),1)</f>
        <v>0.9</v>
      </c>
      <c r="I190" s="232">
        <f>IF( OR( OR(pairs[[#This Row],[Az*]]=0, pairs[[#This Row],[Back*]]=0), OR(pairs[[#This Row],[Az*]]=1, pairs[[#This Row],[Back*]]=1)), 1, 0)</f>
        <v>1</v>
      </c>
      <c r="J190" s="232">
        <f>IF(OR(pairs[[#This Row],[Az*]]=0.5,pairs[[#This Row],[Back*]]=0.5),1,0)</f>
        <v>0</v>
      </c>
      <c r="K190" s="232"/>
      <c r="L190" s="232"/>
    </row>
    <row r="191" spans="1:12">
      <c r="A191" s="231" t="s">
        <v>121</v>
      </c>
      <c r="B191" s="231" t="s">
        <v>156</v>
      </c>
      <c r="C191" s="232"/>
      <c r="D191" s="232">
        <v>359.9</v>
      </c>
      <c r="E191" s="233">
        <v>7.1053420000000003</v>
      </c>
      <c r="F191" s="234">
        <f>pairs[[#This Row],[ Dist]]*5280</f>
        <v>37516.205760000004</v>
      </c>
      <c r="G191" s="232">
        <f>ROUND(pairs[[#This Row],[ Az]]-ROUNDDOWN(pairs[[#This Row],[ Az]],0),1)</f>
        <v>0</v>
      </c>
      <c r="H191" s="232">
        <f>ROUND(pairs[[#This Row],[ Back]]-ROUNDDOWN(pairs[[#This Row],[ Back]],0),1)</f>
        <v>0.9</v>
      </c>
      <c r="I191" s="232">
        <f>IF( OR( OR(pairs[[#This Row],[Az*]]=0, pairs[[#This Row],[Back*]]=0), OR(pairs[[#This Row],[Az*]]=1, pairs[[#This Row],[Back*]]=1)), 1, 0)</f>
        <v>1</v>
      </c>
      <c r="J191" s="232">
        <f>IF(OR(pairs[[#This Row],[Az*]]=0.5,pairs[[#This Row],[Back*]]=0.5),1,0)</f>
        <v>0</v>
      </c>
      <c r="K191" s="232"/>
      <c r="L191" s="232"/>
    </row>
    <row r="192" spans="1:12">
      <c r="A192" s="231" t="s">
        <v>121</v>
      </c>
      <c r="B192" s="231" t="s">
        <v>163</v>
      </c>
      <c r="C192" s="232"/>
      <c r="D192" s="232">
        <v>315.16000000000003</v>
      </c>
      <c r="E192" s="233">
        <v>7.5423450000000001</v>
      </c>
      <c r="F192" s="234">
        <f>pairs[[#This Row],[ Dist]]*5280</f>
        <v>39823.581599999998</v>
      </c>
      <c r="G192" s="232">
        <f>ROUND(pairs[[#This Row],[ Az]]-ROUNDDOWN(pairs[[#This Row],[ Az]],0),1)</f>
        <v>0</v>
      </c>
      <c r="H192" s="232">
        <f>ROUND(pairs[[#This Row],[ Back]]-ROUNDDOWN(pairs[[#This Row],[ Back]],0),1)</f>
        <v>0.2</v>
      </c>
      <c r="I192" s="232">
        <f>IF( OR( OR(pairs[[#This Row],[Az*]]=0, pairs[[#This Row],[Back*]]=0), OR(pairs[[#This Row],[Az*]]=1, pairs[[#This Row],[Back*]]=1)), 1, 0)</f>
        <v>1</v>
      </c>
      <c r="J192" s="232">
        <f>IF(OR(pairs[[#This Row],[Az*]]=0.5,pairs[[#This Row],[Back*]]=0.5),1,0)</f>
        <v>0</v>
      </c>
      <c r="K192" s="232"/>
      <c r="L192" s="232"/>
    </row>
    <row r="193" spans="1:12">
      <c r="A193" s="231" t="s">
        <v>121</v>
      </c>
      <c r="B193" s="231" t="s">
        <v>143</v>
      </c>
      <c r="C193" s="232"/>
      <c r="D193" s="232">
        <v>346.41</v>
      </c>
      <c r="E193" s="233">
        <v>7.3350939999999998</v>
      </c>
      <c r="F193" s="234">
        <f>pairs[[#This Row],[ Dist]]*5280</f>
        <v>38729.296320000001</v>
      </c>
      <c r="G193" s="232">
        <f>ROUND(pairs[[#This Row],[ Az]]-ROUNDDOWN(pairs[[#This Row],[ Az]],0),1)</f>
        <v>0</v>
      </c>
      <c r="H193" s="232">
        <f>ROUND(pairs[[#This Row],[ Back]]-ROUNDDOWN(pairs[[#This Row],[ Back]],0),1)</f>
        <v>0.4</v>
      </c>
      <c r="I193" s="232">
        <f>IF( OR( OR(pairs[[#This Row],[Az*]]=0, pairs[[#This Row],[Back*]]=0), OR(pairs[[#This Row],[Az*]]=1, pairs[[#This Row],[Back*]]=1)), 1, 0)</f>
        <v>1</v>
      </c>
      <c r="J193" s="232">
        <f>IF(OR(pairs[[#This Row],[Az*]]=0.5,pairs[[#This Row],[Back*]]=0.5),1,0)</f>
        <v>0</v>
      </c>
      <c r="K193" s="232"/>
      <c r="L193" s="232"/>
    </row>
    <row r="194" spans="1:12">
      <c r="A194" s="231" t="s">
        <v>121</v>
      </c>
      <c r="B194" s="231" t="s">
        <v>151</v>
      </c>
      <c r="C194" s="232"/>
      <c r="D194" s="232">
        <v>315.2</v>
      </c>
      <c r="E194" s="233">
        <v>10.043956</v>
      </c>
      <c r="F194" s="234">
        <f>pairs[[#This Row],[ Dist]]*5280</f>
        <v>53032.087679999997</v>
      </c>
      <c r="G194" s="232">
        <f>ROUND(pairs[[#This Row],[ Az]]-ROUNDDOWN(pairs[[#This Row],[ Az]],0),1)</f>
        <v>0</v>
      </c>
      <c r="H194" s="232">
        <f>ROUND(pairs[[#This Row],[ Back]]-ROUNDDOWN(pairs[[#This Row],[ Back]],0),1)</f>
        <v>0.2</v>
      </c>
      <c r="I194" s="232">
        <f>IF( OR( OR(pairs[[#This Row],[Az*]]=0, pairs[[#This Row],[Back*]]=0), OR(pairs[[#This Row],[Az*]]=1, pairs[[#This Row],[Back*]]=1)), 1, 0)</f>
        <v>1</v>
      </c>
      <c r="J194" s="232">
        <f>IF(OR(pairs[[#This Row],[Az*]]=0.5,pairs[[#This Row],[Back*]]=0.5),1,0)</f>
        <v>0</v>
      </c>
      <c r="K194" s="232"/>
      <c r="L194" s="232"/>
    </row>
    <row r="195" spans="1:12">
      <c r="A195" s="231" t="s">
        <v>121</v>
      </c>
      <c r="B195" s="231" t="s">
        <v>155</v>
      </c>
      <c r="C195" s="232"/>
      <c r="D195" s="232">
        <v>359.87</v>
      </c>
      <c r="E195" s="233">
        <v>7.1270030000000002</v>
      </c>
      <c r="F195" s="234">
        <f>pairs[[#This Row],[ Dist]]*5280</f>
        <v>37630.575839999998</v>
      </c>
      <c r="G195" s="232">
        <f>ROUND(pairs[[#This Row],[ Az]]-ROUNDDOWN(pairs[[#This Row],[ Az]],0),1)</f>
        <v>0</v>
      </c>
      <c r="H195" s="232">
        <f>ROUND(pairs[[#This Row],[ Back]]-ROUNDDOWN(pairs[[#This Row],[ Back]],0),1)</f>
        <v>0.9</v>
      </c>
      <c r="I195" s="232">
        <f>IF( OR( OR(pairs[[#This Row],[Az*]]=0, pairs[[#This Row],[Back*]]=0), OR(pairs[[#This Row],[Az*]]=1, pairs[[#This Row],[Back*]]=1)), 1, 0)</f>
        <v>1</v>
      </c>
      <c r="J195" s="232">
        <f>IF(OR(pairs[[#This Row],[Az*]]=0.5,pairs[[#This Row],[Back*]]=0.5),1,0)</f>
        <v>0</v>
      </c>
      <c r="K195" s="232"/>
      <c r="L195" s="232"/>
    </row>
    <row r="196" spans="1:12">
      <c r="A196" s="231" t="s">
        <v>121</v>
      </c>
      <c r="B196" s="231" t="s">
        <v>158</v>
      </c>
      <c r="C196" s="232"/>
      <c r="D196" s="232">
        <v>346.62</v>
      </c>
      <c r="E196" s="233">
        <v>7.5921849999999997</v>
      </c>
      <c r="F196" s="234">
        <f>pairs[[#This Row],[ Dist]]*5280</f>
        <v>40086.736799999999</v>
      </c>
      <c r="G196" s="232">
        <f>ROUND(pairs[[#This Row],[ Az]]-ROUNDDOWN(pairs[[#This Row],[ Az]],0),1)</f>
        <v>0</v>
      </c>
      <c r="H196" s="232">
        <f>ROUND(pairs[[#This Row],[ Back]]-ROUNDDOWN(pairs[[#This Row],[ Back]],0),1)</f>
        <v>0.6</v>
      </c>
      <c r="I196" s="232">
        <f>IF( OR( OR(pairs[[#This Row],[Az*]]=0, pairs[[#This Row],[Back*]]=0), OR(pairs[[#This Row],[Az*]]=1, pairs[[#This Row],[Back*]]=1)), 1, 0)</f>
        <v>1</v>
      </c>
      <c r="J196" s="232">
        <f>IF(OR(pairs[[#This Row],[Az*]]=0.5,pairs[[#This Row],[Back*]]=0.5),1,0)</f>
        <v>0</v>
      </c>
      <c r="K196" s="232"/>
      <c r="L196" s="232"/>
    </row>
    <row r="197" spans="1:12">
      <c r="A197" s="231" t="s">
        <v>121</v>
      </c>
      <c r="B197" s="231" t="s">
        <v>159</v>
      </c>
      <c r="C197" s="232"/>
      <c r="D197" s="232">
        <v>4.22</v>
      </c>
      <c r="E197" s="233">
        <v>7.1700010000000001</v>
      </c>
      <c r="F197" s="234">
        <f>pairs[[#This Row],[ Dist]]*5280</f>
        <v>37857.605280000003</v>
      </c>
      <c r="G197" s="232">
        <f>ROUND(pairs[[#This Row],[ Az]]-ROUNDDOWN(pairs[[#This Row],[ Az]],0),1)</f>
        <v>0</v>
      </c>
      <c r="H197" s="232">
        <f>ROUND(pairs[[#This Row],[ Back]]-ROUNDDOWN(pairs[[#This Row],[ Back]],0),1)</f>
        <v>0.2</v>
      </c>
      <c r="I197" s="232">
        <f>IF( OR( OR(pairs[[#This Row],[Az*]]=0, pairs[[#This Row],[Back*]]=0), OR(pairs[[#This Row],[Az*]]=1, pairs[[#This Row],[Back*]]=1)), 1, 0)</f>
        <v>1</v>
      </c>
      <c r="J197" s="232">
        <f>IF(OR(pairs[[#This Row],[Az*]]=0.5,pairs[[#This Row],[Back*]]=0.5),1,0)</f>
        <v>0</v>
      </c>
      <c r="K197" s="232"/>
      <c r="L197" s="232"/>
    </row>
    <row r="198" spans="1:12">
      <c r="A198" s="231" t="s">
        <v>121</v>
      </c>
      <c r="B198" s="231" t="s">
        <v>160</v>
      </c>
      <c r="C198" s="232"/>
      <c r="D198" s="232">
        <v>357.26</v>
      </c>
      <c r="E198" s="233">
        <v>6.8277349999999997</v>
      </c>
      <c r="F198" s="234">
        <f>pairs[[#This Row],[ Dist]]*5280</f>
        <v>36050.440799999997</v>
      </c>
      <c r="G198" s="232">
        <f>ROUND(pairs[[#This Row],[ Az]]-ROUNDDOWN(pairs[[#This Row],[ Az]],0),1)</f>
        <v>0</v>
      </c>
      <c r="H198" s="232">
        <f>ROUND(pairs[[#This Row],[ Back]]-ROUNDDOWN(pairs[[#This Row],[ Back]],0),1)</f>
        <v>0.3</v>
      </c>
      <c r="I198" s="232">
        <f>IF( OR( OR(pairs[[#This Row],[Az*]]=0, pairs[[#This Row],[Back*]]=0), OR(pairs[[#This Row],[Az*]]=1, pairs[[#This Row],[Back*]]=1)), 1, 0)</f>
        <v>1</v>
      </c>
      <c r="J198" s="232">
        <f>IF(OR(pairs[[#This Row],[Az*]]=0.5,pairs[[#This Row],[Back*]]=0.5),1,0)</f>
        <v>0</v>
      </c>
      <c r="K198" s="232"/>
      <c r="L198" s="232"/>
    </row>
    <row r="199" spans="1:12">
      <c r="A199" s="231" t="s">
        <v>121</v>
      </c>
      <c r="B199" s="231" t="s">
        <v>146</v>
      </c>
      <c r="C199" s="232"/>
      <c r="D199" s="232">
        <v>4.6100000000000003</v>
      </c>
      <c r="E199" s="233">
        <v>6.9872820000000004</v>
      </c>
      <c r="F199" s="234">
        <f>pairs[[#This Row],[ Dist]]*5280</f>
        <v>36892.848960000003</v>
      </c>
      <c r="G199" s="232">
        <f>ROUND(pairs[[#This Row],[ Az]]-ROUNDDOWN(pairs[[#This Row],[ Az]],0),1)</f>
        <v>0</v>
      </c>
      <c r="H199" s="232">
        <f>ROUND(pairs[[#This Row],[ Back]]-ROUNDDOWN(pairs[[#This Row],[ Back]],0),1)</f>
        <v>0.6</v>
      </c>
      <c r="I199" s="232">
        <f>IF( OR( OR(pairs[[#This Row],[Az*]]=0, pairs[[#This Row],[Back*]]=0), OR(pairs[[#This Row],[Az*]]=1, pairs[[#This Row],[Back*]]=1)), 1, 0)</f>
        <v>1</v>
      </c>
      <c r="J199" s="232">
        <f>IF(OR(pairs[[#This Row],[Az*]]=0.5,pairs[[#This Row],[Back*]]=0.5),1,0)</f>
        <v>0</v>
      </c>
      <c r="K199" s="232"/>
      <c r="L199" s="232"/>
    </row>
    <row r="200" spans="1:12">
      <c r="A200" s="231" t="s">
        <v>121</v>
      </c>
      <c r="B200" s="231" t="s">
        <v>145</v>
      </c>
      <c r="C200" s="232"/>
      <c r="D200" s="232">
        <v>358.15</v>
      </c>
      <c r="E200" s="233">
        <v>7.3370540000000002</v>
      </c>
      <c r="F200" s="234">
        <f>pairs[[#This Row],[ Dist]]*5280</f>
        <v>38739.645120000001</v>
      </c>
      <c r="G200" s="232">
        <f>ROUND(pairs[[#This Row],[ Az]]-ROUNDDOWN(pairs[[#This Row],[ Az]],0),1)</f>
        <v>0</v>
      </c>
      <c r="H200" s="232">
        <f>ROUND(pairs[[#This Row],[ Back]]-ROUNDDOWN(pairs[[#This Row],[ Back]],0),1)</f>
        <v>0.1</v>
      </c>
      <c r="I200" s="232">
        <f>IF( OR( OR(pairs[[#This Row],[Az*]]=0, pairs[[#This Row],[Back*]]=0), OR(pairs[[#This Row],[Az*]]=1, pairs[[#This Row],[Back*]]=1)), 1, 0)</f>
        <v>1</v>
      </c>
      <c r="J200" s="232">
        <f>IF(OR(pairs[[#This Row],[Az*]]=0.5,pairs[[#This Row],[Back*]]=0.5),1,0)</f>
        <v>0</v>
      </c>
      <c r="K200" s="232"/>
      <c r="L200" s="232"/>
    </row>
    <row r="201" spans="1:12" ht="14.1">
      <c r="A201" s="206" t="s">
        <v>121</v>
      </c>
      <c r="B201" s="206" t="s">
        <v>164</v>
      </c>
      <c r="C201" s="235"/>
      <c r="D201" s="235">
        <v>4.5</v>
      </c>
      <c r="E201" s="236">
        <v>7.1515589999999998</v>
      </c>
      <c r="F201" s="237">
        <f>pairs[[#This Row],[ Dist]]*5280</f>
        <v>37760.231520000001</v>
      </c>
      <c r="G201" s="235">
        <f>ROUND(pairs[[#This Row],[ Az]]-ROUNDDOWN(pairs[[#This Row],[ Az]],0),1)</f>
        <v>0</v>
      </c>
      <c r="H201" s="235">
        <f>ROUND(pairs[[#This Row],[ Back]]-ROUNDDOWN(pairs[[#This Row],[ Back]],0),1)</f>
        <v>0.5</v>
      </c>
      <c r="I201" s="235">
        <f>IF( OR( OR(pairs[[#This Row],[Az*]]=0, pairs[[#This Row],[Back*]]=0), OR(pairs[[#This Row],[Az*]]=1, pairs[[#This Row],[Back*]]=1)), 1, 0)</f>
        <v>1</v>
      </c>
      <c r="J201" s="235">
        <f>IF(OR(pairs[[#This Row],[Az*]]=0.5,pairs[[#This Row],[Back*]]=0.5),1,0)</f>
        <v>1</v>
      </c>
      <c r="K201" s="232"/>
      <c r="L201" s="232"/>
    </row>
    <row r="202" spans="1:12">
      <c r="A202" s="231" t="s">
        <v>121</v>
      </c>
      <c r="B202" s="231" t="s">
        <v>144</v>
      </c>
      <c r="C202" s="232"/>
      <c r="D202" s="232">
        <v>357.6</v>
      </c>
      <c r="E202" s="233">
        <v>7.3644819999999998</v>
      </c>
      <c r="F202" s="234">
        <f>pairs[[#This Row],[ Dist]]*5280</f>
        <v>38884.464959999998</v>
      </c>
      <c r="G202" s="232">
        <f>ROUND(pairs[[#This Row],[ Az]]-ROUNDDOWN(pairs[[#This Row],[ Az]],0),1)</f>
        <v>0</v>
      </c>
      <c r="H202" s="232">
        <f>ROUND(pairs[[#This Row],[ Back]]-ROUNDDOWN(pairs[[#This Row],[ Back]],0),1)</f>
        <v>0.6</v>
      </c>
      <c r="I202" s="232">
        <f>IF( OR( OR(pairs[[#This Row],[Az*]]=0, pairs[[#This Row],[Back*]]=0), OR(pairs[[#This Row],[Az*]]=1, pairs[[#This Row],[Back*]]=1)), 1, 0)</f>
        <v>1</v>
      </c>
      <c r="J202" s="232">
        <f>IF(OR(pairs[[#This Row],[Az*]]=0.5,pairs[[#This Row],[Back*]]=0.5),1,0)</f>
        <v>0</v>
      </c>
      <c r="K202" s="232"/>
      <c r="L202" s="232"/>
    </row>
    <row r="203" spans="1:12" ht="14.1">
      <c r="A203" s="23" t="s">
        <v>121</v>
      </c>
      <c r="B203" s="23" t="s">
        <v>152</v>
      </c>
      <c r="C203" s="229"/>
      <c r="D203" s="229">
        <v>0</v>
      </c>
      <c r="E203" s="25">
        <v>7.0710680000000004</v>
      </c>
      <c r="F203" s="230">
        <f>pairs[[#This Row],[ Dist]]*5280</f>
        <v>37335.23904</v>
      </c>
      <c r="G203" s="232">
        <f>ROUND(pairs[[#This Row],[ Az]]-ROUNDDOWN(pairs[[#This Row],[ Az]],0),1)</f>
        <v>0</v>
      </c>
      <c r="H203" s="232">
        <f>ROUND(pairs[[#This Row],[ Back]]-ROUNDDOWN(pairs[[#This Row],[ Back]],0),1)</f>
        <v>0</v>
      </c>
      <c r="I203" s="232">
        <f>IF( OR( OR(pairs[[#This Row],[Az*]]=0, pairs[[#This Row],[Back*]]=0), OR(pairs[[#This Row],[Az*]]=1, pairs[[#This Row],[Back*]]=1)), 1, 0)</f>
        <v>1</v>
      </c>
      <c r="J203" s="232">
        <f>IF(OR(pairs[[#This Row],[Az*]]=0.5,pairs[[#This Row],[Back*]]=0.5),1,0)</f>
        <v>0</v>
      </c>
      <c r="K203" s="232"/>
      <c r="L203" s="232"/>
    </row>
    <row r="204" spans="1:12">
      <c r="A204" s="231" t="s">
        <v>121</v>
      </c>
      <c r="B204" s="231" t="s">
        <v>147</v>
      </c>
      <c r="C204" s="232"/>
      <c r="D204" s="232">
        <v>5.33</v>
      </c>
      <c r="E204" s="233">
        <v>8.6679379999999995</v>
      </c>
      <c r="F204" s="234">
        <f>pairs[[#This Row],[ Dist]]*5280</f>
        <v>45766.712639999998</v>
      </c>
      <c r="G204" s="232">
        <f>ROUND(pairs[[#This Row],[ Az]]-ROUNDDOWN(pairs[[#This Row],[ Az]],0),1)</f>
        <v>0</v>
      </c>
      <c r="H204" s="232">
        <f>ROUND(pairs[[#This Row],[ Back]]-ROUNDDOWN(pairs[[#This Row],[ Back]],0),1)</f>
        <v>0.3</v>
      </c>
      <c r="I204" s="232">
        <f>IF( OR( OR(pairs[[#This Row],[Az*]]=0, pairs[[#This Row],[Back*]]=0), OR(pairs[[#This Row],[Az*]]=1, pairs[[#This Row],[Back*]]=1)), 1, 0)</f>
        <v>1</v>
      </c>
      <c r="J204" s="232">
        <f>IF(OR(pairs[[#This Row],[Az*]]=0.5,pairs[[#This Row],[Back*]]=0.5),1,0)</f>
        <v>0</v>
      </c>
      <c r="K204" s="232"/>
      <c r="L204" s="232"/>
    </row>
    <row r="205" spans="1:12" ht="14.1">
      <c r="A205" s="23" t="s">
        <v>121</v>
      </c>
      <c r="B205" s="23" t="s">
        <v>161</v>
      </c>
      <c r="C205" s="229"/>
      <c r="D205" s="229">
        <v>44.93</v>
      </c>
      <c r="E205" s="25">
        <v>6.0000739999999997</v>
      </c>
      <c r="F205" s="230">
        <f>pairs[[#This Row],[ Dist]]*5280</f>
        <v>31680.390719999999</v>
      </c>
      <c r="G205" s="232">
        <f>ROUND(pairs[[#This Row],[ Az]]-ROUNDDOWN(pairs[[#This Row],[ Az]],0),1)</f>
        <v>0</v>
      </c>
      <c r="H205" s="232">
        <f>ROUND(pairs[[#This Row],[ Back]]-ROUNDDOWN(pairs[[#This Row],[ Back]],0),1)</f>
        <v>0.9</v>
      </c>
      <c r="I205" s="232">
        <f>IF( OR( OR(pairs[[#This Row],[Az*]]=0, pairs[[#This Row],[Back*]]=0), OR(pairs[[#This Row],[Az*]]=1, pairs[[#This Row],[Back*]]=1)), 1, 0)</f>
        <v>1</v>
      </c>
      <c r="J205" s="232">
        <f>IF(OR(pairs[[#This Row],[Az*]]=0.5,pairs[[#This Row],[Back*]]=0.5),1,0)</f>
        <v>0</v>
      </c>
      <c r="K205" s="232"/>
      <c r="L205" s="232"/>
    </row>
    <row r="206" spans="1:12">
      <c r="A206" s="231" t="s">
        <v>121</v>
      </c>
      <c r="B206" s="231" t="s">
        <v>162</v>
      </c>
      <c r="C206" s="232"/>
      <c r="D206" s="232">
        <v>43.87</v>
      </c>
      <c r="E206" s="233">
        <v>0.83173699999999995</v>
      </c>
      <c r="F206" s="234">
        <f>pairs[[#This Row],[ Dist]]*5280</f>
        <v>4391.5713599999999</v>
      </c>
      <c r="G206" s="232">
        <f>ROUND(pairs[[#This Row],[ Az]]-ROUNDDOWN(pairs[[#This Row],[ Az]],0),1)</f>
        <v>0</v>
      </c>
      <c r="H206" s="232">
        <f>ROUND(pairs[[#This Row],[ Back]]-ROUNDDOWN(pairs[[#This Row],[ Back]],0),1)</f>
        <v>0.9</v>
      </c>
      <c r="I206" s="232">
        <f>IF( OR( OR(pairs[[#This Row],[Az*]]=0, pairs[[#This Row],[Back*]]=0), OR(pairs[[#This Row],[Az*]]=1, pairs[[#This Row],[Back*]]=1)), 1, 0)</f>
        <v>1</v>
      </c>
      <c r="J206" s="232">
        <f>IF(OR(pairs[[#This Row],[Az*]]=0.5,pairs[[#This Row],[Back*]]=0.5),1,0)</f>
        <v>0</v>
      </c>
      <c r="K206" s="232"/>
      <c r="L206" s="232"/>
    </row>
    <row r="207" spans="1:12" ht="14.1">
      <c r="A207" s="206" t="s">
        <v>121</v>
      </c>
      <c r="B207" s="206" t="s">
        <v>157</v>
      </c>
      <c r="C207" s="235"/>
      <c r="D207" s="235">
        <v>354.51</v>
      </c>
      <c r="E207" s="236">
        <v>9.7727319999999995</v>
      </c>
      <c r="F207" s="237">
        <f>pairs[[#This Row],[ Dist]]*5280</f>
        <v>51600.024959999995</v>
      </c>
      <c r="G207" s="235">
        <f>ROUND(pairs[[#This Row],[ Az]]-ROUNDDOWN(pairs[[#This Row],[ Az]],0),1)</f>
        <v>0</v>
      </c>
      <c r="H207" s="235">
        <f>ROUND(pairs[[#This Row],[ Back]]-ROUNDDOWN(pairs[[#This Row],[ Back]],0),1)</f>
        <v>0.5</v>
      </c>
      <c r="I207" s="235">
        <f>IF( OR( OR(pairs[[#This Row],[Az*]]=0, pairs[[#This Row],[Back*]]=0), OR(pairs[[#This Row],[Az*]]=1, pairs[[#This Row],[Back*]]=1)), 1, 0)</f>
        <v>1</v>
      </c>
      <c r="J207" s="235">
        <f>IF(OR(pairs[[#This Row],[Az*]]=0.5,pairs[[#This Row],[Back*]]=0.5),1,0)</f>
        <v>1</v>
      </c>
      <c r="K207" s="232"/>
      <c r="L207" s="232"/>
    </row>
    <row r="208" spans="1:12">
      <c r="A208" s="231" t="s">
        <v>121</v>
      </c>
      <c r="B208" s="231" t="s">
        <v>149</v>
      </c>
      <c r="C208" s="232"/>
      <c r="D208" s="232">
        <v>359.91</v>
      </c>
      <c r="E208" s="233">
        <v>14.204091</v>
      </c>
      <c r="F208" s="234">
        <f>pairs[[#This Row],[ Dist]]*5280</f>
        <v>74997.600479999994</v>
      </c>
      <c r="G208" s="232">
        <f>ROUND(pairs[[#This Row],[ Az]]-ROUNDDOWN(pairs[[#This Row],[ Az]],0),1)</f>
        <v>0</v>
      </c>
      <c r="H208" s="232">
        <f>ROUND(pairs[[#This Row],[ Back]]-ROUNDDOWN(pairs[[#This Row],[ Back]],0),1)</f>
        <v>0.9</v>
      </c>
      <c r="I208" s="232">
        <f>IF( OR( OR(pairs[[#This Row],[Az*]]=0, pairs[[#This Row],[Back*]]=0), OR(pairs[[#This Row],[Az*]]=1, pairs[[#This Row],[Back*]]=1)), 1, 0)</f>
        <v>1</v>
      </c>
      <c r="J208" s="232">
        <f>IF(OR(pairs[[#This Row],[Az*]]=0.5,pairs[[#This Row],[Back*]]=0.5),1,0)</f>
        <v>0</v>
      </c>
      <c r="K208" s="232"/>
      <c r="L208" s="232"/>
    </row>
    <row r="209" spans="1:12">
      <c r="A209" s="231" t="s">
        <v>121</v>
      </c>
      <c r="B209" s="231" t="s">
        <v>153</v>
      </c>
      <c r="C209" s="232"/>
      <c r="D209" s="232">
        <v>359.83</v>
      </c>
      <c r="E209" s="233">
        <v>7.1330390000000001</v>
      </c>
      <c r="F209" s="234">
        <f>pairs[[#This Row],[ Dist]]*5280</f>
        <v>37662.445919999998</v>
      </c>
      <c r="G209" s="232">
        <f>ROUND(pairs[[#This Row],[ Az]]-ROUNDDOWN(pairs[[#This Row],[ Az]],0),1)</f>
        <v>0</v>
      </c>
      <c r="H209" s="232">
        <f>ROUND(pairs[[#This Row],[ Back]]-ROUNDDOWN(pairs[[#This Row],[ Back]],0),1)</f>
        <v>0.8</v>
      </c>
      <c r="I209" s="232">
        <f>IF( OR( OR(pairs[[#This Row],[Az*]]=0, pairs[[#This Row],[Back*]]=0), OR(pairs[[#This Row],[Az*]]=1, pairs[[#This Row],[Back*]]=1)), 1, 0)</f>
        <v>1</v>
      </c>
      <c r="J209" s="232">
        <f>IF(OR(pairs[[#This Row],[Az*]]=0.5,pairs[[#This Row],[Back*]]=0.5),1,0)</f>
        <v>0</v>
      </c>
      <c r="K209" s="232"/>
      <c r="L209" s="232"/>
    </row>
    <row r="210" spans="1:12">
      <c r="A210" s="231" t="s">
        <v>121</v>
      </c>
      <c r="B210" s="231" t="s">
        <v>150</v>
      </c>
      <c r="C210" s="232"/>
      <c r="D210" s="232">
        <v>44.8</v>
      </c>
      <c r="E210" s="233">
        <v>10.005990000000001</v>
      </c>
      <c r="F210" s="234">
        <f>pairs[[#This Row],[ Dist]]*5280</f>
        <v>52831.627200000003</v>
      </c>
      <c r="G210" s="232">
        <f>ROUND(pairs[[#This Row],[ Az]]-ROUNDDOWN(pairs[[#This Row],[ Az]],0),1)</f>
        <v>0</v>
      </c>
      <c r="H210" s="232">
        <f>ROUND(pairs[[#This Row],[ Back]]-ROUNDDOWN(pairs[[#This Row],[ Back]],0),1)</f>
        <v>0.8</v>
      </c>
      <c r="I210" s="232">
        <f>IF( OR( OR(pairs[[#This Row],[Az*]]=0, pairs[[#This Row],[Back*]]=0), OR(pairs[[#This Row],[Az*]]=1, pairs[[#This Row],[Back*]]=1)), 1, 0)</f>
        <v>1</v>
      </c>
      <c r="J210" s="232">
        <f>IF(OR(pairs[[#This Row],[Az*]]=0.5,pairs[[#This Row],[Back*]]=0.5),1,0)</f>
        <v>0</v>
      </c>
      <c r="K210" s="232"/>
      <c r="L210" s="232"/>
    </row>
    <row r="211" spans="1:12">
      <c r="A211" s="231" t="s">
        <v>121</v>
      </c>
      <c r="B211" s="231" t="s">
        <v>154</v>
      </c>
      <c r="C211" s="232"/>
      <c r="D211" s="232">
        <v>359.91</v>
      </c>
      <c r="E211" s="233">
        <v>7.1004189999999996</v>
      </c>
      <c r="F211" s="234">
        <f>pairs[[#This Row],[ Dist]]*5280</f>
        <v>37490.212319999999</v>
      </c>
      <c r="G211" s="232">
        <f>ROUND(pairs[[#This Row],[ Az]]-ROUNDDOWN(pairs[[#This Row],[ Az]],0),1)</f>
        <v>0</v>
      </c>
      <c r="H211" s="232">
        <f>ROUND(pairs[[#This Row],[ Back]]-ROUNDDOWN(pairs[[#This Row],[ Back]],0),1)</f>
        <v>0.9</v>
      </c>
      <c r="I211" s="232">
        <f>IF( OR( OR(pairs[[#This Row],[Az*]]=0, pairs[[#This Row],[Back*]]=0), OR(pairs[[#This Row],[Az*]]=1, pairs[[#This Row],[Back*]]=1)), 1, 0)</f>
        <v>1</v>
      </c>
      <c r="J211" s="232">
        <f>IF(OR(pairs[[#This Row],[Az*]]=0.5,pairs[[#This Row],[Back*]]=0.5),1,0)</f>
        <v>0</v>
      </c>
      <c r="K211" s="232"/>
      <c r="L211" s="232"/>
    </row>
    <row r="212" spans="1:12" ht="14.1">
      <c r="A212" s="206" t="s">
        <v>100</v>
      </c>
      <c r="B212" s="206" t="s">
        <v>156</v>
      </c>
      <c r="C212" s="235"/>
      <c r="D212" s="235">
        <v>130.47</v>
      </c>
      <c r="E212" s="236">
        <v>0.389297</v>
      </c>
      <c r="F212" s="237">
        <f>pairs[[#This Row],[ Dist]]*5280</f>
        <v>2055.4881599999999</v>
      </c>
      <c r="G212" s="235">
        <f>ROUND(pairs[[#This Row],[ Az]]-ROUNDDOWN(pairs[[#This Row],[ Az]],0),1)</f>
        <v>0</v>
      </c>
      <c r="H212" s="235">
        <f>ROUND(pairs[[#This Row],[ Back]]-ROUNDDOWN(pairs[[#This Row],[ Back]],0),1)</f>
        <v>0.5</v>
      </c>
      <c r="I212" s="235">
        <f>IF( OR( OR(pairs[[#This Row],[Az*]]=0, pairs[[#This Row],[Back*]]=0), OR(pairs[[#This Row],[Az*]]=1, pairs[[#This Row],[Back*]]=1)), 1, 0)</f>
        <v>1</v>
      </c>
      <c r="J212" s="235">
        <f>IF(OR(pairs[[#This Row],[Az*]]=0.5,pairs[[#This Row],[Back*]]=0.5),1,0)</f>
        <v>1</v>
      </c>
      <c r="K212" s="232"/>
      <c r="L212" s="232"/>
    </row>
    <row r="213" spans="1:12">
      <c r="A213" s="231" t="s">
        <v>100</v>
      </c>
      <c r="B213" s="231" t="s">
        <v>163</v>
      </c>
      <c r="C213" s="232"/>
      <c r="D213" s="232">
        <v>248.17</v>
      </c>
      <c r="E213" s="233">
        <v>5.4060370000000004</v>
      </c>
      <c r="F213" s="234">
        <f>pairs[[#This Row],[ Dist]]*5280</f>
        <v>28543.875360000002</v>
      </c>
      <c r="G213" s="232">
        <f>ROUND(pairs[[#This Row],[ Az]]-ROUNDDOWN(pairs[[#This Row],[ Az]],0),1)</f>
        <v>0</v>
      </c>
      <c r="H213" s="232">
        <f>ROUND(pairs[[#This Row],[ Back]]-ROUNDDOWN(pairs[[#This Row],[ Back]],0),1)</f>
        <v>0.2</v>
      </c>
      <c r="I213" s="232">
        <f>IF( OR( OR(pairs[[#This Row],[Az*]]=0, pairs[[#This Row],[Back*]]=0), OR(pairs[[#This Row],[Az*]]=1, pairs[[#This Row],[Back*]]=1)), 1, 0)</f>
        <v>1</v>
      </c>
      <c r="J213" s="232">
        <f>IF(OR(pairs[[#This Row],[Az*]]=0.5,pairs[[#This Row],[Back*]]=0.5),1,0)</f>
        <v>0</v>
      </c>
      <c r="K213" s="232"/>
      <c r="L213" s="232"/>
    </row>
    <row r="214" spans="1:12">
      <c r="A214" s="231" t="s">
        <v>100</v>
      </c>
      <c r="B214" s="231" t="s">
        <v>143</v>
      </c>
      <c r="C214" s="232"/>
      <c r="D214" s="232">
        <v>260.85000000000002</v>
      </c>
      <c r="E214" s="233">
        <v>1.436008</v>
      </c>
      <c r="F214" s="234">
        <f>pairs[[#This Row],[ Dist]]*5280</f>
        <v>7582.1222399999997</v>
      </c>
      <c r="G214" s="232">
        <f>ROUND(pairs[[#This Row],[ Az]]-ROUNDDOWN(pairs[[#This Row],[ Az]],0),1)</f>
        <v>0</v>
      </c>
      <c r="H214" s="232">
        <f>ROUND(pairs[[#This Row],[ Back]]-ROUNDDOWN(pairs[[#This Row],[ Back]],0),1)</f>
        <v>0.9</v>
      </c>
      <c r="I214" s="232">
        <f>IF( OR( OR(pairs[[#This Row],[Az*]]=0, pairs[[#This Row],[Back*]]=0), OR(pairs[[#This Row],[Az*]]=1, pairs[[#This Row],[Back*]]=1)), 1, 0)</f>
        <v>1</v>
      </c>
      <c r="J214" s="232">
        <f>IF(OR(pairs[[#This Row],[Az*]]=0.5,pairs[[#This Row],[Back*]]=0.5),1,0)</f>
        <v>0</v>
      </c>
      <c r="K214" s="232"/>
      <c r="L214" s="232"/>
    </row>
    <row r="215" spans="1:12" ht="14.1">
      <c r="A215" s="23" t="s">
        <v>100</v>
      </c>
      <c r="B215" s="23" t="s">
        <v>151</v>
      </c>
      <c r="C215" s="229"/>
      <c r="D215" s="229">
        <v>268.04000000000002</v>
      </c>
      <c r="E215" s="25">
        <v>6.7835080000000003</v>
      </c>
      <c r="F215" s="230">
        <f>pairs[[#This Row],[ Dist]]*5280</f>
        <v>35816.92224</v>
      </c>
      <c r="G215" s="232">
        <f>ROUND(pairs[[#This Row],[ Az]]-ROUNDDOWN(pairs[[#This Row],[ Az]],0),1)</f>
        <v>0</v>
      </c>
      <c r="H215" s="232">
        <f>ROUND(pairs[[#This Row],[ Back]]-ROUNDDOWN(pairs[[#This Row],[ Back]],0),1)</f>
        <v>0</v>
      </c>
      <c r="I215" s="232">
        <f>IF( OR( OR(pairs[[#This Row],[Az*]]=0, pairs[[#This Row],[Back*]]=0), OR(pairs[[#This Row],[Az*]]=1, pairs[[#This Row],[Back*]]=1)), 1, 0)</f>
        <v>1</v>
      </c>
      <c r="J215" s="232">
        <f>IF(OR(pairs[[#This Row],[Az*]]=0.5,pairs[[#This Row],[Back*]]=0.5),1,0)</f>
        <v>0</v>
      </c>
      <c r="K215" s="232"/>
      <c r="L215" s="232"/>
    </row>
    <row r="216" spans="1:12">
      <c r="A216" s="231" t="s">
        <v>100</v>
      </c>
      <c r="B216" s="231" t="s">
        <v>155</v>
      </c>
      <c r="C216" s="232"/>
      <c r="D216" s="232">
        <v>128.37</v>
      </c>
      <c r="E216" s="233">
        <v>0.372228</v>
      </c>
      <c r="F216" s="234">
        <f>pairs[[#This Row],[ Dist]]*5280</f>
        <v>1965.36384</v>
      </c>
      <c r="G216" s="232">
        <f>ROUND(pairs[[#This Row],[ Az]]-ROUNDDOWN(pairs[[#This Row],[ Az]],0),1)</f>
        <v>0</v>
      </c>
      <c r="H216" s="232">
        <f>ROUND(pairs[[#This Row],[ Back]]-ROUNDDOWN(pairs[[#This Row],[ Back]],0),1)</f>
        <v>0.4</v>
      </c>
      <c r="I216" s="232">
        <f>IF( OR( OR(pairs[[#This Row],[Az*]]=0, pairs[[#This Row],[Back*]]=0), OR(pairs[[#This Row],[Az*]]=1, pairs[[#This Row],[Back*]]=1)), 1, 0)</f>
        <v>1</v>
      </c>
      <c r="J216" s="232">
        <f>IF(OR(pairs[[#This Row],[Az*]]=0.5,pairs[[#This Row],[Back*]]=0.5),1,0)</f>
        <v>0</v>
      </c>
      <c r="K216" s="232"/>
      <c r="L216" s="232"/>
    </row>
    <row r="217" spans="1:12">
      <c r="A217" s="231" t="s">
        <v>100</v>
      </c>
      <c r="B217" s="231" t="s">
        <v>158</v>
      </c>
      <c r="C217" s="232"/>
      <c r="D217" s="232">
        <v>271.10000000000002</v>
      </c>
      <c r="E217" s="233">
        <v>1.4514879999999999</v>
      </c>
      <c r="F217" s="234">
        <f>pairs[[#This Row],[ Dist]]*5280</f>
        <v>7663.8566399999991</v>
      </c>
      <c r="G217" s="232">
        <f>ROUND(pairs[[#This Row],[ Az]]-ROUNDDOWN(pairs[[#This Row],[ Az]],0),1)</f>
        <v>0</v>
      </c>
      <c r="H217" s="232">
        <f>ROUND(pairs[[#This Row],[ Back]]-ROUNDDOWN(pairs[[#This Row],[ Back]],0),1)</f>
        <v>0.1</v>
      </c>
      <c r="I217" s="232">
        <f>IF( OR( OR(pairs[[#This Row],[Az*]]=0, pairs[[#This Row],[Back*]]=0), OR(pairs[[#This Row],[Az*]]=1, pairs[[#This Row],[Back*]]=1)), 1, 0)</f>
        <v>1</v>
      </c>
      <c r="J217" s="232">
        <f>IF(OR(pairs[[#This Row],[Az*]]=0.5,pairs[[#This Row],[Back*]]=0.5),1,0)</f>
        <v>0</v>
      </c>
      <c r="K217" s="232"/>
      <c r="L217" s="232"/>
    </row>
    <row r="218" spans="1:12">
      <c r="A218" s="231" t="s">
        <v>100</v>
      </c>
      <c r="B218" s="231" t="s">
        <v>159</v>
      </c>
      <c r="C218" s="232"/>
      <c r="D218" s="232">
        <v>103.93</v>
      </c>
      <c r="E218" s="233">
        <v>0.86165899999999995</v>
      </c>
      <c r="F218" s="234">
        <f>pairs[[#This Row],[ Dist]]*5280</f>
        <v>4549.5595199999998</v>
      </c>
      <c r="G218" s="232">
        <f>ROUND(pairs[[#This Row],[ Az]]-ROUNDDOWN(pairs[[#This Row],[ Az]],0),1)</f>
        <v>0</v>
      </c>
      <c r="H218" s="232">
        <f>ROUND(pairs[[#This Row],[ Back]]-ROUNDDOWN(pairs[[#This Row],[ Back]],0),1)</f>
        <v>0.9</v>
      </c>
      <c r="I218" s="232">
        <f>IF( OR( OR(pairs[[#This Row],[Az*]]=0, pairs[[#This Row],[Back*]]=0), OR(pairs[[#This Row],[Az*]]=1, pairs[[#This Row],[Back*]]=1)), 1, 0)</f>
        <v>1</v>
      </c>
      <c r="J218" s="232">
        <f>IF(OR(pairs[[#This Row],[Az*]]=0.5,pairs[[#This Row],[Back*]]=0.5),1,0)</f>
        <v>0</v>
      </c>
      <c r="K218" s="232"/>
      <c r="L218" s="232"/>
    </row>
    <row r="219" spans="1:12" ht="14.1">
      <c r="A219" s="23" t="s">
        <v>100</v>
      </c>
      <c r="B219" s="23" t="s">
        <v>160</v>
      </c>
      <c r="C219" s="229"/>
      <c r="D219" s="229">
        <v>181.97</v>
      </c>
      <c r="E219" s="25">
        <v>0.53843099999999999</v>
      </c>
      <c r="F219" s="230">
        <f>pairs[[#This Row],[ Dist]]*5280</f>
        <v>2842.9156800000001</v>
      </c>
      <c r="G219" s="232">
        <f>ROUND(pairs[[#This Row],[ Az]]-ROUNDDOWN(pairs[[#This Row],[ Az]],0),1)</f>
        <v>0</v>
      </c>
      <c r="H219" s="232">
        <f>ROUND(pairs[[#This Row],[ Back]]-ROUNDDOWN(pairs[[#This Row],[ Back]],0),1)</f>
        <v>1</v>
      </c>
      <c r="I219" s="232">
        <f>IF( OR( OR(pairs[[#This Row],[Az*]]=0, pairs[[#This Row],[Back*]]=0), OR(pairs[[#This Row],[Az*]]=1, pairs[[#This Row],[Back*]]=1)), 1, 0)</f>
        <v>1</v>
      </c>
      <c r="J219" s="232">
        <f>IF(OR(pairs[[#This Row],[Az*]]=0.5,pairs[[#This Row],[Back*]]=0.5),1,0)</f>
        <v>0</v>
      </c>
      <c r="K219" s="232"/>
      <c r="L219" s="232"/>
    </row>
    <row r="220" spans="1:12">
      <c r="A220" s="231" t="s">
        <v>100</v>
      </c>
      <c r="B220" s="231" t="s">
        <v>146</v>
      </c>
      <c r="C220" s="232"/>
      <c r="D220" s="232">
        <v>114.31</v>
      </c>
      <c r="E220" s="233">
        <v>0.95534600000000003</v>
      </c>
      <c r="F220" s="234">
        <f>pairs[[#This Row],[ Dist]]*5280</f>
        <v>5044.2268800000002</v>
      </c>
      <c r="G220" s="232">
        <f>ROUND(pairs[[#This Row],[ Az]]-ROUNDDOWN(pairs[[#This Row],[ Az]],0),1)</f>
        <v>0</v>
      </c>
      <c r="H220" s="232">
        <f>ROUND(pairs[[#This Row],[ Back]]-ROUNDDOWN(pairs[[#This Row],[ Back]],0),1)</f>
        <v>0.3</v>
      </c>
      <c r="I220" s="232">
        <f>IF( OR( OR(pairs[[#This Row],[Az*]]=0, pairs[[#This Row],[Back*]]=0), OR(pairs[[#This Row],[Az*]]=1, pairs[[#This Row],[Back*]]=1)), 1, 0)</f>
        <v>1</v>
      </c>
      <c r="J220" s="232">
        <f>IF(OR(pairs[[#This Row],[Az*]]=0.5,pairs[[#This Row],[Back*]]=0.5),1,0)</f>
        <v>0</v>
      </c>
      <c r="K220" s="232"/>
      <c r="L220" s="232"/>
    </row>
    <row r="221" spans="1:12">
      <c r="A221" s="231" t="s">
        <v>100</v>
      </c>
      <c r="B221" s="231" t="s">
        <v>145</v>
      </c>
      <c r="C221" s="232"/>
      <c r="D221" s="232">
        <v>109.31</v>
      </c>
      <c r="E221" s="233">
        <v>7.5042999999999999E-2</v>
      </c>
      <c r="F221" s="234">
        <f>pairs[[#This Row],[ Dist]]*5280</f>
        <v>396.22703999999999</v>
      </c>
      <c r="G221" s="232">
        <f>ROUND(pairs[[#This Row],[ Az]]-ROUNDDOWN(pairs[[#This Row],[ Az]],0),1)</f>
        <v>0</v>
      </c>
      <c r="H221" s="232">
        <f>ROUND(pairs[[#This Row],[ Back]]-ROUNDDOWN(pairs[[#This Row],[ Back]],0),1)</f>
        <v>0.3</v>
      </c>
      <c r="I221" s="232">
        <f>IF( OR( OR(pairs[[#This Row],[Az*]]=0, pairs[[#This Row],[Back*]]=0), OR(pairs[[#This Row],[Az*]]=1, pairs[[#This Row],[Back*]]=1)), 1, 0)</f>
        <v>1</v>
      </c>
      <c r="J221" s="232">
        <f>IF(OR(pairs[[#This Row],[Az*]]=0.5,pairs[[#This Row],[Back*]]=0.5),1,0)</f>
        <v>0</v>
      </c>
      <c r="K221" s="232"/>
      <c r="L221" s="232"/>
    </row>
    <row r="222" spans="1:12">
      <c r="A222" s="231" t="s">
        <v>100</v>
      </c>
      <c r="B222" s="231" t="s">
        <v>164</v>
      </c>
      <c r="C222" s="232"/>
      <c r="D222" s="232">
        <v>104.71</v>
      </c>
      <c r="E222" s="233">
        <v>0.90011799999999997</v>
      </c>
      <c r="F222" s="234">
        <f>pairs[[#This Row],[ Dist]]*5280</f>
        <v>4752.6230399999995</v>
      </c>
      <c r="G222" s="232">
        <f>ROUND(pairs[[#This Row],[ Az]]-ROUNDDOWN(pairs[[#This Row],[ Az]],0),1)</f>
        <v>0</v>
      </c>
      <c r="H222" s="232">
        <f>ROUND(pairs[[#This Row],[ Back]]-ROUNDDOWN(pairs[[#This Row],[ Back]],0),1)</f>
        <v>0.7</v>
      </c>
      <c r="I222" s="232">
        <f>IF( OR( OR(pairs[[#This Row],[Az*]]=0, pairs[[#This Row],[Back*]]=0), OR(pairs[[#This Row],[Az*]]=1, pairs[[#This Row],[Back*]]=1)), 1, 0)</f>
        <v>1</v>
      </c>
      <c r="J222" s="232">
        <f>IF(OR(pairs[[#This Row],[Az*]]=0.5,pairs[[#This Row],[Back*]]=0.5),1,0)</f>
        <v>0</v>
      </c>
      <c r="K222" s="232"/>
      <c r="L222" s="232"/>
    </row>
    <row r="223" spans="1:12">
      <c r="A223" s="231" t="s">
        <v>100</v>
      </c>
      <c r="B223" s="231" t="s">
        <v>148</v>
      </c>
      <c r="C223" s="232"/>
      <c r="D223" s="232">
        <v>177.6</v>
      </c>
      <c r="E223" s="233">
        <v>7.3644819999999998</v>
      </c>
      <c r="F223" s="234">
        <f>pairs[[#This Row],[ Dist]]*5280</f>
        <v>38884.464959999998</v>
      </c>
      <c r="G223" s="232">
        <f>ROUND(pairs[[#This Row],[ Az]]-ROUNDDOWN(pairs[[#This Row],[ Az]],0),1)</f>
        <v>0</v>
      </c>
      <c r="H223" s="232">
        <f>ROUND(pairs[[#This Row],[ Back]]-ROUNDDOWN(pairs[[#This Row],[ Back]],0),1)</f>
        <v>0.6</v>
      </c>
      <c r="I223" s="232">
        <f>IF( OR( OR(pairs[[#This Row],[Az*]]=0, pairs[[#This Row],[Back*]]=0), OR(pairs[[#This Row],[Az*]]=1, pairs[[#This Row],[Back*]]=1)), 1, 0)</f>
        <v>1</v>
      </c>
      <c r="J223" s="232">
        <f>IF(OR(pairs[[#This Row],[Az*]]=0.5,pairs[[#This Row],[Back*]]=0.5),1,0)</f>
        <v>0</v>
      </c>
      <c r="K223" s="232"/>
      <c r="L223" s="232"/>
    </row>
    <row r="224" spans="1:12" ht="14.1">
      <c r="A224" s="23" t="s">
        <v>100</v>
      </c>
      <c r="B224" s="23" t="s">
        <v>152</v>
      </c>
      <c r="C224" s="229"/>
      <c r="D224" s="229">
        <v>132.94999999999999</v>
      </c>
      <c r="E224" s="25">
        <v>0.42117399999999999</v>
      </c>
      <c r="F224" s="230">
        <f>pairs[[#This Row],[ Dist]]*5280</f>
        <v>2223.7987199999998</v>
      </c>
      <c r="G224" s="232">
        <f>ROUND(pairs[[#This Row],[ Az]]-ROUNDDOWN(pairs[[#This Row],[ Az]],0),1)</f>
        <v>0</v>
      </c>
      <c r="H224" s="232">
        <f>ROUND(pairs[[#This Row],[ Back]]-ROUNDDOWN(pairs[[#This Row],[ Back]],0),1)</f>
        <v>0.9</v>
      </c>
      <c r="I224" s="232">
        <v>1</v>
      </c>
      <c r="J224" s="232">
        <f>IF(OR(pairs[[#This Row],[Az*]]=0.5,pairs[[#This Row],[Back*]]=0.5),1,0)</f>
        <v>0</v>
      </c>
      <c r="K224" s="232"/>
      <c r="L224" s="232"/>
    </row>
    <row r="225" spans="1:12">
      <c r="A225" s="231" t="s">
        <v>100</v>
      </c>
      <c r="B225" s="231" t="s">
        <v>147</v>
      </c>
      <c r="C225" s="232"/>
      <c r="D225" s="232">
        <v>41.22</v>
      </c>
      <c r="E225" s="233">
        <v>1.691738</v>
      </c>
      <c r="F225" s="234">
        <f>pairs[[#This Row],[ Dist]]*5280</f>
        <v>8932.3766400000004</v>
      </c>
      <c r="G225" s="232">
        <f>ROUND(pairs[[#This Row],[ Az]]-ROUNDDOWN(pairs[[#This Row],[ Az]],0),1)</f>
        <v>0</v>
      </c>
      <c r="H225" s="232">
        <f>ROUND(pairs[[#This Row],[ Back]]-ROUNDDOWN(pairs[[#This Row],[ Back]],0),1)</f>
        <v>0.2</v>
      </c>
      <c r="I225" s="232">
        <f>IF( OR( OR(pairs[[#This Row],[Az*]]=0, pairs[[#This Row],[Back*]]=0), OR(pairs[[#This Row],[Az*]]=1, pairs[[#This Row],[Back*]]=1)), 1, 0)</f>
        <v>1</v>
      </c>
      <c r="J225" s="232">
        <f>IF(OR(pairs[[#This Row],[Az*]]=0.5,pairs[[#This Row],[Back*]]=0.5),1,0)</f>
        <v>0</v>
      </c>
      <c r="K225" s="232"/>
      <c r="L225" s="232"/>
    </row>
    <row r="226" spans="1:12">
      <c r="A226" s="231" t="s">
        <v>100</v>
      </c>
      <c r="B226" s="231" t="s">
        <v>161</v>
      </c>
      <c r="C226" s="232"/>
      <c r="D226" s="232">
        <v>124.34</v>
      </c>
      <c r="E226" s="233">
        <v>5.5132310000000002</v>
      </c>
      <c r="F226" s="234">
        <f>pairs[[#This Row],[ Dist]]*5280</f>
        <v>29109.859680000001</v>
      </c>
      <c r="G226" s="232">
        <f>ROUND(pairs[[#This Row],[ Az]]-ROUNDDOWN(pairs[[#This Row],[ Az]],0),1)</f>
        <v>0</v>
      </c>
      <c r="H226" s="232">
        <f>ROUND(pairs[[#This Row],[ Back]]-ROUNDDOWN(pairs[[#This Row],[ Back]],0),1)</f>
        <v>0.3</v>
      </c>
      <c r="I226" s="232">
        <f>IF( OR( OR(pairs[[#This Row],[Az*]]=0, pairs[[#This Row],[Back*]]=0), OR(pairs[[#This Row],[Az*]]=1, pairs[[#This Row],[Back*]]=1)), 1, 0)</f>
        <v>1</v>
      </c>
      <c r="J226" s="232">
        <f>IF(OR(pairs[[#This Row],[Az*]]=0.5,pairs[[#This Row],[Back*]]=0.5),1,0)</f>
        <v>0</v>
      </c>
      <c r="K226" s="232"/>
      <c r="L226" s="232"/>
    </row>
    <row r="227" spans="1:12" ht="14.1">
      <c r="A227" s="206" t="s">
        <v>100</v>
      </c>
      <c r="B227" s="206" t="s">
        <v>162</v>
      </c>
      <c r="C227" s="235"/>
      <c r="D227" s="235">
        <v>172.54</v>
      </c>
      <c r="E227" s="236">
        <v>6.8161310000000004</v>
      </c>
      <c r="F227" s="237">
        <f>pairs[[#This Row],[ Dist]]*5280</f>
        <v>35989.171679999999</v>
      </c>
      <c r="G227" s="235">
        <f>ROUND(pairs[[#This Row],[ Az]]-ROUNDDOWN(pairs[[#This Row],[ Az]],0),1)</f>
        <v>0</v>
      </c>
      <c r="H227" s="235">
        <f>ROUND(pairs[[#This Row],[ Back]]-ROUNDDOWN(pairs[[#This Row],[ Back]],0),1)</f>
        <v>0.5</v>
      </c>
      <c r="I227" s="235">
        <f>IF( OR( OR(pairs[[#This Row],[Az*]]=0, pairs[[#This Row],[Back*]]=0), OR(pairs[[#This Row],[Az*]]=1, pairs[[#This Row],[Back*]]=1)), 1, 0)</f>
        <v>1</v>
      </c>
      <c r="J227" s="235">
        <f>IF(OR(pairs[[#This Row],[Az*]]=0.5,pairs[[#This Row],[Back*]]=0.5),1,0)</f>
        <v>1</v>
      </c>
      <c r="K227" s="232"/>
      <c r="L227" s="232"/>
    </row>
    <row r="228" spans="1:12">
      <c r="A228" s="231" t="s">
        <v>100</v>
      </c>
      <c r="B228" s="231" t="s">
        <v>157</v>
      </c>
      <c r="C228" s="232"/>
      <c r="D228" s="232">
        <v>345.14</v>
      </c>
      <c r="E228" s="233">
        <v>2.4517310000000001</v>
      </c>
      <c r="F228" s="234">
        <f>pairs[[#This Row],[ Dist]]*5280</f>
        <v>12945.13968</v>
      </c>
      <c r="G228" s="232">
        <f>ROUND(pairs[[#This Row],[ Az]]-ROUNDDOWN(pairs[[#This Row],[ Az]],0),1)</f>
        <v>0</v>
      </c>
      <c r="H228" s="232">
        <f>ROUND(pairs[[#This Row],[ Back]]-ROUNDDOWN(pairs[[#This Row],[ Back]],0),1)</f>
        <v>0.1</v>
      </c>
      <c r="I228" s="232">
        <f>IF( OR( OR(pairs[[#This Row],[Az*]]=0, pairs[[#This Row],[Back*]]=0), OR(pairs[[#This Row],[Az*]]=1, pairs[[#This Row],[Back*]]=1)), 1, 0)</f>
        <v>1</v>
      </c>
      <c r="J228" s="232">
        <f>IF(OR(pairs[[#This Row],[Az*]]=0.5,pairs[[#This Row],[Back*]]=0.5),1,0)</f>
        <v>0</v>
      </c>
      <c r="K228" s="232"/>
      <c r="L228" s="232"/>
    </row>
    <row r="229" spans="1:12">
      <c r="A229" s="231" t="s">
        <v>100</v>
      </c>
      <c r="B229" s="231" t="s">
        <v>149</v>
      </c>
      <c r="C229" s="232"/>
      <c r="D229" s="232">
        <v>2.4</v>
      </c>
      <c r="E229" s="233">
        <v>6.8520510000000003</v>
      </c>
      <c r="F229" s="234">
        <f>pairs[[#This Row],[ Dist]]*5280</f>
        <v>36178.829280000005</v>
      </c>
      <c r="G229" s="232">
        <f>ROUND(pairs[[#This Row],[ Az]]-ROUNDDOWN(pairs[[#This Row],[ Az]],0),1)</f>
        <v>0</v>
      </c>
      <c r="H229" s="232">
        <f>ROUND(pairs[[#This Row],[ Back]]-ROUNDDOWN(pairs[[#This Row],[ Back]],0),1)</f>
        <v>0.4</v>
      </c>
      <c r="I229" s="232">
        <f>IF( OR( OR(pairs[[#This Row],[Az*]]=0, pairs[[#This Row],[Back*]]=0), OR(pairs[[#This Row],[Az*]]=1, pairs[[#This Row],[Back*]]=1)), 1, 0)</f>
        <v>1</v>
      </c>
      <c r="J229" s="232">
        <f>IF(OR(pairs[[#This Row],[Az*]]=0.5,pairs[[#This Row],[Back*]]=0.5),1,0)</f>
        <v>0</v>
      </c>
      <c r="K229" s="232"/>
      <c r="L229" s="232"/>
    </row>
    <row r="230" spans="1:12">
      <c r="A230" s="231" t="s">
        <v>100</v>
      </c>
      <c r="B230" s="231" t="s">
        <v>153</v>
      </c>
      <c r="C230" s="232"/>
      <c r="D230" s="232">
        <v>128.12</v>
      </c>
      <c r="E230" s="233">
        <v>0.36454399999999998</v>
      </c>
      <c r="F230" s="234">
        <f>pairs[[#This Row],[ Dist]]*5280</f>
        <v>1924.7923199999998</v>
      </c>
      <c r="G230" s="232">
        <f>ROUND(pairs[[#This Row],[ Az]]-ROUNDDOWN(pairs[[#This Row],[ Az]],0),1)</f>
        <v>0</v>
      </c>
      <c r="H230" s="232">
        <f>ROUND(pairs[[#This Row],[ Back]]-ROUNDDOWN(pairs[[#This Row],[ Back]],0),1)</f>
        <v>0.1</v>
      </c>
      <c r="I230" s="232">
        <f>IF( OR( OR(pairs[[#This Row],[Az*]]=0, pairs[[#This Row],[Back*]]=0), OR(pairs[[#This Row],[Az*]]=1, pairs[[#This Row],[Back*]]=1)), 1, 0)</f>
        <v>1</v>
      </c>
      <c r="J230" s="232">
        <f>IF(OR(pairs[[#This Row],[Az*]]=0.5,pairs[[#This Row],[Back*]]=0.5),1,0)</f>
        <v>0</v>
      </c>
      <c r="K230" s="232"/>
      <c r="L230" s="232"/>
    </row>
    <row r="231" spans="1:12" ht="14.1">
      <c r="A231" s="23" t="s">
        <v>100</v>
      </c>
      <c r="B231" s="23" t="s">
        <v>150</v>
      </c>
      <c r="C231" s="229"/>
      <c r="D231" s="229">
        <v>92</v>
      </c>
      <c r="E231" s="25">
        <v>7.3734970000000004</v>
      </c>
      <c r="F231" s="230">
        <f>pairs[[#This Row],[ Dist]]*5280</f>
        <v>38932.064160000002</v>
      </c>
      <c r="G231" s="232">
        <f>ROUND(pairs[[#This Row],[ Az]]-ROUNDDOWN(pairs[[#This Row],[ Az]],0),1)</f>
        <v>0</v>
      </c>
      <c r="H231" s="232">
        <f>ROUND(pairs[[#This Row],[ Back]]-ROUNDDOWN(pairs[[#This Row],[ Back]],0),1)</f>
        <v>0</v>
      </c>
      <c r="I231" s="232">
        <f>IF( OR( OR(pairs[[#This Row],[Az*]]=0, pairs[[#This Row],[Back*]]=0), OR(pairs[[#This Row],[Az*]]=1, pairs[[#This Row],[Back*]]=1)), 1, 0)</f>
        <v>1</v>
      </c>
      <c r="J231" s="232">
        <f>IF(OR(pairs[[#This Row],[Az*]]=0.5,pairs[[#This Row],[Back*]]=0.5),1,0)</f>
        <v>0</v>
      </c>
      <c r="K231" s="232"/>
      <c r="L231" s="232"/>
    </row>
    <row r="232" spans="1:12">
      <c r="A232" s="231" t="s">
        <v>100</v>
      </c>
      <c r="B232" s="231" t="s">
        <v>154</v>
      </c>
      <c r="C232" s="232"/>
      <c r="D232" s="232">
        <v>130.88</v>
      </c>
      <c r="E232" s="233">
        <v>0.39359300000000003</v>
      </c>
      <c r="F232" s="234">
        <f>pairs[[#This Row],[ Dist]]*5280</f>
        <v>2078.1710400000002</v>
      </c>
      <c r="G232" s="232">
        <f>ROUND(pairs[[#This Row],[ Az]]-ROUNDDOWN(pairs[[#This Row],[ Az]],0),1)</f>
        <v>0</v>
      </c>
      <c r="H232" s="232">
        <f>ROUND(pairs[[#This Row],[ Back]]-ROUNDDOWN(pairs[[#This Row],[ Back]],0),1)</f>
        <v>0.9</v>
      </c>
      <c r="I232" s="232">
        <f>IF( OR( OR(pairs[[#This Row],[Az*]]=0, pairs[[#This Row],[Back*]]=0), OR(pairs[[#This Row],[Az*]]=1, pairs[[#This Row],[Back*]]=1)), 1, 0)</f>
        <v>1</v>
      </c>
      <c r="J232" s="232">
        <f>IF(OR(pairs[[#This Row],[Az*]]=0.5,pairs[[#This Row],[Back*]]=0.5),1,0)</f>
        <v>0</v>
      </c>
      <c r="K232" s="232"/>
      <c r="L232" s="232"/>
    </row>
    <row r="233" spans="1:12">
      <c r="A233" s="231" t="s">
        <v>226</v>
      </c>
      <c r="B233" s="231" t="s">
        <v>217</v>
      </c>
      <c r="C233" s="232"/>
      <c r="D233" s="232">
        <v>41.17</v>
      </c>
      <c r="E233" s="233">
        <v>0.24884400000000001</v>
      </c>
      <c r="F233" s="234">
        <f>pairs[[#This Row],[ Dist]]*5280</f>
        <v>1313.8963200000001</v>
      </c>
      <c r="G233" s="232">
        <f>ROUND(pairs[[#This Row],[ Az]]-ROUNDDOWN(pairs[[#This Row],[ Az]],0),1)</f>
        <v>0</v>
      </c>
      <c r="H233" s="232">
        <f>ROUND(pairs[[#This Row],[ Back]]-ROUNDDOWN(pairs[[#This Row],[ Back]],0),1)</f>
        <v>0.2</v>
      </c>
      <c r="I233" s="232">
        <f>IF( OR( OR(pairs[[#This Row],[Az*]]=0, pairs[[#This Row],[Back*]]=0), OR(pairs[[#This Row],[Az*]]=1, pairs[[#This Row],[Back*]]=1)), 1, 0)</f>
        <v>1</v>
      </c>
      <c r="J233" s="232">
        <f>IF(OR(pairs[[#This Row],[Az*]]=0.5,pairs[[#This Row],[Back*]]=0.5),1,0)</f>
        <v>0</v>
      </c>
      <c r="K233" s="232"/>
      <c r="L233" s="232"/>
    </row>
    <row r="234" spans="1:12">
      <c r="A234" s="231" t="s">
        <v>226</v>
      </c>
      <c r="B234" s="231" t="s">
        <v>196</v>
      </c>
      <c r="C234" s="232"/>
      <c r="D234" s="232">
        <v>54.18</v>
      </c>
      <c r="E234" s="233">
        <v>0.202124</v>
      </c>
      <c r="F234" s="234">
        <f>pairs[[#This Row],[ Dist]]*5280</f>
        <v>1067.2147199999999</v>
      </c>
      <c r="G234" s="232">
        <f>ROUND(pairs[[#This Row],[ Az]]-ROUNDDOWN(pairs[[#This Row],[ Az]],0),1)</f>
        <v>0</v>
      </c>
      <c r="H234" s="232">
        <f>ROUND(pairs[[#This Row],[ Back]]-ROUNDDOWN(pairs[[#This Row],[ Back]],0),1)</f>
        <v>0.2</v>
      </c>
      <c r="I234" s="232">
        <f>IF( OR( OR(pairs[[#This Row],[Az*]]=0, pairs[[#This Row],[Back*]]=0), OR(pairs[[#This Row],[Az*]]=1, pairs[[#This Row],[Back*]]=1)), 1, 0)</f>
        <v>1</v>
      </c>
      <c r="J234" s="232">
        <f>IF(OR(pairs[[#This Row],[Az*]]=0.5,pairs[[#This Row],[Back*]]=0.5),1,0)</f>
        <v>0</v>
      </c>
      <c r="K234" s="232"/>
      <c r="L234" s="232"/>
    </row>
    <row r="235" spans="1:12">
      <c r="A235" s="231" t="s">
        <v>226</v>
      </c>
      <c r="B235" s="231" t="s">
        <v>197</v>
      </c>
      <c r="C235" s="232"/>
      <c r="D235" s="232">
        <v>2.09</v>
      </c>
      <c r="E235" s="233">
        <v>0.119423</v>
      </c>
      <c r="F235" s="234">
        <f>pairs[[#This Row],[ Dist]]*5280</f>
        <v>630.55344000000002</v>
      </c>
      <c r="G235" s="232">
        <f>ROUND(pairs[[#This Row],[ Az]]-ROUNDDOWN(pairs[[#This Row],[ Az]],0),1)</f>
        <v>0</v>
      </c>
      <c r="H235" s="232">
        <f>ROUND(pairs[[#This Row],[ Back]]-ROUNDDOWN(pairs[[#This Row],[ Back]],0),1)</f>
        <v>0.1</v>
      </c>
      <c r="I235" s="232">
        <f>IF( OR( OR(pairs[[#This Row],[Az*]]=0, pairs[[#This Row],[Back*]]=0), OR(pairs[[#This Row],[Az*]]=1, pairs[[#This Row],[Back*]]=1)), 1, 0)</f>
        <v>1</v>
      </c>
      <c r="J235" s="232">
        <f>IF(OR(pairs[[#This Row],[Az*]]=0.5,pairs[[#This Row],[Back*]]=0.5),1,0)</f>
        <v>0</v>
      </c>
      <c r="K235" s="232"/>
      <c r="L235" s="232"/>
    </row>
    <row r="236" spans="1:12">
      <c r="A236" s="231" t="s">
        <v>226</v>
      </c>
      <c r="B236" s="231" t="s">
        <v>198</v>
      </c>
      <c r="C236" s="232"/>
      <c r="D236" s="232">
        <v>0.94</v>
      </c>
      <c r="E236" s="233">
        <v>0.18898200000000001</v>
      </c>
      <c r="F236" s="234">
        <f>pairs[[#This Row],[ Dist]]*5280</f>
        <v>997.82496000000003</v>
      </c>
      <c r="G236" s="232">
        <f>ROUND(pairs[[#This Row],[ Az]]-ROUNDDOWN(pairs[[#This Row],[ Az]],0),1)</f>
        <v>0</v>
      </c>
      <c r="H236" s="232">
        <f>ROUND(pairs[[#This Row],[ Back]]-ROUNDDOWN(pairs[[#This Row],[ Back]],0),1)</f>
        <v>0.9</v>
      </c>
      <c r="I236" s="232">
        <f>IF( OR( OR(pairs[[#This Row],[Az*]]=0, pairs[[#This Row],[Back*]]=0), OR(pairs[[#This Row],[Az*]]=1, pairs[[#This Row],[Back*]]=1)), 1, 0)</f>
        <v>1</v>
      </c>
      <c r="J236" s="232">
        <f>IF(OR(pairs[[#This Row],[Az*]]=0.5,pairs[[#This Row],[Back*]]=0.5),1,0)</f>
        <v>0</v>
      </c>
      <c r="K236" s="232"/>
      <c r="L236" s="232"/>
    </row>
    <row r="237" spans="1:12">
      <c r="A237" s="231" t="s">
        <v>226</v>
      </c>
      <c r="B237" s="231" t="s">
        <v>199</v>
      </c>
      <c r="C237" s="232"/>
      <c r="D237" s="232">
        <v>28.05</v>
      </c>
      <c r="E237" s="233">
        <v>0.21505299999999999</v>
      </c>
      <c r="F237" s="234">
        <f>pairs[[#This Row],[ Dist]]*5280</f>
        <v>1135.47984</v>
      </c>
      <c r="G237" s="232">
        <f>ROUND(pairs[[#This Row],[ Az]]-ROUNDDOWN(pairs[[#This Row],[ Az]],0),1)</f>
        <v>0</v>
      </c>
      <c r="H237" s="232">
        <f>ROUND(pairs[[#This Row],[ Back]]-ROUNDDOWN(pairs[[#This Row],[ Back]],0),1)</f>
        <v>0.1</v>
      </c>
      <c r="I237" s="232">
        <f>IF( OR( OR(pairs[[#This Row],[Az*]]=0, pairs[[#This Row],[Back*]]=0), OR(pairs[[#This Row],[Az*]]=1, pairs[[#This Row],[Back*]]=1)), 1, 0)</f>
        <v>1</v>
      </c>
      <c r="J237" s="232">
        <f>IF(OR(pairs[[#This Row],[Az*]]=0.5,pairs[[#This Row],[Back*]]=0.5),1,0)</f>
        <v>0</v>
      </c>
      <c r="K237" s="232"/>
      <c r="L237" s="232"/>
    </row>
    <row r="238" spans="1:12">
      <c r="A238" s="231" t="s">
        <v>226</v>
      </c>
      <c r="B238" s="231" t="s">
        <v>200</v>
      </c>
      <c r="C238" s="232"/>
      <c r="D238" s="232">
        <v>21.73</v>
      </c>
      <c r="E238" s="233">
        <v>0.204351</v>
      </c>
      <c r="F238" s="234">
        <f>pairs[[#This Row],[ Dist]]*5280</f>
        <v>1078.9732799999999</v>
      </c>
      <c r="G238" s="232">
        <f>ROUND(pairs[[#This Row],[ Az]]-ROUNDDOWN(pairs[[#This Row],[ Az]],0),1)</f>
        <v>0</v>
      </c>
      <c r="H238" s="232">
        <f>ROUND(pairs[[#This Row],[ Back]]-ROUNDDOWN(pairs[[#This Row],[ Back]],0),1)</f>
        <v>0.7</v>
      </c>
      <c r="I238" s="232">
        <f>IF( OR( OR(pairs[[#This Row],[Az*]]=0, pairs[[#This Row],[Back*]]=0), OR(pairs[[#This Row],[Az*]]=1, pairs[[#This Row],[Back*]]=1)), 1, 0)</f>
        <v>1</v>
      </c>
      <c r="J238" s="232">
        <f>IF(OR(pairs[[#This Row],[Az*]]=0.5,pairs[[#This Row],[Back*]]=0.5),1,0)</f>
        <v>0</v>
      </c>
      <c r="K238" s="232"/>
      <c r="L238" s="232"/>
    </row>
    <row r="239" spans="1:12" ht="14.1">
      <c r="A239" s="206" t="s">
        <v>226</v>
      </c>
      <c r="B239" s="206" t="s">
        <v>201</v>
      </c>
      <c r="C239" s="235"/>
      <c r="D239" s="235">
        <v>8.48</v>
      </c>
      <c r="E239" s="236">
        <v>0.19228100000000001</v>
      </c>
      <c r="F239" s="237">
        <f>pairs[[#This Row],[ Dist]]*5280</f>
        <v>1015.24368</v>
      </c>
      <c r="G239" s="235">
        <f>ROUND(pairs[[#This Row],[ Az]]-ROUNDDOWN(pairs[[#This Row],[ Az]],0),1)</f>
        <v>0</v>
      </c>
      <c r="H239" s="235">
        <f>ROUND(pairs[[#This Row],[ Back]]-ROUNDDOWN(pairs[[#This Row],[ Back]],0),1)</f>
        <v>0.5</v>
      </c>
      <c r="I239" s="235">
        <f>IF( OR( OR(pairs[[#This Row],[Az*]]=0, pairs[[#This Row],[Back*]]=0), OR(pairs[[#This Row],[Az*]]=1, pairs[[#This Row],[Back*]]=1)), 1, 0)</f>
        <v>1</v>
      </c>
      <c r="J239" s="235">
        <f>IF(OR(pairs[[#This Row],[Az*]]=0.5,pairs[[#This Row],[Back*]]=0.5),1,0)</f>
        <v>1</v>
      </c>
      <c r="K239" s="232"/>
      <c r="L239" s="232"/>
    </row>
    <row r="240" spans="1:12">
      <c r="A240" s="231" t="s">
        <v>226</v>
      </c>
      <c r="B240" s="231" t="s">
        <v>202</v>
      </c>
      <c r="C240" s="232"/>
      <c r="D240" s="232">
        <v>20.09</v>
      </c>
      <c r="E240" s="233">
        <v>0.12783700000000001</v>
      </c>
      <c r="F240" s="234">
        <f>pairs[[#This Row],[ Dist]]*5280</f>
        <v>674.97936000000004</v>
      </c>
      <c r="G240" s="232">
        <f>ROUND(pairs[[#This Row],[ Az]]-ROUNDDOWN(pairs[[#This Row],[ Az]],0),1)</f>
        <v>0</v>
      </c>
      <c r="H240" s="232">
        <f>ROUND(pairs[[#This Row],[ Back]]-ROUNDDOWN(pairs[[#This Row],[ Back]],0),1)</f>
        <v>0.1</v>
      </c>
      <c r="I240" s="232">
        <f>IF( OR( OR(pairs[[#This Row],[Az*]]=0, pairs[[#This Row],[Back*]]=0), OR(pairs[[#This Row],[Az*]]=1, pairs[[#This Row],[Back*]]=1)), 1, 0)</f>
        <v>1</v>
      </c>
      <c r="J240" s="232">
        <f>IF(OR(pairs[[#This Row],[Az*]]=0.5,pairs[[#This Row],[Back*]]=0.5),1,0)</f>
        <v>0</v>
      </c>
      <c r="K240" s="232"/>
      <c r="L240" s="232"/>
    </row>
    <row r="241" spans="1:12">
      <c r="A241" s="231" t="s">
        <v>226</v>
      </c>
      <c r="B241" s="231" t="s">
        <v>203</v>
      </c>
      <c r="C241" s="232"/>
      <c r="D241" s="232">
        <v>33.58</v>
      </c>
      <c r="E241" s="233">
        <v>0.143313</v>
      </c>
      <c r="F241" s="234">
        <f>pairs[[#This Row],[ Dist]]*5280</f>
        <v>756.69263999999998</v>
      </c>
      <c r="G241" s="232">
        <f>ROUND(pairs[[#This Row],[ Az]]-ROUNDDOWN(pairs[[#This Row],[ Az]],0),1)</f>
        <v>0</v>
      </c>
      <c r="H241" s="232">
        <f>ROUND(pairs[[#This Row],[ Back]]-ROUNDDOWN(pairs[[#This Row],[ Back]],0),1)</f>
        <v>0.6</v>
      </c>
      <c r="I241" s="232">
        <f>IF( OR( OR(pairs[[#This Row],[Az*]]=0, pairs[[#This Row],[Back*]]=0), OR(pairs[[#This Row],[Az*]]=1, pairs[[#This Row],[Back*]]=1)), 1, 0)</f>
        <v>1</v>
      </c>
      <c r="J241" s="232">
        <f>IF(OR(pairs[[#This Row],[Az*]]=0.5,pairs[[#This Row],[Back*]]=0.5),1,0)</f>
        <v>0</v>
      </c>
      <c r="K241" s="232"/>
      <c r="L241" s="232"/>
    </row>
    <row r="242" spans="1:12">
      <c r="A242" s="231" t="s">
        <v>226</v>
      </c>
      <c r="B242" s="231" t="s">
        <v>204</v>
      </c>
      <c r="C242" s="232"/>
      <c r="D242" s="232">
        <v>33.75</v>
      </c>
      <c r="E242" s="233">
        <v>0.18232899999999999</v>
      </c>
      <c r="F242" s="234">
        <f>pairs[[#This Row],[ Dist]]*5280</f>
        <v>962.69711999999993</v>
      </c>
      <c r="G242" s="232">
        <f>ROUND(pairs[[#This Row],[ Az]]-ROUNDDOWN(pairs[[#This Row],[ Az]],0),1)</f>
        <v>0</v>
      </c>
      <c r="H242" s="232">
        <f>ROUND(pairs[[#This Row],[ Back]]-ROUNDDOWN(pairs[[#This Row],[ Back]],0),1)</f>
        <v>0.8</v>
      </c>
      <c r="I242" s="232">
        <f>IF( OR( OR(pairs[[#This Row],[Az*]]=0, pairs[[#This Row],[Back*]]=0), OR(pairs[[#This Row],[Az*]]=1, pairs[[#This Row],[Back*]]=1)), 1, 0)</f>
        <v>1</v>
      </c>
      <c r="J242" s="232">
        <f>IF(OR(pairs[[#This Row],[Az*]]=0.5,pairs[[#This Row],[Back*]]=0.5),1,0)</f>
        <v>0</v>
      </c>
      <c r="K242" s="232"/>
      <c r="L242" s="232"/>
    </row>
    <row r="243" spans="1:12">
      <c r="A243" s="231" t="s">
        <v>226</v>
      </c>
      <c r="B243" s="231" t="s">
        <v>215</v>
      </c>
      <c r="C243" s="232"/>
      <c r="D243" s="232">
        <v>213.66</v>
      </c>
      <c r="E243" s="233">
        <v>0.76710800000000001</v>
      </c>
      <c r="F243" s="234">
        <f>pairs[[#This Row],[ Dist]]*5280</f>
        <v>4050.3302400000002</v>
      </c>
      <c r="G243" s="232">
        <f>ROUND(pairs[[#This Row],[ Az]]-ROUNDDOWN(pairs[[#This Row],[ Az]],0),1)</f>
        <v>0</v>
      </c>
      <c r="H243" s="232">
        <f>ROUND(pairs[[#This Row],[ Back]]-ROUNDDOWN(pairs[[#This Row],[ Back]],0),1)</f>
        <v>0.7</v>
      </c>
      <c r="I243" s="232">
        <f>IF( OR( OR(pairs[[#This Row],[Az*]]=0, pairs[[#This Row],[Back*]]=0), OR(pairs[[#This Row],[Az*]]=1, pairs[[#This Row],[Back*]]=1)), 1, 0)</f>
        <v>1</v>
      </c>
      <c r="J243" s="232">
        <f>IF(OR(pairs[[#This Row],[Az*]]=0.5,pairs[[#This Row],[Back*]]=0.5),1,0)</f>
        <v>0</v>
      </c>
      <c r="K243" s="232"/>
      <c r="L243" s="232"/>
    </row>
    <row r="244" spans="1:12" s="206" customFormat="1" ht="14.1">
      <c r="A244" s="231" t="s">
        <v>226</v>
      </c>
      <c r="B244" s="231" t="s">
        <v>214</v>
      </c>
      <c r="C244" s="232"/>
      <c r="D244" s="232">
        <v>255.66</v>
      </c>
      <c r="E244" s="233">
        <v>0.374807</v>
      </c>
      <c r="F244" s="234">
        <f>pairs[[#This Row],[ Dist]]*5280</f>
        <v>1978.9809600000001</v>
      </c>
      <c r="G244" s="232">
        <f>ROUND(pairs[[#This Row],[ Az]]-ROUNDDOWN(pairs[[#This Row],[ Az]],0),1)</f>
        <v>0</v>
      </c>
      <c r="H244" s="232">
        <f>ROUND(pairs[[#This Row],[ Back]]-ROUNDDOWN(pairs[[#This Row],[ Back]],0),1)</f>
        <v>0.7</v>
      </c>
      <c r="I244" s="232">
        <f>IF( OR( OR(pairs[[#This Row],[Az*]]=0, pairs[[#This Row],[Back*]]=0), OR(pairs[[#This Row],[Az*]]=1, pairs[[#This Row],[Back*]]=1)), 1, 0)</f>
        <v>1</v>
      </c>
      <c r="J244" s="232">
        <f>IF(OR(pairs[[#This Row],[Az*]]=0.5,pairs[[#This Row],[Back*]]=0.5),1,0)</f>
        <v>0</v>
      </c>
      <c r="K244" s="235"/>
      <c r="L244" s="235"/>
    </row>
    <row r="245" spans="1:12">
      <c r="A245" s="231" t="s">
        <v>226</v>
      </c>
      <c r="B245" s="231" t="s">
        <v>213</v>
      </c>
      <c r="C245" s="232"/>
      <c r="D245" s="232">
        <v>323.58</v>
      </c>
      <c r="E245" s="233">
        <v>0.41505500000000001</v>
      </c>
      <c r="F245" s="234">
        <f>pairs[[#This Row],[ Dist]]*5280</f>
        <v>2191.4904000000001</v>
      </c>
      <c r="G245" s="232">
        <f>ROUND(pairs[[#This Row],[ Az]]-ROUNDDOWN(pairs[[#This Row],[ Az]],0),1)</f>
        <v>0</v>
      </c>
      <c r="H245" s="232">
        <f>ROUND(pairs[[#This Row],[ Back]]-ROUNDDOWN(pairs[[#This Row],[ Back]],0),1)</f>
        <v>0.6</v>
      </c>
      <c r="I245" s="232">
        <f>IF( OR( OR(pairs[[#This Row],[Az*]]=0, pairs[[#This Row],[Back*]]=0), OR(pairs[[#This Row],[Az*]]=1, pairs[[#This Row],[Back*]]=1)), 1, 0)</f>
        <v>1</v>
      </c>
      <c r="J245" s="232">
        <f>IF(OR(pairs[[#This Row],[Az*]]=0.5,pairs[[#This Row],[Back*]]=0.5),1,0)</f>
        <v>0</v>
      </c>
      <c r="K245" s="232"/>
      <c r="L245" s="232"/>
    </row>
    <row r="246" spans="1:12" ht="14.1">
      <c r="A246" s="206" t="s">
        <v>226</v>
      </c>
      <c r="B246" s="206" t="s">
        <v>212</v>
      </c>
      <c r="C246" s="235"/>
      <c r="D246" s="235">
        <v>336.51</v>
      </c>
      <c r="E246" s="236">
        <v>1.015604</v>
      </c>
      <c r="F246" s="237">
        <f>pairs[[#This Row],[ Dist]]*5280</f>
        <v>5362.3891199999998</v>
      </c>
      <c r="G246" s="235">
        <f>ROUND(pairs[[#This Row],[ Az]]-ROUNDDOWN(pairs[[#This Row],[ Az]],0),1)</f>
        <v>0</v>
      </c>
      <c r="H246" s="235">
        <f>ROUND(pairs[[#This Row],[ Back]]-ROUNDDOWN(pairs[[#This Row],[ Back]],0),1)</f>
        <v>0.5</v>
      </c>
      <c r="I246" s="235">
        <f>IF( OR( OR(pairs[[#This Row],[Az*]]=0, pairs[[#This Row],[Back*]]=0), OR(pairs[[#This Row],[Az*]]=1, pairs[[#This Row],[Back*]]=1)), 1, 0)</f>
        <v>1</v>
      </c>
      <c r="J246" s="235">
        <f>IF(OR(pairs[[#This Row],[Az*]]=0.5,pairs[[#This Row],[Back*]]=0.5),1,0)</f>
        <v>1</v>
      </c>
      <c r="K246" s="232"/>
      <c r="L246" s="232"/>
    </row>
    <row r="247" spans="1:12">
      <c r="A247" s="231" t="s">
        <v>226</v>
      </c>
      <c r="B247" s="231" t="s">
        <v>211</v>
      </c>
      <c r="C247" s="232"/>
      <c r="D247" s="232">
        <v>6.14</v>
      </c>
      <c r="E247" s="233">
        <v>0.94578600000000002</v>
      </c>
      <c r="F247" s="234">
        <f>pairs[[#This Row],[ Dist]]*5280</f>
        <v>4993.7500799999998</v>
      </c>
      <c r="G247" s="232">
        <f>ROUND(pairs[[#This Row],[ Az]]-ROUNDDOWN(pairs[[#This Row],[ Az]],0),1)</f>
        <v>0</v>
      </c>
      <c r="H247" s="232">
        <f>ROUND(pairs[[#This Row],[ Back]]-ROUNDDOWN(pairs[[#This Row],[ Back]],0),1)</f>
        <v>0.1</v>
      </c>
      <c r="I247" s="232">
        <f>IF( OR( OR(pairs[[#This Row],[Az*]]=0, pairs[[#This Row],[Back*]]=0), OR(pairs[[#This Row],[Az*]]=1, pairs[[#This Row],[Back*]]=1)), 1, 0)</f>
        <v>1</v>
      </c>
      <c r="J247" s="232">
        <f>IF(OR(pairs[[#This Row],[Az*]]=0.5,pairs[[#This Row],[Back*]]=0.5),1,0)</f>
        <v>0</v>
      </c>
      <c r="K247" s="232"/>
      <c r="L247" s="232"/>
    </row>
    <row r="248" spans="1:12">
      <c r="A248" s="231" t="s">
        <v>226</v>
      </c>
      <c r="B248" s="231" t="s">
        <v>210</v>
      </c>
      <c r="C248" s="232"/>
      <c r="D248" s="232">
        <v>100.3</v>
      </c>
      <c r="E248" s="233">
        <v>0.60909899999999995</v>
      </c>
      <c r="F248" s="234">
        <f>pairs[[#This Row],[ Dist]]*5280</f>
        <v>3216.0427199999999</v>
      </c>
      <c r="G248" s="232">
        <f>ROUND(pairs[[#This Row],[ Az]]-ROUNDDOWN(pairs[[#This Row],[ Az]],0),1)</f>
        <v>0</v>
      </c>
      <c r="H248" s="232">
        <f>ROUND(pairs[[#This Row],[ Back]]-ROUNDDOWN(pairs[[#This Row],[ Back]],0),1)</f>
        <v>0.3</v>
      </c>
      <c r="I248" s="232">
        <f>IF( OR( OR(pairs[[#This Row],[Az*]]=0, pairs[[#This Row],[Back*]]=0), OR(pairs[[#This Row],[Az*]]=1, pairs[[#This Row],[Back*]]=1)), 1, 0)</f>
        <v>1</v>
      </c>
      <c r="J248" s="232">
        <f>IF(OR(pairs[[#This Row],[Az*]]=0.5,pairs[[#This Row],[Back*]]=0.5),1,0)</f>
        <v>0</v>
      </c>
      <c r="K248" s="232"/>
      <c r="L248" s="232"/>
    </row>
    <row r="249" spans="1:12">
      <c r="A249" s="231" t="s">
        <v>226</v>
      </c>
      <c r="B249" s="231" t="s">
        <v>209</v>
      </c>
      <c r="C249" s="232"/>
      <c r="D249" s="232">
        <v>58.14</v>
      </c>
      <c r="E249" s="233">
        <v>1.152245</v>
      </c>
      <c r="F249" s="234">
        <f>pairs[[#This Row],[ Dist]]*5280</f>
        <v>6083.8535999999995</v>
      </c>
      <c r="G249" s="232">
        <f>ROUND(pairs[[#This Row],[ Az]]-ROUNDDOWN(pairs[[#This Row],[ Az]],0),1)</f>
        <v>0</v>
      </c>
      <c r="H249" s="232">
        <f>ROUND(pairs[[#This Row],[ Back]]-ROUNDDOWN(pairs[[#This Row],[ Back]],0),1)</f>
        <v>0.1</v>
      </c>
      <c r="I249" s="232">
        <f>IF( OR( OR(pairs[[#This Row],[Az*]]=0, pairs[[#This Row],[Back*]]=0), OR(pairs[[#This Row],[Az*]]=1, pairs[[#This Row],[Back*]]=1)), 1, 0)</f>
        <v>1</v>
      </c>
      <c r="J249" s="232">
        <f>IF(OR(pairs[[#This Row],[Az*]]=0.5,pairs[[#This Row],[Back*]]=0.5),1,0)</f>
        <v>0</v>
      </c>
      <c r="K249" s="232"/>
      <c r="L249" s="232"/>
    </row>
    <row r="250" spans="1:12">
      <c r="A250" s="231" t="s">
        <v>226</v>
      </c>
      <c r="B250" s="231" t="s">
        <v>208</v>
      </c>
      <c r="C250" s="232"/>
      <c r="D250" s="232">
        <v>55.57</v>
      </c>
      <c r="E250" s="233">
        <v>0.72756299999999996</v>
      </c>
      <c r="F250" s="234">
        <f>pairs[[#This Row],[ Dist]]*5280</f>
        <v>3841.5326399999999</v>
      </c>
      <c r="G250" s="232">
        <f>ROUND(pairs[[#This Row],[ Az]]-ROUNDDOWN(pairs[[#This Row],[ Az]],0),1)</f>
        <v>0</v>
      </c>
      <c r="H250" s="232">
        <f>ROUND(pairs[[#This Row],[ Back]]-ROUNDDOWN(pairs[[#This Row],[ Back]],0),1)</f>
        <v>0.6</v>
      </c>
      <c r="I250" s="232">
        <f>IF( OR( OR(pairs[[#This Row],[Az*]]=0, pairs[[#This Row],[Back*]]=0), OR(pairs[[#This Row],[Az*]]=1, pairs[[#This Row],[Back*]]=1)), 1, 0)</f>
        <v>1</v>
      </c>
      <c r="J250" s="232">
        <f>IF(OR(pairs[[#This Row],[Az*]]=0.5,pairs[[#This Row],[Back*]]=0.5),1,0)</f>
        <v>0</v>
      </c>
      <c r="K250" s="232"/>
      <c r="L250" s="232"/>
    </row>
    <row r="251" spans="1:12">
      <c r="A251" s="231" t="s">
        <v>226</v>
      </c>
      <c r="B251" s="231" t="s">
        <v>207</v>
      </c>
      <c r="C251" s="232"/>
      <c r="D251" s="232">
        <v>164.56</v>
      </c>
      <c r="E251" s="233">
        <v>0.37912699999999999</v>
      </c>
      <c r="F251" s="234">
        <f>pairs[[#This Row],[ Dist]]*5280</f>
        <v>2001.7905599999999</v>
      </c>
      <c r="G251" s="232">
        <f>ROUND(pairs[[#This Row],[ Az]]-ROUNDDOWN(pairs[[#This Row],[ Az]],0),1)</f>
        <v>0</v>
      </c>
      <c r="H251" s="232">
        <f>ROUND(pairs[[#This Row],[ Back]]-ROUNDDOWN(pairs[[#This Row],[ Back]],0),1)</f>
        <v>0.6</v>
      </c>
      <c r="I251" s="232">
        <f>IF( OR( OR(pairs[[#This Row],[Az*]]=0, pairs[[#This Row],[Back*]]=0), OR(pairs[[#This Row],[Az*]]=1, pairs[[#This Row],[Back*]]=1)), 1, 0)</f>
        <v>1</v>
      </c>
      <c r="J251" s="232">
        <f>IF(OR(pairs[[#This Row],[Az*]]=0.5,pairs[[#This Row],[Back*]]=0.5),1,0)</f>
        <v>0</v>
      </c>
      <c r="K251" s="232"/>
      <c r="L251" s="232"/>
    </row>
    <row r="252" spans="1:12" ht="14.1">
      <c r="A252" s="206" t="s">
        <v>226</v>
      </c>
      <c r="B252" s="206" t="s">
        <v>206</v>
      </c>
      <c r="C252" s="235"/>
      <c r="D252" s="235">
        <v>351.48</v>
      </c>
      <c r="E252" s="236">
        <v>0.40308699999999997</v>
      </c>
      <c r="F252" s="237">
        <f>pairs[[#This Row],[ Dist]]*5280</f>
        <v>2128.29936</v>
      </c>
      <c r="G252" s="235">
        <f>ROUND(pairs[[#This Row],[ Az]]-ROUNDDOWN(pairs[[#This Row],[ Az]],0),1)</f>
        <v>0</v>
      </c>
      <c r="H252" s="235">
        <f>ROUND(pairs[[#This Row],[ Back]]-ROUNDDOWN(pairs[[#This Row],[ Back]],0),1)</f>
        <v>0.5</v>
      </c>
      <c r="I252" s="235">
        <f>IF( OR( OR(pairs[[#This Row],[Az*]]=0, pairs[[#This Row],[Back*]]=0), OR(pairs[[#This Row],[Az*]]=1, pairs[[#This Row],[Back*]]=1)), 1, 0)</f>
        <v>1</v>
      </c>
      <c r="J252" s="235">
        <f>IF(OR(pairs[[#This Row],[Az*]]=0.5,pairs[[#This Row],[Back*]]=0.5),1,0)</f>
        <v>1</v>
      </c>
      <c r="K252" s="232"/>
      <c r="L252" s="232"/>
    </row>
    <row r="253" spans="1:12">
      <c r="A253" s="231" t="s">
        <v>227</v>
      </c>
      <c r="B253" s="231" t="s">
        <v>217</v>
      </c>
      <c r="C253" s="232"/>
      <c r="D253" s="232">
        <v>133.38999999999999</v>
      </c>
      <c r="E253" s="233">
        <v>0.30759199999999998</v>
      </c>
      <c r="F253" s="234">
        <f>pairs[[#This Row],[ Dist]]*5280</f>
        <v>1624.0857599999999</v>
      </c>
      <c r="G253" s="232">
        <f>ROUND(pairs[[#This Row],[ Az]]-ROUNDDOWN(pairs[[#This Row],[ Az]],0),1)</f>
        <v>0</v>
      </c>
      <c r="H253" s="232">
        <f>ROUND(pairs[[#This Row],[ Back]]-ROUNDDOWN(pairs[[#This Row],[ Back]],0),1)</f>
        <v>0.4</v>
      </c>
      <c r="I253" s="232">
        <f>IF( OR( OR(pairs[[#This Row],[Az*]]=0, pairs[[#This Row],[Back*]]=0), OR(pairs[[#This Row],[Az*]]=1, pairs[[#This Row],[Back*]]=1)), 1, 0)</f>
        <v>1</v>
      </c>
      <c r="J253" s="232">
        <f>IF(OR(pairs[[#This Row],[Az*]]=0.5,pairs[[#This Row],[Back*]]=0.5),1,0)</f>
        <v>0</v>
      </c>
      <c r="K253" s="232"/>
      <c r="L253" s="232"/>
    </row>
    <row r="254" spans="1:12">
      <c r="A254" s="231" t="s">
        <v>227</v>
      </c>
      <c r="B254" s="231" t="s">
        <v>196</v>
      </c>
      <c r="C254" s="232"/>
      <c r="D254" s="232">
        <v>141.41999999999999</v>
      </c>
      <c r="E254" s="233">
        <v>0.35860399999999998</v>
      </c>
      <c r="F254" s="234">
        <f>pairs[[#This Row],[ Dist]]*5280</f>
        <v>1893.4291199999998</v>
      </c>
      <c r="G254" s="232">
        <f>ROUND(pairs[[#This Row],[ Az]]-ROUNDDOWN(pairs[[#This Row],[ Az]],0),1)</f>
        <v>0</v>
      </c>
      <c r="H254" s="232">
        <f>ROUND(pairs[[#This Row],[ Back]]-ROUNDDOWN(pairs[[#This Row],[ Back]],0),1)</f>
        <v>0.4</v>
      </c>
      <c r="I254" s="232">
        <f>IF( OR( OR(pairs[[#This Row],[Az*]]=0, pairs[[#This Row],[Back*]]=0), OR(pairs[[#This Row],[Az*]]=1, pairs[[#This Row],[Back*]]=1)), 1, 0)</f>
        <v>1</v>
      </c>
      <c r="J254" s="232">
        <f>IF(OR(pairs[[#This Row],[Az*]]=0.5,pairs[[#This Row],[Back*]]=0.5),1,0)</f>
        <v>0</v>
      </c>
      <c r="K254" s="232"/>
      <c r="L254" s="232"/>
    </row>
    <row r="255" spans="1:12">
      <c r="A255" s="231" t="s">
        <v>227</v>
      </c>
      <c r="B255" s="231" t="s">
        <v>197</v>
      </c>
      <c r="C255" s="232"/>
      <c r="D255" s="232">
        <v>167.08</v>
      </c>
      <c r="E255" s="233">
        <v>0.28655000000000003</v>
      </c>
      <c r="F255" s="234">
        <f>pairs[[#This Row],[ Dist]]*5280</f>
        <v>1512.9840000000002</v>
      </c>
      <c r="G255" s="232">
        <f>ROUND(pairs[[#This Row],[ Az]]-ROUNDDOWN(pairs[[#This Row],[ Az]],0),1)</f>
        <v>0</v>
      </c>
      <c r="H255" s="232">
        <f>ROUND(pairs[[#This Row],[ Back]]-ROUNDDOWN(pairs[[#This Row],[ Back]],0),1)</f>
        <v>0.1</v>
      </c>
      <c r="I255" s="232">
        <f>IF( OR( OR(pairs[[#This Row],[Az*]]=0, pairs[[#This Row],[Back*]]=0), OR(pairs[[#This Row],[Az*]]=1, pairs[[#This Row],[Back*]]=1)), 1, 0)</f>
        <v>1</v>
      </c>
      <c r="J255" s="232">
        <f>IF(OR(pairs[[#This Row],[Az*]]=0.5,pairs[[#This Row],[Back*]]=0.5),1,0)</f>
        <v>0</v>
      </c>
      <c r="K255" s="232"/>
      <c r="L255" s="232"/>
    </row>
    <row r="256" spans="1:12">
      <c r="A256" s="231" t="s">
        <v>227</v>
      </c>
      <c r="B256" s="231" t="s">
        <v>198</v>
      </c>
      <c r="C256" s="232"/>
      <c r="D256" s="232">
        <v>163.33000000000001</v>
      </c>
      <c r="E256" s="233">
        <v>0.218887</v>
      </c>
      <c r="F256" s="234">
        <f>pairs[[#This Row],[ Dist]]*5280</f>
        <v>1155.72336</v>
      </c>
      <c r="G256" s="232">
        <f>ROUND(pairs[[#This Row],[ Az]]-ROUNDDOWN(pairs[[#This Row],[ Az]],0),1)</f>
        <v>0</v>
      </c>
      <c r="H256" s="232">
        <f>ROUND(pairs[[#This Row],[ Back]]-ROUNDDOWN(pairs[[#This Row],[ Back]],0),1)</f>
        <v>0.3</v>
      </c>
      <c r="I256" s="232">
        <f>IF( OR( OR(pairs[[#This Row],[Az*]]=0, pairs[[#This Row],[Back*]]=0), OR(pairs[[#This Row],[Az*]]=1, pairs[[#This Row],[Back*]]=1)), 1, 0)</f>
        <v>1</v>
      </c>
      <c r="J256" s="232">
        <f>IF(OR(pairs[[#This Row],[Az*]]=0.5,pairs[[#This Row],[Back*]]=0.5),1,0)</f>
        <v>0</v>
      </c>
      <c r="K256" s="232"/>
      <c r="L256" s="232"/>
    </row>
    <row r="257" spans="1:12">
      <c r="A257" s="231" t="s">
        <v>227</v>
      </c>
      <c r="B257" s="231" t="s">
        <v>199</v>
      </c>
      <c r="C257" s="232"/>
      <c r="D257" s="232">
        <v>142.4</v>
      </c>
      <c r="E257" s="233">
        <v>0.26361600000000002</v>
      </c>
      <c r="F257" s="234">
        <f>pairs[[#This Row],[ Dist]]*5280</f>
        <v>1391.89248</v>
      </c>
      <c r="G257" s="232">
        <f>ROUND(pairs[[#This Row],[ Az]]-ROUNDDOWN(pairs[[#This Row],[ Az]],0),1)</f>
        <v>0</v>
      </c>
      <c r="H257" s="232">
        <f>ROUND(pairs[[#This Row],[ Back]]-ROUNDDOWN(pairs[[#This Row],[ Back]],0),1)</f>
        <v>0.4</v>
      </c>
      <c r="I257" s="232">
        <f>IF( OR( OR(pairs[[#This Row],[Az*]]=0, pairs[[#This Row],[Back*]]=0), OR(pairs[[#This Row],[Az*]]=1, pairs[[#This Row],[Back*]]=1)), 1, 0)</f>
        <v>1</v>
      </c>
      <c r="J257" s="232">
        <f>IF(OR(pairs[[#This Row],[Az*]]=0.5,pairs[[#This Row],[Back*]]=0.5),1,0)</f>
        <v>0</v>
      </c>
      <c r="K257" s="232"/>
      <c r="L257" s="232"/>
    </row>
    <row r="258" spans="1:12" ht="14.1">
      <c r="A258" s="23" t="s">
        <v>227</v>
      </c>
      <c r="B258" s="23" t="s">
        <v>200</v>
      </c>
      <c r="C258" s="229"/>
      <c r="D258" s="229">
        <v>147.04</v>
      </c>
      <c r="E258" s="25">
        <v>0.248862</v>
      </c>
      <c r="F258" s="230">
        <f>pairs[[#This Row],[ Dist]]*5280</f>
        <v>1313.99136</v>
      </c>
      <c r="G258" s="232">
        <f>ROUND(pairs[[#This Row],[ Az]]-ROUNDDOWN(pairs[[#This Row],[ Az]],0),1)</f>
        <v>0</v>
      </c>
      <c r="H258" s="232">
        <f>ROUND(pairs[[#This Row],[ Back]]-ROUNDDOWN(pairs[[#This Row],[ Back]],0),1)</f>
        <v>0</v>
      </c>
      <c r="I258" s="232">
        <f>IF( OR( OR(pairs[[#This Row],[Az*]]=0, pairs[[#This Row],[Back*]]=0), OR(pairs[[#This Row],[Az*]]=1, pairs[[#This Row],[Back*]]=1)), 1, 0)</f>
        <v>1</v>
      </c>
      <c r="J258" s="232">
        <f>IF(OR(pairs[[#This Row],[Az*]]=0.5,pairs[[#This Row],[Back*]]=0.5),1,0)</f>
        <v>0</v>
      </c>
      <c r="K258" s="232"/>
      <c r="L258" s="232"/>
    </row>
    <row r="259" spans="1:12">
      <c r="A259" s="231" t="s">
        <v>227</v>
      </c>
      <c r="B259" s="231" t="s">
        <v>201</v>
      </c>
      <c r="C259" s="232"/>
      <c r="D259" s="232">
        <v>157.1</v>
      </c>
      <c r="E259" s="233">
        <v>0.226297</v>
      </c>
      <c r="F259" s="234">
        <f>pairs[[#This Row],[ Dist]]*5280</f>
        <v>1194.84816</v>
      </c>
      <c r="G259" s="232">
        <f>ROUND(pairs[[#This Row],[ Az]]-ROUNDDOWN(pairs[[#This Row],[ Az]],0),1)</f>
        <v>0</v>
      </c>
      <c r="H259" s="232">
        <f>ROUND(pairs[[#This Row],[ Back]]-ROUNDDOWN(pairs[[#This Row],[ Back]],0),1)</f>
        <v>0.1</v>
      </c>
      <c r="I259" s="232">
        <f>IF( OR( OR(pairs[[#This Row],[Az*]]=0, pairs[[#This Row],[Back*]]=0), OR(pairs[[#This Row],[Az*]]=1, pairs[[#This Row],[Back*]]=1)), 1, 0)</f>
        <v>1</v>
      </c>
      <c r="J259" s="232">
        <f>IF(OR(pairs[[#This Row],[Az*]]=0.5,pairs[[#This Row],[Back*]]=0.5),1,0)</f>
        <v>0</v>
      </c>
      <c r="K259" s="232"/>
      <c r="L259" s="232"/>
    </row>
    <row r="260" spans="1:12">
      <c r="A260" s="231" t="s">
        <v>227</v>
      </c>
      <c r="B260" s="231" t="s">
        <v>202</v>
      </c>
      <c r="C260" s="232"/>
      <c r="D260" s="232">
        <v>159.6</v>
      </c>
      <c r="E260" s="233">
        <v>0.29722900000000002</v>
      </c>
      <c r="F260" s="234">
        <f>pairs[[#This Row],[ Dist]]*5280</f>
        <v>1569.3691200000001</v>
      </c>
      <c r="G260" s="232">
        <f>ROUND(pairs[[#This Row],[ Az]]-ROUNDDOWN(pairs[[#This Row],[ Az]],0),1)</f>
        <v>0</v>
      </c>
      <c r="H260" s="232">
        <f>ROUND(pairs[[#This Row],[ Back]]-ROUNDDOWN(pairs[[#This Row],[ Back]],0),1)</f>
        <v>0.6</v>
      </c>
      <c r="I260" s="232">
        <f>IF( OR( OR(pairs[[#This Row],[Az*]]=0, pairs[[#This Row],[Back*]]=0), OR(pairs[[#This Row],[Az*]]=1, pairs[[#This Row],[Back*]]=1)), 1, 0)</f>
        <v>1</v>
      </c>
      <c r="J260" s="232">
        <f>IF(OR(pairs[[#This Row],[Az*]]=0.5,pairs[[#This Row],[Back*]]=0.5),1,0)</f>
        <v>0</v>
      </c>
      <c r="K260" s="232"/>
      <c r="L260" s="232"/>
    </row>
    <row r="261" spans="1:12" ht="14.1">
      <c r="A261" s="206" t="s">
        <v>227</v>
      </c>
      <c r="B261" s="206" t="s">
        <v>203</v>
      </c>
      <c r="C261" s="235"/>
      <c r="D261" s="235">
        <v>153.54</v>
      </c>
      <c r="E261" s="236">
        <v>0.31191000000000002</v>
      </c>
      <c r="F261" s="237">
        <f>pairs[[#This Row],[ Dist]]*5280</f>
        <v>1646.8848</v>
      </c>
      <c r="G261" s="235">
        <f>ROUND(pairs[[#This Row],[ Az]]-ROUNDDOWN(pairs[[#This Row],[ Az]],0),1)</f>
        <v>0</v>
      </c>
      <c r="H261" s="235">
        <f>ROUND(pairs[[#This Row],[ Back]]-ROUNDDOWN(pairs[[#This Row],[ Back]],0),1)</f>
        <v>0.5</v>
      </c>
      <c r="I261" s="235">
        <f>IF( OR( OR(pairs[[#This Row],[Az*]]=0, pairs[[#This Row],[Back*]]=0), OR(pairs[[#This Row],[Az*]]=1, pairs[[#This Row],[Back*]]=1)), 1, 0)</f>
        <v>1</v>
      </c>
      <c r="J261" s="235">
        <f>IF(OR(pairs[[#This Row],[Az*]]=0.5,pairs[[#This Row],[Back*]]=0.5),1,0)</f>
        <v>1</v>
      </c>
      <c r="K261" s="232"/>
      <c r="L261" s="232"/>
    </row>
    <row r="262" spans="1:12">
      <c r="A262" s="231" t="s">
        <v>227</v>
      </c>
      <c r="B262" s="231" t="s">
        <v>204</v>
      </c>
      <c r="C262" s="232"/>
      <c r="D262" s="232">
        <v>146.91</v>
      </c>
      <c r="E262" s="233">
        <v>0.29487200000000002</v>
      </c>
      <c r="F262" s="234">
        <f>pairs[[#This Row],[ Dist]]*5280</f>
        <v>1556.92416</v>
      </c>
      <c r="G262" s="232">
        <f>ROUND(pairs[[#This Row],[ Az]]-ROUNDDOWN(pairs[[#This Row],[ Az]],0),1)</f>
        <v>0</v>
      </c>
      <c r="H262" s="232">
        <f>ROUND(pairs[[#This Row],[ Back]]-ROUNDDOWN(pairs[[#This Row],[ Back]],0),1)</f>
        <v>0.9</v>
      </c>
      <c r="I262" s="232">
        <f>IF( OR( OR(pairs[[#This Row],[Az*]]=0, pairs[[#This Row],[Back*]]=0), OR(pairs[[#This Row],[Az*]]=1, pairs[[#This Row],[Back*]]=1)), 1, 0)</f>
        <v>1</v>
      </c>
      <c r="J262" s="232">
        <f>IF(OR(pairs[[#This Row],[Az*]]=0.5,pairs[[#This Row],[Back*]]=0.5),1,0)</f>
        <v>0</v>
      </c>
      <c r="K262" s="232"/>
      <c r="L262" s="232"/>
    </row>
    <row r="263" spans="1:12">
      <c r="A263" s="231" t="s">
        <v>227</v>
      </c>
      <c r="B263" s="231" t="s">
        <v>215</v>
      </c>
      <c r="C263" s="232"/>
      <c r="D263" s="232">
        <v>199.41</v>
      </c>
      <c r="E263" s="233">
        <v>1.0996600000000001</v>
      </c>
      <c r="F263" s="234">
        <f>pairs[[#This Row],[ Dist]]*5280</f>
        <v>5806.2048000000004</v>
      </c>
      <c r="G263" s="232">
        <f>ROUND(pairs[[#This Row],[ Az]]-ROUNDDOWN(pairs[[#This Row],[ Az]],0),1)</f>
        <v>0</v>
      </c>
      <c r="H263" s="232">
        <f>ROUND(pairs[[#This Row],[ Back]]-ROUNDDOWN(pairs[[#This Row],[ Back]],0),1)</f>
        <v>0.4</v>
      </c>
      <c r="I263" s="232">
        <f>IF( OR( OR(pairs[[#This Row],[Az*]]=0, pairs[[#This Row],[Back*]]=0), OR(pairs[[#This Row],[Az*]]=1, pairs[[#This Row],[Back*]]=1)), 1, 0)</f>
        <v>1</v>
      </c>
      <c r="J263" s="232">
        <f>IF(OR(pairs[[#This Row],[Az*]]=0.5,pairs[[#This Row],[Back*]]=0.5),1,0)</f>
        <v>0</v>
      </c>
      <c r="K263" s="232"/>
      <c r="L263" s="232"/>
    </row>
    <row r="264" spans="1:12">
      <c r="A264" s="231" t="s">
        <v>227</v>
      </c>
      <c r="B264" s="231" t="s">
        <v>214</v>
      </c>
      <c r="C264" s="232"/>
      <c r="D264" s="232">
        <v>211.69</v>
      </c>
      <c r="E264" s="233">
        <v>0.57761300000000004</v>
      </c>
      <c r="F264" s="234">
        <f>pairs[[#This Row],[ Dist]]*5280</f>
        <v>3049.79664</v>
      </c>
      <c r="G264" s="232">
        <f>ROUND(pairs[[#This Row],[ Az]]-ROUNDDOWN(pairs[[#This Row],[ Az]],0),1)</f>
        <v>0</v>
      </c>
      <c r="H264" s="232">
        <f>ROUND(pairs[[#This Row],[ Back]]-ROUNDDOWN(pairs[[#This Row],[ Back]],0),1)</f>
        <v>0.7</v>
      </c>
      <c r="I264" s="232">
        <f>IF( OR( OR(pairs[[#This Row],[Az*]]=0, pairs[[#This Row],[Back*]]=0), OR(pairs[[#This Row],[Az*]]=1, pairs[[#This Row],[Back*]]=1)), 1, 0)</f>
        <v>1</v>
      </c>
      <c r="J264" s="232">
        <f>IF(OR(pairs[[#This Row],[Az*]]=0.5,pairs[[#This Row],[Back*]]=0.5),1,0)</f>
        <v>0</v>
      </c>
      <c r="K264" s="232"/>
      <c r="L264" s="232"/>
    </row>
    <row r="265" spans="1:12">
      <c r="A265" s="231" t="s">
        <v>227</v>
      </c>
      <c r="B265" s="231" t="s">
        <v>213</v>
      </c>
      <c r="C265" s="232"/>
      <c r="D265" s="232">
        <v>250.9</v>
      </c>
      <c r="E265" s="233">
        <v>0.19761400000000001</v>
      </c>
      <c r="F265" s="234">
        <f>pairs[[#This Row],[ Dist]]*5280</f>
        <v>1043.40192</v>
      </c>
      <c r="G265" s="232">
        <f>ROUND(pairs[[#This Row],[ Az]]-ROUNDDOWN(pairs[[#This Row],[ Az]],0),1)</f>
        <v>0</v>
      </c>
      <c r="H265" s="232">
        <f>ROUND(pairs[[#This Row],[ Back]]-ROUNDDOWN(pairs[[#This Row],[ Back]],0),1)</f>
        <v>0.9</v>
      </c>
      <c r="I265" s="232">
        <f>IF( OR( OR(pairs[[#This Row],[Az*]]=0, pairs[[#This Row],[Back*]]=0), OR(pairs[[#This Row],[Az*]]=1, pairs[[#This Row],[Back*]]=1)), 1, 0)</f>
        <v>1</v>
      </c>
      <c r="J265" s="232">
        <f>IF(OR(pairs[[#This Row],[Az*]]=0.5,pairs[[#This Row],[Back*]]=0.5),1,0)</f>
        <v>0</v>
      </c>
      <c r="K265" s="232"/>
      <c r="L265" s="232"/>
    </row>
    <row r="266" spans="1:12">
      <c r="A266" s="231" t="s">
        <v>227</v>
      </c>
      <c r="B266" s="231" t="s">
        <v>212</v>
      </c>
      <c r="C266" s="232"/>
      <c r="D266" s="232">
        <v>327.06</v>
      </c>
      <c r="E266" s="233">
        <v>0.63482000000000005</v>
      </c>
      <c r="F266" s="234">
        <f>pairs[[#This Row],[ Dist]]*5280</f>
        <v>3351.8496000000005</v>
      </c>
      <c r="G266" s="232">
        <f>ROUND(pairs[[#This Row],[ Az]]-ROUNDDOWN(pairs[[#This Row],[ Az]],0),1)</f>
        <v>0</v>
      </c>
      <c r="H266" s="232">
        <f>ROUND(pairs[[#This Row],[ Back]]-ROUNDDOWN(pairs[[#This Row],[ Back]],0),1)</f>
        <v>0.1</v>
      </c>
      <c r="I266" s="232">
        <f>IF( OR( OR(pairs[[#This Row],[Az*]]=0, pairs[[#This Row],[Back*]]=0), OR(pairs[[#This Row],[Az*]]=1, pairs[[#This Row],[Back*]]=1)), 1, 0)</f>
        <v>1</v>
      </c>
      <c r="J266" s="232">
        <f>IF(OR(pairs[[#This Row],[Az*]]=0.5,pairs[[#This Row],[Back*]]=0.5),1,0)</f>
        <v>0</v>
      </c>
      <c r="K266" s="232"/>
      <c r="L266" s="232"/>
    </row>
    <row r="267" spans="1:12" ht="14.1">
      <c r="A267" s="206" t="s">
        <v>227</v>
      </c>
      <c r="B267" s="206" t="s">
        <v>211</v>
      </c>
      <c r="C267" s="235"/>
      <c r="D267" s="235">
        <v>16.54</v>
      </c>
      <c r="E267" s="236">
        <v>0.56510000000000005</v>
      </c>
      <c r="F267" s="237">
        <f>pairs[[#This Row],[ Dist]]*5280</f>
        <v>2983.7280000000001</v>
      </c>
      <c r="G267" s="235">
        <f>ROUND(pairs[[#This Row],[ Az]]-ROUNDDOWN(pairs[[#This Row],[ Az]],0),1)</f>
        <v>0</v>
      </c>
      <c r="H267" s="235">
        <f>ROUND(pairs[[#This Row],[ Back]]-ROUNDDOWN(pairs[[#This Row],[ Back]],0),1)</f>
        <v>0.5</v>
      </c>
      <c r="I267" s="235">
        <f>IF( OR( OR(pairs[[#This Row],[Az*]]=0, pairs[[#This Row],[Back*]]=0), OR(pairs[[#This Row],[Az*]]=1, pairs[[#This Row],[Back*]]=1)), 1, 0)</f>
        <v>1</v>
      </c>
      <c r="J267" s="235">
        <f>IF(OR(pairs[[#This Row],[Az*]]=0.5,pairs[[#This Row],[Back*]]=0.5),1,0)</f>
        <v>1</v>
      </c>
      <c r="K267" s="232"/>
      <c r="L267" s="232"/>
    </row>
    <row r="268" spans="1:12">
      <c r="A268" s="231" t="s">
        <v>227</v>
      </c>
      <c r="B268" s="231" t="s">
        <v>210</v>
      </c>
      <c r="C268" s="232"/>
      <c r="D268" s="232">
        <v>127.6</v>
      </c>
      <c r="E268" s="233">
        <v>0.83183399999999996</v>
      </c>
      <c r="F268" s="234">
        <f>pairs[[#This Row],[ Dist]]*5280</f>
        <v>4392.0835200000001</v>
      </c>
      <c r="G268" s="232">
        <f>ROUND(pairs[[#This Row],[ Az]]-ROUNDDOWN(pairs[[#This Row],[ Az]],0),1)</f>
        <v>0</v>
      </c>
      <c r="H268" s="232">
        <f>ROUND(pairs[[#This Row],[ Back]]-ROUNDDOWN(pairs[[#This Row],[ Back]],0),1)</f>
        <v>0.6</v>
      </c>
      <c r="I268" s="232">
        <f>IF( OR( OR(pairs[[#This Row],[Az*]]=0, pairs[[#This Row],[Back*]]=0), OR(pairs[[#This Row],[Az*]]=1, pairs[[#This Row],[Back*]]=1)), 1, 0)</f>
        <v>1</v>
      </c>
      <c r="J268" s="232">
        <f>IF(OR(pairs[[#This Row],[Az*]]=0.5,pairs[[#This Row],[Back*]]=0.5),1,0)</f>
        <v>0</v>
      </c>
      <c r="K268" s="232"/>
      <c r="L268" s="232"/>
    </row>
    <row r="269" spans="1:12">
      <c r="A269" s="231" t="s">
        <v>227</v>
      </c>
      <c r="B269" s="231" t="s">
        <v>209</v>
      </c>
      <c r="C269" s="232"/>
      <c r="D269" s="232">
        <v>78.59</v>
      </c>
      <c r="E269" s="233">
        <v>1.0593729999999999</v>
      </c>
      <c r="F269" s="234">
        <f>pairs[[#This Row],[ Dist]]*5280</f>
        <v>5593.4894399999994</v>
      </c>
      <c r="G269" s="232">
        <f>ROUND(pairs[[#This Row],[ Az]]-ROUNDDOWN(pairs[[#This Row],[ Az]],0),1)</f>
        <v>0</v>
      </c>
      <c r="H269" s="232">
        <f>ROUND(pairs[[#This Row],[ Back]]-ROUNDDOWN(pairs[[#This Row],[ Back]],0),1)</f>
        <v>0.6</v>
      </c>
      <c r="I269" s="232">
        <f>IF( OR( OR(pairs[[#This Row],[Az*]]=0, pairs[[#This Row],[Back*]]=0), OR(pairs[[#This Row],[Az*]]=1, pairs[[#This Row],[Back*]]=1)), 1, 0)</f>
        <v>1</v>
      </c>
      <c r="J269" s="232">
        <f>IF(OR(pairs[[#This Row],[Az*]]=0.5,pairs[[#This Row],[Back*]]=0.5),1,0)</f>
        <v>0</v>
      </c>
      <c r="K269" s="232"/>
      <c r="L269" s="232"/>
    </row>
    <row r="270" spans="1:12">
      <c r="A270" s="231" t="s">
        <v>227</v>
      </c>
      <c r="B270" s="231" t="s">
        <v>208</v>
      </c>
      <c r="C270" s="232"/>
      <c r="D270" s="232">
        <v>88.9</v>
      </c>
      <c r="E270" s="233">
        <v>0.65998199999999996</v>
      </c>
      <c r="F270" s="234">
        <f>pairs[[#This Row],[ Dist]]*5280</f>
        <v>3484.7049599999996</v>
      </c>
      <c r="G270" s="232">
        <f>ROUND(pairs[[#This Row],[ Az]]-ROUNDDOWN(pairs[[#This Row],[ Az]],0),1)</f>
        <v>0</v>
      </c>
      <c r="H270" s="232">
        <f>ROUND(pairs[[#This Row],[ Back]]-ROUNDDOWN(pairs[[#This Row],[ Back]],0),1)</f>
        <v>0.9</v>
      </c>
      <c r="I270" s="232">
        <f>IF( OR( OR(pairs[[#This Row],[Az*]]=0, pairs[[#This Row],[Back*]]=0), OR(pairs[[#This Row],[Az*]]=1, pairs[[#This Row],[Back*]]=1)), 1, 0)</f>
        <v>1</v>
      </c>
      <c r="J270" s="232">
        <f>IF(OR(pairs[[#This Row],[Az*]]=0.5,pairs[[#This Row],[Back*]]=0.5),1,0)</f>
        <v>0</v>
      </c>
      <c r="K270" s="232"/>
      <c r="L270" s="232"/>
    </row>
    <row r="271" spans="1:12">
      <c r="A271" s="231" t="s">
        <v>227</v>
      </c>
      <c r="B271" s="231" t="s">
        <v>207</v>
      </c>
      <c r="C271" s="232"/>
      <c r="D271" s="232">
        <v>168.12</v>
      </c>
      <c r="E271" s="233">
        <v>0.78078700000000001</v>
      </c>
      <c r="F271" s="234">
        <f>pairs[[#This Row],[ Dist]]*5280</f>
        <v>4122.5553600000003</v>
      </c>
      <c r="G271" s="232">
        <f>ROUND(pairs[[#This Row],[ Az]]-ROUNDDOWN(pairs[[#This Row],[ Az]],0),1)</f>
        <v>0</v>
      </c>
      <c r="H271" s="232">
        <f>ROUND(pairs[[#This Row],[ Back]]-ROUNDDOWN(pairs[[#This Row],[ Back]],0),1)</f>
        <v>0.1</v>
      </c>
      <c r="I271" s="232">
        <f>IF( OR( OR(pairs[[#This Row],[Az*]]=0, pairs[[#This Row],[Back*]]=0), OR(pairs[[#This Row],[Az*]]=1, pairs[[#This Row],[Back*]]=1)), 1, 0)</f>
        <v>1</v>
      </c>
      <c r="J271" s="232">
        <f>IF(OR(pairs[[#This Row],[Az*]]=0.5,pairs[[#This Row],[Back*]]=0.5),1,0)</f>
        <v>0</v>
      </c>
      <c r="K271" s="232"/>
      <c r="L271" s="232"/>
    </row>
    <row r="272" spans="1:12" ht="14.1">
      <c r="A272" s="206" t="s">
        <v>227</v>
      </c>
      <c r="B272" s="206" t="s">
        <v>205</v>
      </c>
      <c r="C272" s="235"/>
      <c r="D272" s="235">
        <v>171.48</v>
      </c>
      <c r="E272" s="236">
        <v>0.40308699999999997</v>
      </c>
      <c r="F272" s="237">
        <f>pairs[[#This Row],[ Dist]]*5280</f>
        <v>2128.29936</v>
      </c>
      <c r="G272" s="235">
        <f>ROUND(pairs[[#This Row],[ Az]]-ROUNDDOWN(pairs[[#This Row],[ Az]],0),1)</f>
        <v>0</v>
      </c>
      <c r="H272" s="235">
        <f>ROUND(pairs[[#This Row],[ Back]]-ROUNDDOWN(pairs[[#This Row],[ Back]],0),1)</f>
        <v>0.5</v>
      </c>
      <c r="I272" s="235">
        <f>IF( OR( OR(pairs[[#This Row],[Az*]]=0, pairs[[#This Row],[Back*]]=0), OR(pairs[[#This Row],[Az*]]=1, pairs[[#This Row],[Back*]]=1)), 1, 0)</f>
        <v>1</v>
      </c>
      <c r="J272" s="235">
        <f>IF(OR(pairs[[#This Row],[Az*]]=0.5,pairs[[#This Row],[Back*]]=0.5),1,0)</f>
        <v>1</v>
      </c>
      <c r="K272" s="232"/>
      <c r="L272" s="232"/>
    </row>
    <row r="273" spans="1:12" ht="14.1">
      <c r="A273" s="206" t="s">
        <v>228</v>
      </c>
      <c r="B273" s="206" t="s">
        <v>217</v>
      </c>
      <c r="C273" s="235"/>
      <c r="D273" s="235">
        <v>6.49</v>
      </c>
      <c r="E273" s="236">
        <v>0.55632300000000001</v>
      </c>
      <c r="F273" s="237">
        <f>pairs[[#This Row],[ Dist]]*5280</f>
        <v>2937.38544</v>
      </c>
      <c r="G273" s="235">
        <f>ROUND(pairs[[#This Row],[ Az]]-ROUNDDOWN(pairs[[#This Row],[ Az]],0),1)</f>
        <v>0</v>
      </c>
      <c r="H273" s="235">
        <f>ROUND(pairs[[#This Row],[ Back]]-ROUNDDOWN(pairs[[#This Row],[ Back]],0),1)</f>
        <v>0.5</v>
      </c>
      <c r="I273" s="235">
        <f>IF( OR( OR(pairs[[#This Row],[Az*]]=0, pairs[[#This Row],[Back*]]=0), OR(pairs[[#This Row],[Az*]]=1, pairs[[#This Row],[Back*]]=1)), 1, 0)</f>
        <v>1</v>
      </c>
      <c r="J273" s="235">
        <f>IF(OR(pairs[[#This Row],[Az*]]=0.5,pairs[[#This Row],[Back*]]=0.5),1,0)</f>
        <v>1</v>
      </c>
      <c r="K273" s="232"/>
      <c r="L273" s="232"/>
    </row>
    <row r="274" spans="1:12">
      <c r="A274" s="231" t="s">
        <v>228</v>
      </c>
      <c r="B274" s="231" t="s">
        <v>196</v>
      </c>
      <c r="C274" s="232"/>
      <c r="D274" s="232">
        <v>7.41</v>
      </c>
      <c r="E274" s="233">
        <v>0.48780099999999998</v>
      </c>
      <c r="F274" s="234">
        <f>pairs[[#This Row],[ Dist]]*5280</f>
        <v>2575.5892800000001</v>
      </c>
      <c r="G274" s="232">
        <f>ROUND(pairs[[#This Row],[ Az]]-ROUNDDOWN(pairs[[#This Row],[ Az]],0),1)</f>
        <v>0</v>
      </c>
      <c r="H274" s="232">
        <f>ROUND(pairs[[#This Row],[ Back]]-ROUNDDOWN(pairs[[#This Row],[ Back]],0),1)</f>
        <v>0.4</v>
      </c>
      <c r="I274" s="232">
        <f>IF( OR( OR(pairs[[#This Row],[Az*]]=0, pairs[[#This Row],[Back*]]=0), OR(pairs[[#This Row],[Az*]]=1, pairs[[#This Row],[Back*]]=1)), 1, 0)</f>
        <v>1</v>
      </c>
      <c r="J274" s="232">
        <f>IF(OR(pairs[[#This Row],[Az*]]=0.5,pairs[[#This Row],[Back*]]=0.5),1,0)</f>
        <v>0</v>
      </c>
      <c r="K274" s="232"/>
      <c r="L274" s="232"/>
    </row>
    <row r="275" spans="1:12">
      <c r="A275" s="231" t="s">
        <v>228</v>
      </c>
      <c r="B275" s="231" t="s">
        <v>197</v>
      </c>
      <c r="C275" s="232"/>
      <c r="D275" s="232">
        <v>348.73</v>
      </c>
      <c r="E275" s="233">
        <v>0.49431199999999997</v>
      </c>
      <c r="F275" s="234">
        <f>pairs[[#This Row],[ Dist]]*5280</f>
        <v>2609.9673599999996</v>
      </c>
      <c r="G275" s="232">
        <f>ROUND(pairs[[#This Row],[ Az]]-ROUNDDOWN(pairs[[#This Row],[ Az]],0),1)</f>
        <v>0</v>
      </c>
      <c r="H275" s="232">
        <f>ROUND(pairs[[#This Row],[ Back]]-ROUNDDOWN(pairs[[#This Row],[ Back]],0),1)</f>
        <v>0.7</v>
      </c>
      <c r="I275" s="232">
        <f>IF( OR( OR(pairs[[#This Row],[Az*]]=0, pairs[[#This Row],[Back*]]=0), OR(pairs[[#This Row],[Az*]]=1, pairs[[#This Row],[Back*]]=1)), 1, 0)</f>
        <v>1</v>
      </c>
      <c r="J275" s="232">
        <f>IF(OR(pairs[[#This Row],[Az*]]=0.5,pairs[[#This Row],[Back*]]=0.5),1,0)</f>
        <v>0</v>
      </c>
      <c r="K275" s="232"/>
      <c r="L275" s="232"/>
    </row>
    <row r="276" spans="1:12" ht="14.1">
      <c r="A276" s="23" t="s">
        <v>228</v>
      </c>
      <c r="B276" s="23" t="s">
        <v>198</v>
      </c>
      <c r="C276" s="229"/>
      <c r="D276" s="229">
        <v>349.99</v>
      </c>
      <c r="E276" s="25">
        <v>0.56296500000000005</v>
      </c>
      <c r="F276" s="230">
        <f>pairs[[#This Row],[ Dist]]*5280</f>
        <v>2972.4552000000003</v>
      </c>
      <c r="G276" s="232">
        <f>ROUND(pairs[[#This Row],[ Az]]-ROUNDDOWN(pairs[[#This Row],[ Az]],0),1)</f>
        <v>0</v>
      </c>
      <c r="H276" s="232">
        <f>ROUND(pairs[[#This Row],[ Back]]-ROUNDDOWN(pairs[[#This Row],[ Back]],0),1)</f>
        <v>1</v>
      </c>
      <c r="I276" s="232">
        <f>IF( OR( OR(pairs[[#This Row],[Az*]]=0, pairs[[#This Row],[Back*]]=0), OR(pairs[[#This Row],[Az*]]=1, pairs[[#This Row],[Back*]]=1)), 1, 0)</f>
        <v>1</v>
      </c>
      <c r="J276" s="232">
        <f>IF(OR(pairs[[#This Row],[Az*]]=0.5,pairs[[#This Row],[Back*]]=0.5),1,0)</f>
        <v>0</v>
      </c>
      <c r="K276" s="232"/>
      <c r="L276" s="232"/>
    </row>
    <row r="277" spans="1:12" ht="14.1">
      <c r="A277" s="23" t="s">
        <v>228</v>
      </c>
      <c r="B277" s="23" t="s">
        <v>199</v>
      </c>
      <c r="C277" s="229"/>
      <c r="D277" s="229">
        <v>0.02</v>
      </c>
      <c r="E277" s="25">
        <v>0.55522099999999996</v>
      </c>
      <c r="F277" s="230">
        <f>pairs[[#This Row],[ Dist]]*5280</f>
        <v>2931.5668799999999</v>
      </c>
      <c r="G277" s="232">
        <f>ROUND(pairs[[#This Row],[ Az]]-ROUNDDOWN(pairs[[#This Row],[ Az]],0),1)</f>
        <v>0</v>
      </c>
      <c r="H277" s="232">
        <f>ROUND(pairs[[#This Row],[ Back]]-ROUNDDOWN(pairs[[#This Row],[ Back]],0),1)</f>
        <v>0</v>
      </c>
      <c r="I277" s="232">
        <f>IF( OR( OR(pairs[[#This Row],[Az*]]=0, pairs[[#This Row],[Back*]]=0), OR(pairs[[#This Row],[Az*]]=1, pairs[[#This Row],[Back*]]=1)), 1, 0)</f>
        <v>1</v>
      </c>
      <c r="J277" s="232">
        <f>IF(OR(pairs[[#This Row],[Az*]]=0.5,pairs[[#This Row],[Back*]]=0.5),1,0)</f>
        <v>0</v>
      </c>
      <c r="K277" s="232"/>
      <c r="L277" s="232"/>
    </row>
    <row r="278" spans="1:12">
      <c r="A278" s="231" t="s">
        <v>228</v>
      </c>
      <c r="B278" s="231" t="s">
        <v>200</v>
      </c>
      <c r="C278" s="232"/>
      <c r="D278" s="232">
        <v>357.39</v>
      </c>
      <c r="E278" s="233">
        <v>0.555836</v>
      </c>
      <c r="F278" s="234">
        <f>pairs[[#This Row],[ Dist]]*5280</f>
        <v>2934.8140800000001</v>
      </c>
      <c r="G278" s="232">
        <f>ROUND(pairs[[#This Row],[ Az]]-ROUNDDOWN(pairs[[#This Row],[ Az]],0),1)</f>
        <v>0</v>
      </c>
      <c r="H278" s="232">
        <f>ROUND(pairs[[#This Row],[ Back]]-ROUNDDOWN(pairs[[#This Row],[ Back]],0),1)</f>
        <v>0.4</v>
      </c>
      <c r="I278" s="232">
        <f>IF( OR( OR(pairs[[#This Row],[Az*]]=0, pairs[[#This Row],[Back*]]=0), OR(pairs[[#This Row],[Az*]]=1, pairs[[#This Row],[Back*]]=1)), 1, 0)</f>
        <v>1</v>
      </c>
      <c r="J278" s="232">
        <f>IF(OR(pairs[[#This Row],[Az*]]=0.5,pairs[[#This Row],[Back*]]=0.5),1,0)</f>
        <v>0</v>
      </c>
      <c r="K278" s="232"/>
      <c r="L278" s="232"/>
    </row>
    <row r="279" spans="1:12">
      <c r="A279" s="231" t="s">
        <v>228</v>
      </c>
      <c r="B279" s="231" t="s">
        <v>201</v>
      </c>
      <c r="C279" s="232"/>
      <c r="D279" s="232">
        <v>352.56</v>
      </c>
      <c r="E279" s="233">
        <v>0.56034099999999998</v>
      </c>
      <c r="F279" s="234">
        <f>pairs[[#This Row],[ Dist]]*5280</f>
        <v>2958.6004800000001</v>
      </c>
      <c r="G279" s="232">
        <f>ROUND(pairs[[#This Row],[ Az]]-ROUNDDOWN(pairs[[#This Row],[ Az]],0),1)</f>
        <v>0</v>
      </c>
      <c r="H279" s="232">
        <f>ROUND(pairs[[#This Row],[ Back]]-ROUNDDOWN(pairs[[#This Row],[ Back]],0),1)</f>
        <v>0.6</v>
      </c>
      <c r="I279" s="232">
        <f>IF( OR( OR(pairs[[#This Row],[Az*]]=0, pairs[[#This Row],[Back*]]=0), OR(pairs[[#This Row],[Az*]]=1, pairs[[#This Row],[Back*]]=1)), 1, 0)</f>
        <v>1</v>
      </c>
      <c r="J279" s="232">
        <f>IF(OR(pairs[[#This Row],[Az*]]=0.5,pairs[[#This Row],[Back*]]=0.5),1,0)</f>
        <v>0</v>
      </c>
      <c r="K279" s="232"/>
      <c r="L279" s="232"/>
    </row>
    <row r="280" spans="1:12">
      <c r="A280" s="231" t="s">
        <v>228</v>
      </c>
      <c r="B280" s="231" t="s">
        <v>202</v>
      </c>
      <c r="C280" s="232"/>
      <c r="D280" s="232">
        <v>353.3</v>
      </c>
      <c r="E280" s="233">
        <v>0.48883599999999999</v>
      </c>
      <c r="F280" s="234">
        <f>pairs[[#This Row],[ Dist]]*5280</f>
        <v>2581.0540799999999</v>
      </c>
      <c r="G280" s="232">
        <f>ROUND(pairs[[#This Row],[ Az]]-ROUNDDOWN(pairs[[#This Row],[ Az]],0),1)</f>
        <v>0</v>
      </c>
      <c r="H280" s="232">
        <f>ROUND(pairs[[#This Row],[ Back]]-ROUNDDOWN(pairs[[#This Row],[ Back]],0),1)</f>
        <v>0.3</v>
      </c>
      <c r="I280" s="232">
        <f>IF( OR( OR(pairs[[#This Row],[Az*]]=0, pairs[[#This Row],[Back*]]=0), OR(pairs[[#This Row],[Az*]]=1, pairs[[#This Row],[Back*]]=1)), 1, 0)</f>
        <v>1</v>
      </c>
      <c r="J280" s="232">
        <f>IF(OR(pairs[[#This Row],[Az*]]=0.5,pairs[[#This Row],[Back*]]=0.5),1,0)</f>
        <v>0</v>
      </c>
      <c r="K280" s="232"/>
      <c r="L280" s="232"/>
    </row>
    <row r="281" spans="1:12">
      <c r="A281" s="231" t="s">
        <v>228</v>
      </c>
      <c r="B281" s="231" t="s">
        <v>203</v>
      </c>
      <c r="C281" s="232"/>
      <c r="D281" s="232">
        <v>357.44</v>
      </c>
      <c r="E281" s="233">
        <v>0.48532199999999998</v>
      </c>
      <c r="F281" s="234">
        <f>pairs[[#This Row],[ Dist]]*5280</f>
        <v>2562.5001600000001</v>
      </c>
      <c r="G281" s="232">
        <f>ROUND(pairs[[#This Row],[ Az]]-ROUNDDOWN(pairs[[#This Row],[ Az]],0),1)</f>
        <v>0</v>
      </c>
      <c r="H281" s="232">
        <f>ROUND(pairs[[#This Row],[ Back]]-ROUNDDOWN(pairs[[#This Row],[ Back]],0),1)</f>
        <v>0.4</v>
      </c>
      <c r="I281" s="232">
        <f>IF( OR( OR(pairs[[#This Row],[Az*]]=0, pairs[[#This Row],[Back*]]=0), OR(pairs[[#This Row],[Az*]]=1, pairs[[#This Row],[Back*]]=1)), 1, 0)</f>
        <v>1</v>
      </c>
      <c r="J281" s="232">
        <f>IF(OR(pairs[[#This Row],[Az*]]=0.5,pairs[[#This Row],[Back*]]=0.5),1,0)</f>
        <v>0</v>
      </c>
      <c r="K281" s="232"/>
      <c r="L281" s="232"/>
    </row>
    <row r="282" spans="1:12" ht="14.1">
      <c r="A282" s="23" t="s">
        <v>228</v>
      </c>
      <c r="B282" s="23" t="s">
        <v>204</v>
      </c>
      <c r="C282" s="229"/>
      <c r="D282" s="229">
        <v>0.04</v>
      </c>
      <c r="E282" s="25">
        <v>0.51703900000000003</v>
      </c>
      <c r="F282" s="230">
        <f>pairs[[#This Row],[ Dist]]*5280</f>
        <v>2729.9659200000001</v>
      </c>
      <c r="G282" s="232">
        <f>ROUND(pairs[[#This Row],[ Az]]-ROUNDDOWN(pairs[[#This Row],[ Az]],0),1)</f>
        <v>0</v>
      </c>
      <c r="H282" s="232">
        <f>ROUND(pairs[[#This Row],[ Back]]-ROUNDDOWN(pairs[[#This Row],[ Back]],0),1)</f>
        <v>0</v>
      </c>
      <c r="I282" s="232">
        <f>IF( OR( OR(pairs[[#This Row],[Az*]]=0, pairs[[#This Row],[Back*]]=0), OR(pairs[[#This Row],[Az*]]=1, pairs[[#This Row],[Back*]]=1)), 1, 0)</f>
        <v>1</v>
      </c>
      <c r="J282" s="232">
        <f>IF(OR(pairs[[#This Row],[Az*]]=0.5,pairs[[#This Row],[Back*]]=0.5),1,0)</f>
        <v>0</v>
      </c>
      <c r="K282" s="232"/>
      <c r="L282" s="232"/>
    </row>
    <row r="283" spans="1:12">
      <c r="A283" s="231" t="s">
        <v>228</v>
      </c>
      <c r="B283" s="231" t="s">
        <v>215</v>
      </c>
      <c r="C283" s="232"/>
      <c r="D283" s="232">
        <v>242.57</v>
      </c>
      <c r="E283" s="233">
        <v>0.59275299999999997</v>
      </c>
      <c r="F283" s="234">
        <f>pairs[[#This Row],[ Dist]]*5280</f>
        <v>3129.7358399999998</v>
      </c>
      <c r="G283" s="232">
        <f>ROUND(pairs[[#This Row],[ Az]]-ROUNDDOWN(pairs[[#This Row],[ Az]],0),1)</f>
        <v>0</v>
      </c>
      <c r="H283" s="232">
        <f>ROUND(pairs[[#This Row],[ Back]]-ROUNDDOWN(pairs[[#This Row],[ Back]],0),1)</f>
        <v>0.6</v>
      </c>
      <c r="I283" s="232">
        <f>IF( OR( OR(pairs[[#This Row],[Az*]]=0, pairs[[#This Row],[Back*]]=0), OR(pairs[[#This Row],[Az*]]=1, pairs[[#This Row],[Back*]]=1)), 1, 0)</f>
        <v>1</v>
      </c>
      <c r="J283" s="232">
        <f>IF(OR(pairs[[#This Row],[Az*]]=0.5,pairs[[#This Row],[Back*]]=0.5),1,0)</f>
        <v>0</v>
      </c>
      <c r="K283" s="232"/>
      <c r="L283" s="232"/>
    </row>
    <row r="284" spans="1:12">
      <c r="A284" s="231" t="s">
        <v>228</v>
      </c>
      <c r="B284" s="231" t="s">
        <v>214</v>
      </c>
      <c r="C284" s="232"/>
      <c r="D284" s="232">
        <v>300.43</v>
      </c>
      <c r="E284" s="233">
        <v>0.53820800000000002</v>
      </c>
      <c r="F284" s="234">
        <f>pairs[[#This Row],[ Dist]]*5280</f>
        <v>2841.7382400000001</v>
      </c>
      <c r="G284" s="232">
        <f>ROUND(pairs[[#This Row],[ Az]]-ROUNDDOWN(pairs[[#This Row],[ Az]],0),1)</f>
        <v>0</v>
      </c>
      <c r="H284" s="232">
        <f>ROUND(pairs[[#This Row],[ Back]]-ROUNDDOWN(pairs[[#This Row],[ Back]],0),1)</f>
        <v>0.4</v>
      </c>
      <c r="I284" s="232">
        <f>IF( OR( OR(pairs[[#This Row],[Az*]]=0, pairs[[#This Row],[Back*]]=0), OR(pairs[[#This Row],[Az*]]=1, pairs[[#This Row],[Back*]]=1)), 1, 0)</f>
        <v>1</v>
      </c>
      <c r="J284" s="232">
        <f>IF(OR(pairs[[#This Row],[Az*]]=0.5,pairs[[#This Row],[Back*]]=0.5),1,0)</f>
        <v>0</v>
      </c>
      <c r="K284" s="232"/>
      <c r="L284" s="232"/>
    </row>
    <row r="285" spans="1:12">
      <c r="A285" s="231" t="s">
        <v>228</v>
      </c>
      <c r="B285" s="231" t="s">
        <v>213</v>
      </c>
      <c r="C285" s="232"/>
      <c r="D285" s="232">
        <v>333.59</v>
      </c>
      <c r="E285" s="233">
        <v>0.78093599999999996</v>
      </c>
      <c r="F285" s="234">
        <f>pairs[[#This Row],[ Dist]]*5280</f>
        <v>4123.3420799999994</v>
      </c>
      <c r="G285" s="232">
        <f>ROUND(pairs[[#This Row],[ Az]]-ROUNDDOWN(pairs[[#This Row],[ Az]],0),1)</f>
        <v>0</v>
      </c>
      <c r="H285" s="232">
        <f>ROUND(pairs[[#This Row],[ Back]]-ROUNDDOWN(pairs[[#This Row],[ Back]],0),1)</f>
        <v>0.6</v>
      </c>
      <c r="I285" s="232">
        <f>IF( OR( OR(pairs[[#This Row],[Az*]]=0, pairs[[#This Row],[Back*]]=0), OR(pairs[[#This Row],[Az*]]=1, pairs[[#This Row],[Back*]]=1)), 1, 0)</f>
        <v>1</v>
      </c>
      <c r="J285" s="232">
        <f>IF(OR(pairs[[#This Row],[Az*]]=0.5,pairs[[#This Row],[Back*]]=0.5),1,0)</f>
        <v>0</v>
      </c>
      <c r="K285" s="232"/>
      <c r="L285" s="232"/>
    </row>
    <row r="286" spans="1:12">
      <c r="A286" s="231" t="s">
        <v>228</v>
      </c>
      <c r="B286" s="231" t="s">
        <v>212</v>
      </c>
      <c r="C286" s="232"/>
      <c r="D286" s="232">
        <v>338.7</v>
      </c>
      <c r="E286" s="233">
        <v>1.3920060000000001</v>
      </c>
      <c r="F286" s="234">
        <f>pairs[[#This Row],[ Dist]]*5280</f>
        <v>7349.7916800000003</v>
      </c>
      <c r="G286" s="232">
        <f>ROUND(pairs[[#This Row],[ Az]]-ROUNDDOWN(pairs[[#This Row],[ Az]],0),1)</f>
        <v>0</v>
      </c>
      <c r="H286" s="232">
        <f>ROUND(pairs[[#This Row],[ Back]]-ROUNDDOWN(pairs[[#This Row],[ Back]],0),1)</f>
        <v>0.7</v>
      </c>
      <c r="I286" s="232">
        <f>IF( OR( OR(pairs[[#This Row],[Az*]]=0, pairs[[#This Row],[Back*]]=0), OR(pairs[[#This Row],[Az*]]=1, pairs[[#This Row],[Back*]]=1)), 1, 0)</f>
        <v>1</v>
      </c>
      <c r="J286" s="232">
        <f>IF(OR(pairs[[#This Row],[Az*]]=0.5,pairs[[#This Row],[Back*]]=0.5),1,0)</f>
        <v>0</v>
      </c>
      <c r="K286" s="232"/>
      <c r="L286" s="232"/>
    </row>
    <row r="287" spans="1:12" ht="14.1">
      <c r="A287" s="23" t="s">
        <v>228</v>
      </c>
      <c r="B287" s="23" t="s">
        <v>211</v>
      </c>
      <c r="C287" s="229"/>
      <c r="D287" s="229">
        <v>0.01</v>
      </c>
      <c r="E287" s="25">
        <v>1.305798</v>
      </c>
      <c r="F287" s="230">
        <f>pairs[[#This Row],[ Dist]]*5280</f>
        <v>6894.6134400000001</v>
      </c>
      <c r="G287" s="232">
        <f>ROUND(pairs[[#This Row],[ Az]]-ROUNDDOWN(pairs[[#This Row],[ Az]],0),1)</f>
        <v>0</v>
      </c>
      <c r="H287" s="232">
        <f>ROUND(pairs[[#This Row],[ Back]]-ROUNDDOWN(pairs[[#This Row],[ Back]],0),1)</f>
        <v>0</v>
      </c>
      <c r="I287" s="232">
        <f>IF( OR( OR(pairs[[#This Row],[Az*]]=0, pairs[[#This Row],[Back*]]=0), OR(pairs[[#This Row],[Az*]]=1, pairs[[#This Row],[Back*]]=1)), 1, 0)</f>
        <v>1</v>
      </c>
      <c r="J287" s="232">
        <f>IF(OR(pairs[[#This Row],[Az*]]=0.5,pairs[[#This Row],[Back*]]=0.5),1,0)</f>
        <v>0</v>
      </c>
      <c r="K287" s="232"/>
      <c r="L287" s="232"/>
    </row>
    <row r="288" spans="1:12">
      <c r="A288" s="231" t="s">
        <v>228</v>
      </c>
      <c r="B288" s="231" t="s">
        <v>210</v>
      </c>
      <c r="C288" s="232"/>
      <c r="D288" s="232">
        <v>62.76</v>
      </c>
      <c r="E288" s="233">
        <v>0.560415</v>
      </c>
      <c r="F288" s="234">
        <f>pairs[[#This Row],[ Dist]]*5280</f>
        <v>2958.9911999999999</v>
      </c>
      <c r="G288" s="232">
        <f>ROUND(pairs[[#This Row],[ Az]]-ROUNDDOWN(pairs[[#This Row],[ Az]],0),1)</f>
        <v>0</v>
      </c>
      <c r="H288" s="232">
        <f>ROUND(pairs[[#This Row],[ Back]]-ROUNDDOWN(pairs[[#This Row],[ Back]],0),1)</f>
        <v>0.8</v>
      </c>
      <c r="I288" s="232">
        <f>IF( OR( OR(pairs[[#This Row],[Az*]]=0, pairs[[#This Row],[Back*]]=0), OR(pairs[[#This Row],[Az*]]=1, pairs[[#This Row],[Back*]]=1)), 1, 0)</f>
        <v>1</v>
      </c>
      <c r="J288" s="232">
        <f>IF(OR(pairs[[#This Row],[Az*]]=0.5,pairs[[#This Row],[Back*]]=0.5),1,0)</f>
        <v>0</v>
      </c>
      <c r="K288" s="232"/>
      <c r="L288" s="232"/>
    </row>
    <row r="289" spans="1:12" ht="14.1">
      <c r="A289" s="23" t="s">
        <v>228</v>
      </c>
      <c r="B289" s="23" t="s">
        <v>209</v>
      </c>
      <c r="C289" s="229"/>
      <c r="D289" s="229">
        <v>42.03</v>
      </c>
      <c r="E289" s="25">
        <v>1.3107819999999999</v>
      </c>
      <c r="F289" s="230">
        <f>pairs[[#This Row],[ Dist]]*5280</f>
        <v>6920.9289599999993</v>
      </c>
      <c r="G289" s="232">
        <f>ROUND(pairs[[#This Row],[ Az]]-ROUNDDOWN(pairs[[#This Row],[ Az]],0),1)</f>
        <v>0</v>
      </c>
      <c r="H289" s="232">
        <f>ROUND(pairs[[#This Row],[ Back]]-ROUNDDOWN(pairs[[#This Row],[ Back]],0),1)</f>
        <v>0</v>
      </c>
      <c r="I289" s="232">
        <f>IF( OR( OR(pairs[[#This Row],[Az*]]=0, pairs[[#This Row],[Back*]]=0), OR(pairs[[#This Row],[Az*]]=1, pairs[[#This Row],[Back*]]=1)), 1, 0)</f>
        <v>1</v>
      </c>
      <c r="J289" s="232">
        <f>IF(OR(pairs[[#This Row],[Az*]]=0.5,pairs[[#This Row],[Back*]]=0.5),1,0)</f>
        <v>0</v>
      </c>
      <c r="K289" s="232"/>
      <c r="L289" s="232"/>
    </row>
    <row r="290" spans="1:12">
      <c r="A290" s="231" t="s">
        <v>228</v>
      </c>
      <c r="B290" s="231" t="s">
        <v>208</v>
      </c>
      <c r="C290" s="232"/>
      <c r="D290" s="232">
        <v>32.72</v>
      </c>
      <c r="E290" s="233">
        <v>0.92331300000000005</v>
      </c>
      <c r="F290" s="234">
        <f>pairs[[#This Row],[ Dist]]*5280</f>
        <v>4875.0926399999998</v>
      </c>
      <c r="G290" s="232">
        <f>ROUND(pairs[[#This Row],[ Az]]-ROUNDDOWN(pairs[[#This Row],[ Az]],0),1)</f>
        <v>0</v>
      </c>
      <c r="H290" s="232">
        <f>ROUND(pairs[[#This Row],[ Back]]-ROUNDDOWN(pairs[[#This Row],[ Back]],0),1)</f>
        <v>0.7</v>
      </c>
      <c r="I290" s="232">
        <f>IF( OR( OR(pairs[[#This Row],[Az*]]=0, pairs[[#This Row],[Back*]]=0), OR(pairs[[#This Row],[Az*]]=1, pairs[[#This Row],[Back*]]=1)), 1, 0)</f>
        <v>1</v>
      </c>
      <c r="J290" s="232">
        <f>IF(OR(pairs[[#This Row],[Az*]]=0.5,pairs[[#This Row],[Back*]]=0.5),1,0)</f>
        <v>0</v>
      </c>
      <c r="K290" s="232"/>
      <c r="L290" s="232"/>
    </row>
    <row r="291" spans="1:12">
      <c r="A291" s="231" t="s">
        <v>228</v>
      </c>
      <c r="B291" s="231" t="s">
        <v>206</v>
      </c>
      <c r="C291" s="232"/>
      <c r="D291" s="232">
        <v>348.13</v>
      </c>
      <c r="E291" s="233">
        <v>0.78078700000000001</v>
      </c>
      <c r="F291" s="234">
        <f>pairs[[#This Row],[ Dist]]*5280</f>
        <v>4122.5553600000003</v>
      </c>
      <c r="G291" s="232">
        <f>ROUND(pairs[[#This Row],[ Az]]-ROUNDDOWN(pairs[[#This Row],[ Az]],0),1)</f>
        <v>0</v>
      </c>
      <c r="H291" s="232">
        <f>ROUND(pairs[[#This Row],[ Back]]-ROUNDDOWN(pairs[[#This Row],[ Back]],0),1)</f>
        <v>0.1</v>
      </c>
      <c r="I291" s="232">
        <f>IF( OR( OR(pairs[[#This Row],[Az*]]=0, pairs[[#This Row],[Back*]]=0), OR(pairs[[#This Row],[Az*]]=1, pairs[[#This Row],[Back*]]=1)), 1, 0)</f>
        <v>1</v>
      </c>
      <c r="J291" s="232">
        <f>IF(OR(pairs[[#This Row],[Az*]]=0.5,pairs[[#This Row],[Back*]]=0.5),1,0)</f>
        <v>0</v>
      </c>
      <c r="K291" s="232"/>
      <c r="L291" s="232"/>
    </row>
    <row r="292" spans="1:12">
      <c r="A292" s="231" t="s">
        <v>228</v>
      </c>
      <c r="B292" s="231" t="s">
        <v>205</v>
      </c>
      <c r="C292" s="232"/>
      <c r="D292" s="232">
        <v>344.56</v>
      </c>
      <c r="E292" s="233">
        <v>0.37912699999999999</v>
      </c>
      <c r="F292" s="234">
        <f>pairs[[#This Row],[ Dist]]*5280</f>
        <v>2001.7905599999999</v>
      </c>
      <c r="G292" s="232">
        <f>ROUND(pairs[[#This Row],[ Az]]-ROUNDDOWN(pairs[[#This Row],[ Az]],0),1)</f>
        <v>0</v>
      </c>
      <c r="H292" s="232">
        <f>ROUND(pairs[[#This Row],[ Back]]-ROUNDDOWN(pairs[[#This Row],[ Back]],0),1)</f>
        <v>0.6</v>
      </c>
      <c r="I292" s="232">
        <f>IF( OR( OR(pairs[[#This Row],[Az*]]=0, pairs[[#This Row],[Back*]]=0), OR(pairs[[#This Row],[Az*]]=1, pairs[[#This Row],[Back*]]=1)), 1, 0)</f>
        <v>1</v>
      </c>
      <c r="J292" s="232">
        <f>IF(OR(pairs[[#This Row],[Az*]]=0.5,pairs[[#This Row],[Back*]]=0.5),1,0)</f>
        <v>0</v>
      </c>
      <c r="K292" s="232"/>
      <c r="L292" s="232"/>
    </row>
    <row r="293" spans="1:12">
      <c r="A293" s="231" t="s">
        <v>229</v>
      </c>
      <c r="B293" s="231" t="s">
        <v>217</v>
      </c>
      <c r="C293" s="232"/>
      <c r="D293" s="232">
        <v>242.83</v>
      </c>
      <c r="E293" s="233">
        <v>0.49047000000000002</v>
      </c>
      <c r="F293" s="234">
        <f>pairs[[#This Row],[ Dist]]*5280</f>
        <v>2589.6815999999999</v>
      </c>
      <c r="G293" s="232">
        <f>ROUND(pairs[[#This Row],[ Az]]-ROUNDDOWN(pairs[[#This Row],[ Az]],0),1)</f>
        <v>0</v>
      </c>
      <c r="H293" s="232">
        <f>ROUND(pairs[[#This Row],[ Back]]-ROUNDDOWN(pairs[[#This Row],[ Back]],0),1)</f>
        <v>0.8</v>
      </c>
      <c r="I293" s="232">
        <f>IF( OR( OR(pairs[[#This Row],[Az*]]=0, pairs[[#This Row],[Back*]]=0), OR(pairs[[#This Row],[Az*]]=1, pairs[[#This Row],[Back*]]=1)), 1, 0)</f>
        <v>1</v>
      </c>
      <c r="J293" s="232">
        <f>IF(OR(pairs[[#This Row],[Az*]]=0.5,pairs[[#This Row],[Back*]]=0.5),1,0)</f>
        <v>0</v>
      </c>
      <c r="K293" s="232"/>
      <c r="L293" s="232"/>
    </row>
    <row r="294" spans="1:12">
      <c r="A294" s="231" t="s">
        <v>229</v>
      </c>
      <c r="B294" s="231" t="s">
        <v>196</v>
      </c>
      <c r="C294" s="232"/>
      <c r="D294" s="232">
        <v>236.11</v>
      </c>
      <c r="E294" s="233">
        <v>0.52552200000000004</v>
      </c>
      <c r="F294" s="234">
        <f>pairs[[#This Row],[ Dist]]*5280</f>
        <v>2774.7561600000004</v>
      </c>
      <c r="G294" s="232">
        <f>ROUND(pairs[[#This Row],[ Az]]-ROUNDDOWN(pairs[[#This Row],[ Az]],0),1)</f>
        <v>0</v>
      </c>
      <c r="H294" s="232">
        <f>ROUND(pairs[[#This Row],[ Back]]-ROUNDDOWN(pairs[[#This Row],[ Back]],0),1)</f>
        <v>0.1</v>
      </c>
      <c r="I294" s="232">
        <f>IF( OR( OR(pairs[[#This Row],[Az*]]=0, pairs[[#This Row],[Back*]]=0), OR(pairs[[#This Row],[Az*]]=1, pairs[[#This Row],[Back*]]=1)), 1, 0)</f>
        <v>1</v>
      </c>
      <c r="J294" s="232">
        <f>IF(OR(pairs[[#This Row],[Az*]]=0.5,pairs[[#This Row],[Back*]]=0.5),1,0)</f>
        <v>0</v>
      </c>
      <c r="K294" s="232"/>
      <c r="L294" s="232"/>
    </row>
    <row r="295" spans="1:12">
      <c r="A295" s="231" t="s">
        <v>229</v>
      </c>
      <c r="B295" s="231" t="s">
        <v>197</v>
      </c>
      <c r="C295" s="232"/>
      <c r="D295" s="232">
        <v>243.9</v>
      </c>
      <c r="E295" s="233">
        <v>0.66348499999999999</v>
      </c>
      <c r="F295" s="234">
        <f>pairs[[#This Row],[ Dist]]*5280</f>
        <v>3503.2008000000001</v>
      </c>
      <c r="G295" s="232">
        <f>ROUND(pairs[[#This Row],[ Az]]-ROUNDDOWN(pairs[[#This Row],[ Az]],0),1)</f>
        <v>0</v>
      </c>
      <c r="H295" s="232">
        <f>ROUND(pairs[[#This Row],[ Back]]-ROUNDDOWN(pairs[[#This Row],[ Back]],0),1)</f>
        <v>0.9</v>
      </c>
      <c r="I295" s="232">
        <f>IF( OR( OR(pairs[[#This Row],[Az*]]=0, pairs[[#This Row],[Back*]]=0), OR(pairs[[#This Row],[Az*]]=1, pairs[[#This Row],[Back*]]=1)), 1, 0)</f>
        <v>1</v>
      </c>
      <c r="J295" s="232">
        <f>IF(OR(pairs[[#This Row],[Az*]]=0.5,pairs[[#This Row],[Back*]]=0.5),1,0)</f>
        <v>0</v>
      </c>
      <c r="K295" s="232"/>
      <c r="L295" s="232"/>
    </row>
    <row r="296" spans="1:12">
      <c r="A296" s="231" t="s">
        <v>229</v>
      </c>
      <c r="B296" s="231" t="s">
        <v>198</v>
      </c>
      <c r="C296" s="232"/>
      <c r="D296" s="232">
        <v>249.58</v>
      </c>
      <c r="E296" s="233">
        <v>0.63711499999999999</v>
      </c>
      <c r="F296" s="234">
        <f>pairs[[#This Row],[ Dist]]*5280</f>
        <v>3363.9672</v>
      </c>
      <c r="G296" s="232">
        <f>ROUND(pairs[[#This Row],[ Az]]-ROUNDDOWN(pairs[[#This Row],[ Az]],0),1)</f>
        <v>0</v>
      </c>
      <c r="H296" s="232">
        <f>ROUND(pairs[[#This Row],[ Back]]-ROUNDDOWN(pairs[[#This Row],[ Back]],0),1)</f>
        <v>0.6</v>
      </c>
      <c r="I296" s="232">
        <f>IF( OR( OR(pairs[[#This Row],[Az*]]=0, pairs[[#This Row],[Back*]]=0), OR(pairs[[#This Row],[Az*]]=1, pairs[[#This Row],[Back*]]=1)), 1, 0)</f>
        <v>1</v>
      </c>
      <c r="J296" s="232">
        <f>IF(OR(pairs[[#This Row],[Az*]]=0.5,pairs[[#This Row],[Back*]]=0.5),1,0)</f>
        <v>0</v>
      </c>
      <c r="K296" s="232"/>
      <c r="L296" s="232"/>
    </row>
    <row r="297" spans="1:12">
      <c r="A297" s="231" t="s">
        <v>229</v>
      </c>
      <c r="B297" s="231" t="s">
        <v>199</v>
      </c>
      <c r="C297" s="232"/>
      <c r="D297" s="232">
        <v>246.06</v>
      </c>
      <c r="E297" s="233">
        <v>0.54596699999999998</v>
      </c>
      <c r="F297" s="234">
        <f>pairs[[#This Row],[ Dist]]*5280</f>
        <v>2882.7057599999998</v>
      </c>
      <c r="G297" s="232">
        <f>ROUND(pairs[[#This Row],[ Az]]-ROUNDDOWN(pairs[[#This Row],[ Az]],0),1)</f>
        <v>0</v>
      </c>
      <c r="H297" s="232">
        <f>ROUND(pairs[[#This Row],[ Back]]-ROUNDDOWN(pairs[[#This Row],[ Back]],0),1)</f>
        <v>0.1</v>
      </c>
      <c r="I297" s="232">
        <f>IF( OR( OR(pairs[[#This Row],[Az*]]=0, pairs[[#This Row],[Back*]]=0), OR(pairs[[#This Row],[Az*]]=1, pairs[[#This Row],[Back*]]=1)), 1, 0)</f>
        <v>1</v>
      </c>
      <c r="J297" s="232">
        <f>IF(OR(pairs[[#This Row],[Az*]]=0.5,pairs[[#This Row],[Back*]]=0.5),1,0)</f>
        <v>0</v>
      </c>
      <c r="K297" s="232"/>
      <c r="L297" s="232"/>
    </row>
    <row r="298" spans="1:12">
      <c r="A298" s="231" t="s">
        <v>229</v>
      </c>
      <c r="B298" s="231" t="s">
        <v>200</v>
      </c>
      <c r="C298" s="232"/>
      <c r="D298" s="232">
        <v>247.11</v>
      </c>
      <c r="E298" s="233">
        <v>0.56932400000000005</v>
      </c>
      <c r="F298" s="234">
        <f>pairs[[#This Row],[ Dist]]*5280</f>
        <v>3006.0307200000002</v>
      </c>
      <c r="G298" s="232">
        <f>ROUND(pairs[[#This Row],[ Az]]-ROUNDDOWN(pairs[[#This Row],[ Az]],0),1)</f>
        <v>0</v>
      </c>
      <c r="H298" s="232">
        <f>ROUND(pairs[[#This Row],[ Back]]-ROUNDDOWN(pairs[[#This Row],[ Back]],0),1)</f>
        <v>0.1</v>
      </c>
      <c r="I298" s="232">
        <f>IF( OR( OR(pairs[[#This Row],[Az*]]=0, pairs[[#This Row],[Back*]]=0), OR(pairs[[#This Row],[Az*]]=1, pairs[[#This Row],[Back*]]=1)), 1, 0)</f>
        <v>1</v>
      </c>
      <c r="J298" s="232">
        <f>IF(OR(pairs[[#This Row],[Az*]]=0.5,pairs[[#This Row],[Back*]]=0.5),1,0)</f>
        <v>0</v>
      </c>
      <c r="K298" s="232"/>
      <c r="L298" s="232"/>
    </row>
    <row r="299" spans="1:12">
      <c r="A299" s="231" t="s">
        <v>229</v>
      </c>
      <c r="B299" s="231" t="s">
        <v>201</v>
      </c>
      <c r="C299" s="232"/>
      <c r="D299" s="232">
        <v>248.86</v>
      </c>
      <c r="E299" s="233">
        <v>0.61306700000000003</v>
      </c>
      <c r="F299" s="234">
        <f>pairs[[#This Row],[ Dist]]*5280</f>
        <v>3236.9937600000003</v>
      </c>
      <c r="G299" s="232">
        <f>ROUND(pairs[[#This Row],[ Az]]-ROUNDDOWN(pairs[[#This Row],[ Az]],0),1)</f>
        <v>0</v>
      </c>
      <c r="H299" s="232">
        <f>ROUND(pairs[[#This Row],[ Back]]-ROUNDDOWN(pairs[[#This Row],[ Back]],0),1)</f>
        <v>0.9</v>
      </c>
      <c r="I299" s="232">
        <f>IF( OR( OR(pairs[[#This Row],[Az*]]=0, pairs[[#This Row],[Back*]]=0), OR(pairs[[#This Row],[Az*]]=1, pairs[[#This Row],[Back*]]=1)), 1, 0)</f>
        <v>1</v>
      </c>
      <c r="J299" s="232">
        <f>IF(OR(pairs[[#This Row],[Az*]]=0.5,pairs[[#This Row],[Back*]]=0.5),1,0)</f>
        <v>0</v>
      </c>
      <c r="K299" s="232"/>
      <c r="L299" s="232"/>
    </row>
    <row r="300" spans="1:12">
      <c r="A300" s="231" t="s">
        <v>229</v>
      </c>
      <c r="B300" s="231" t="s">
        <v>202</v>
      </c>
      <c r="C300" s="232"/>
      <c r="D300" s="232">
        <v>242.36</v>
      </c>
      <c r="E300" s="233">
        <v>0.62787300000000001</v>
      </c>
      <c r="F300" s="234">
        <f>pairs[[#This Row],[ Dist]]*5280</f>
        <v>3315.1694400000001</v>
      </c>
      <c r="G300" s="232">
        <f>ROUND(pairs[[#This Row],[ Az]]-ROUNDDOWN(pairs[[#This Row],[ Az]],0),1)</f>
        <v>0</v>
      </c>
      <c r="H300" s="232">
        <f>ROUND(pairs[[#This Row],[ Back]]-ROUNDDOWN(pairs[[#This Row],[ Back]],0),1)</f>
        <v>0.4</v>
      </c>
      <c r="I300" s="232">
        <f>IF( OR( OR(pairs[[#This Row],[Az*]]=0, pairs[[#This Row],[Back*]]=0), OR(pairs[[#This Row],[Az*]]=1, pairs[[#This Row],[Back*]]=1)), 1, 0)</f>
        <v>1</v>
      </c>
      <c r="J300" s="232">
        <f>IF(OR(pairs[[#This Row],[Az*]]=0.5,pairs[[#This Row],[Back*]]=0.5),1,0)</f>
        <v>0</v>
      </c>
      <c r="K300" s="232"/>
      <c r="L300" s="232"/>
    </row>
    <row r="301" spans="1:12">
      <c r="A301" s="231" t="s">
        <v>229</v>
      </c>
      <c r="B301" s="231" t="s">
        <v>203</v>
      </c>
      <c r="C301" s="232"/>
      <c r="D301" s="232">
        <v>240.73</v>
      </c>
      <c r="E301" s="233">
        <v>0.59710300000000005</v>
      </c>
      <c r="F301" s="234">
        <f>pairs[[#This Row],[ Dist]]*5280</f>
        <v>3152.7038400000001</v>
      </c>
      <c r="G301" s="232">
        <f>ROUND(pairs[[#This Row],[ Az]]-ROUNDDOWN(pairs[[#This Row],[ Az]],0),1)</f>
        <v>0</v>
      </c>
      <c r="H301" s="232">
        <f>ROUND(pairs[[#This Row],[ Back]]-ROUNDDOWN(pairs[[#This Row],[ Back]],0),1)</f>
        <v>0.7</v>
      </c>
      <c r="I301" s="232">
        <f>IF( OR( OR(pairs[[#This Row],[Az*]]=0, pairs[[#This Row],[Back*]]=0), OR(pairs[[#This Row],[Az*]]=1, pairs[[#This Row],[Back*]]=1)), 1, 0)</f>
        <v>1</v>
      </c>
      <c r="J301" s="232">
        <f>IF(OR(pairs[[#This Row],[Az*]]=0.5,pairs[[#This Row],[Back*]]=0.5),1,0)</f>
        <v>0</v>
      </c>
      <c r="K301" s="232"/>
      <c r="L301" s="232"/>
    </row>
    <row r="302" spans="1:12" ht="14.1">
      <c r="A302" s="206" t="s">
        <v>229</v>
      </c>
      <c r="B302" s="206" t="s">
        <v>204</v>
      </c>
      <c r="C302" s="235"/>
      <c r="D302" s="235">
        <v>242.5</v>
      </c>
      <c r="E302" s="236">
        <v>0.56240699999999999</v>
      </c>
      <c r="F302" s="237">
        <f>pairs[[#This Row],[ Dist]]*5280</f>
        <v>2969.5089600000001</v>
      </c>
      <c r="G302" s="235">
        <f>ROUND(pairs[[#This Row],[ Az]]-ROUNDDOWN(pairs[[#This Row],[ Az]],0),1)</f>
        <v>0</v>
      </c>
      <c r="H302" s="235">
        <f>ROUND(pairs[[#This Row],[ Back]]-ROUNDDOWN(pairs[[#This Row],[ Back]],0),1)</f>
        <v>0.5</v>
      </c>
      <c r="I302" s="235">
        <f>IF( OR( OR(pairs[[#This Row],[Az*]]=0, pairs[[#This Row],[Back*]]=0), OR(pairs[[#This Row],[Az*]]=1, pairs[[#This Row],[Back*]]=1)), 1, 0)</f>
        <v>1</v>
      </c>
      <c r="J302" s="235">
        <f>IF(OR(pairs[[#This Row],[Az*]]=0.5,pairs[[#This Row],[Back*]]=0.5),1,0)</f>
        <v>1</v>
      </c>
      <c r="K302" s="232"/>
      <c r="L302" s="232"/>
    </row>
    <row r="303" spans="1:12">
      <c r="A303" s="231" t="s">
        <v>229</v>
      </c>
      <c r="B303" s="231" t="s">
        <v>215</v>
      </c>
      <c r="C303" s="232"/>
      <c r="D303" s="232">
        <v>224.33</v>
      </c>
      <c r="E303" s="233">
        <v>1.467427</v>
      </c>
      <c r="F303" s="234">
        <f>pairs[[#This Row],[ Dist]]*5280</f>
        <v>7748.0145600000005</v>
      </c>
      <c r="G303" s="232">
        <f>ROUND(pairs[[#This Row],[ Az]]-ROUNDDOWN(pairs[[#This Row],[ Az]],0),1)</f>
        <v>0</v>
      </c>
      <c r="H303" s="232">
        <f>ROUND(pairs[[#This Row],[ Back]]-ROUNDDOWN(pairs[[#This Row],[ Back]],0),1)</f>
        <v>0.3</v>
      </c>
      <c r="I303" s="232">
        <f>IF( OR( OR(pairs[[#This Row],[Az*]]=0, pairs[[#This Row],[Back*]]=0), OR(pairs[[#This Row],[Az*]]=1, pairs[[#This Row],[Back*]]=1)), 1, 0)</f>
        <v>1</v>
      </c>
      <c r="J303" s="232">
        <f>IF(OR(pairs[[#This Row],[Az*]]=0.5,pairs[[#This Row],[Back*]]=0.5),1,0)</f>
        <v>0</v>
      </c>
      <c r="K303" s="232"/>
      <c r="L303" s="232"/>
    </row>
    <row r="304" spans="1:12">
      <c r="A304" s="231" t="s">
        <v>229</v>
      </c>
      <c r="B304" s="231" t="s">
        <v>214</v>
      </c>
      <c r="C304" s="232"/>
      <c r="D304" s="232">
        <v>242.38</v>
      </c>
      <c r="E304" s="233">
        <v>1.087232</v>
      </c>
      <c r="F304" s="234">
        <f>pairs[[#This Row],[ Dist]]*5280</f>
        <v>5740.5849600000001</v>
      </c>
      <c r="G304" s="232">
        <f>ROUND(pairs[[#This Row],[ Az]]-ROUNDDOWN(pairs[[#This Row],[ Az]],0),1)</f>
        <v>0</v>
      </c>
      <c r="H304" s="232">
        <f>ROUND(pairs[[#This Row],[ Back]]-ROUNDDOWN(pairs[[#This Row],[ Back]],0),1)</f>
        <v>0.4</v>
      </c>
      <c r="I304" s="232">
        <f>IF( OR( OR(pairs[[#This Row],[Az*]]=0, pairs[[#This Row],[Back*]]=0), OR(pairs[[#This Row],[Az*]]=1, pairs[[#This Row],[Back*]]=1)), 1, 0)</f>
        <v>1</v>
      </c>
      <c r="J304" s="232">
        <f>IF(OR(pairs[[#This Row],[Az*]]=0.5,pairs[[#This Row],[Back*]]=0.5),1,0)</f>
        <v>0</v>
      </c>
      <c r="K304" s="232"/>
      <c r="L304" s="232"/>
    </row>
    <row r="305" spans="1:12">
      <c r="A305" s="231" t="s">
        <v>229</v>
      </c>
      <c r="B305" s="231" t="s">
        <v>213</v>
      </c>
      <c r="C305" s="232"/>
      <c r="D305" s="232">
        <v>264.79000000000002</v>
      </c>
      <c r="E305" s="233">
        <v>0.85011800000000004</v>
      </c>
      <c r="F305" s="234">
        <f>pairs[[#This Row],[ Dist]]*5280</f>
        <v>4488.6230400000004</v>
      </c>
      <c r="G305" s="232">
        <f>ROUND(pairs[[#This Row],[ Az]]-ROUNDDOWN(pairs[[#This Row],[ Az]],0),1)</f>
        <v>0</v>
      </c>
      <c r="H305" s="232">
        <f>ROUND(pairs[[#This Row],[ Back]]-ROUNDDOWN(pairs[[#This Row],[ Back]],0),1)</f>
        <v>0.8</v>
      </c>
      <c r="I305" s="232">
        <f>IF( OR( OR(pairs[[#This Row],[Az*]]=0, pairs[[#This Row],[Back*]]=0), OR(pairs[[#This Row],[Az*]]=1, pairs[[#This Row],[Back*]]=1)), 1, 0)</f>
        <v>1</v>
      </c>
      <c r="J305" s="232">
        <f>IF(OR(pairs[[#This Row],[Az*]]=0.5,pairs[[#This Row],[Back*]]=0.5),1,0)</f>
        <v>0</v>
      </c>
      <c r="K305" s="232"/>
      <c r="L305" s="232"/>
    </row>
    <row r="306" spans="1:12">
      <c r="A306" s="231" t="s">
        <v>229</v>
      </c>
      <c r="B306" s="231" t="s">
        <v>212</v>
      </c>
      <c r="C306" s="232"/>
      <c r="D306" s="232">
        <v>297.37</v>
      </c>
      <c r="E306" s="233">
        <v>1.131669</v>
      </c>
      <c r="F306" s="234">
        <f>pairs[[#This Row],[ Dist]]*5280</f>
        <v>5975.2123200000005</v>
      </c>
      <c r="G306" s="232">
        <f>ROUND(pairs[[#This Row],[ Az]]-ROUNDDOWN(pairs[[#This Row],[ Az]],0),1)</f>
        <v>0</v>
      </c>
      <c r="H306" s="232">
        <f>ROUND(pairs[[#This Row],[ Back]]-ROUNDDOWN(pairs[[#This Row],[ Back]],0),1)</f>
        <v>0.4</v>
      </c>
      <c r="I306" s="232">
        <f>IF( OR( OR(pairs[[#This Row],[Az*]]=0, pairs[[#This Row],[Back*]]=0), OR(pairs[[#This Row],[Az*]]=1, pairs[[#This Row],[Back*]]=1)), 1, 0)</f>
        <v>1</v>
      </c>
      <c r="J306" s="232">
        <f>IF(OR(pairs[[#This Row],[Az*]]=0.5,pairs[[#This Row],[Back*]]=0.5),1,0)</f>
        <v>0</v>
      </c>
      <c r="K306" s="232"/>
      <c r="L306" s="232"/>
    </row>
    <row r="307" spans="1:12">
      <c r="A307" s="231" t="s">
        <v>229</v>
      </c>
      <c r="B307" s="231" t="s">
        <v>211</v>
      </c>
      <c r="C307" s="232"/>
      <c r="D307" s="232">
        <v>316.67</v>
      </c>
      <c r="E307" s="233">
        <v>0.72726199999999996</v>
      </c>
      <c r="F307" s="234">
        <f>pairs[[#This Row],[ Dist]]*5280</f>
        <v>3839.9433599999998</v>
      </c>
      <c r="G307" s="232">
        <f>ROUND(pairs[[#This Row],[ Az]]-ROUNDDOWN(pairs[[#This Row],[ Az]],0),1)</f>
        <v>0</v>
      </c>
      <c r="H307" s="232">
        <f>ROUND(pairs[[#This Row],[ Back]]-ROUNDDOWN(pairs[[#This Row],[ Back]],0),1)</f>
        <v>0.7</v>
      </c>
      <c r="I307" s="232">
        <f>IF( OR( OR(pairs[[#This Row],[Az*]]=0, pairs[[#This Row],[Back*]]=0), OR(pairs[[#This Row],[Az*]]=1, pairs[[#This Row],[Back*]]=1)), 1, 0)</f>
        <v>1</v>
      </c>
      <c r="J307" s="232">
        <f>IF(OR(pairs[[#This Row],[Az*]]=0.5,pairs[[#This Row],[Back*]]=0.5),1,0)</f>
        <v>0</v>
      </c>
      <c r="K307" s="232"/>
      <c r="L307" s="232"/>
    </row>
    <row r="308" spans="1:12">
      <c r="A308" s="231" t="s">
        <v>229</v>
      </c>
      <c r="B308" s="231" t="s">
        <v>210</v>
      </c>
      <c r="C308" s="232"/>
      <c r="D308" s="232">
        <v>180.09</v>
      </c>
      <c r="E308" s="233">
        <v>0.52029999999999998</v>
      </c>
      <c r="F308" s="234">
        <f>pairs[[#This Row],[ Dist]]*5280</f>
        <v>2747.1839999999997</v>
      </c>
      <c r="G308" s="232">
        <f>ROUND(pairs[[#This Row],[ Az]]-ROUNDDOWN(pairs[[#This Row],[ Az]],0),1)</f>
        <v>0</v>
      </c>
      <c r="H308" s="232">
        <f>ROUND(pairs[[#This Row],[ Back]]-ROUNDDOWN(pairs[[#This Row],[ Back]],0),1)</f>
        <v>0.1</v>
      </c>
      <c r="I308" s="232">
        <f>IF( OR( OR(pairs[[#This Row],[Az*]]=0, pairs[[#This Row],[Back*]]=0), OR(pairs[[#This Row],[Az*]]=1, pairs[[#This Row],[Back*]]=1)), 1, 0)</f>
        <v>1</v>
      </c>
      <c r="J308" s="232">
        <f>IF(OR(pairs[[#This Row],[Az*]]=0.5,pairs[[#This Row],[Back*]]=0.5),1,0)</f>
        <v>0</v>
      </c>
      <c r="K308" s="232"/>
      <c r="L308" s="232"/>
    </row>
    <row r="309" spans="1:12" ht="14.1">
      <c r="A309" s="206" t="s">
        <v>229</v>
      </c>
      <c r="B309" s="206" t="s">
        <v>209</v>
      </c>
      <c r="C309" s="235"/>
      <c r="D309" s="235">
        <v>62.53</v>
      </c>
      <c r="E309" s="236">
        <v>0.42666999999999999</v>
      </c>
      <c r="F309" s="237">
        <f>pairs[[#This Row],[ Dist]]*5280</f>
        <v>2252.8175999999999</v>
      </c>
      <c r="G309" s="235">
        <f>ROUND(pairs[[#This Row],[ Az]]-ROUNDDOWN(pairs[[#This Row],[ Az]],0),1)</f>
        <v>0</v>
      </c>
      <c r="H309" s="235">
        <f>ROUND(pairs[[#This Row],[ Back]]-ROUNDDOWN(pairs[[#This Row],[ Back]],0),1)</f>
        <v>0.5</v>
      </c>
      <c r="I309" s="235">
        <f>IF( OR( OR(pairs[[#This Row],[Az*]]=0, pairs[[#This Row],[Back*]]=0), OR(pairs[[#This Row],[Az*]]=1, pairs[[#This Row],[Back*]]=1)), 1, 0)</f>
        <v>1</v>
      </c>
      <c r="J309" s="235">
        <f>IF(OR(pairs[[#This Row],[Az*]]=0.5,pairs[[#This Row],[Back*]]=0.5),1,0)</f>
        <v>1</v>
      </c>
      <c r="K309" s="232"/>
      <c r="L309" s="232"/>
    </row>
    <row r="310" spans="1:12">
      <c r="A310" s="231" t="s">
        <v>229</v>
      </c>
      <c r="B310" s="231" t="s">
        <v>207</v>
      </c>
      <c r="C310" s="232"/>
      <c r="D310" s="232">
        <v>212.73</v>
      </c>
      <c r="E310" s="233">
        <v>0.92331300000000005</v>
      </c>
      <c r="F310" s="234">
        <f>pairs[[#This Row],[ Dist]]*5280</f>
        <v>4875.0926399999998</v>
      </c>
      <c r="G310" s="232">
        <f>ROUND(pairs[[#This Row],[ Az]]-ROUNDDOWN(pairs[[#This Row],[ Az]],0),1)</f>
        <v>0</v>
      </c>
      <c r="H310" s="232">
        <f>ROUND(pairs[[#This Row],[ Back]]-ROUNDDOWN(pairs[[#This Row],[ Back]],0),1)</f>
        <v>0.7</v>
      </c>
      <c r="I310" s="232">
        <f>IF( OR( OR(pairs[[#This Row],[Az*]]=0, pairs[[#This Row],[Back*]]=0), OR(pairs[[#This Row],[Az*]]=1, pairs[[#This Row],[Back*]]=1)), 1, 0)</f>
        <v>1</v>
      </c>
      <c r="J310" s="232">
        <f>IF(OR(pairs[[#This Row],[Az*]]=0.5,pairs[[#This Row],[Back*]]=0.5),1,0)</f>
        <v>0</v>
      </c>
      <c r="K310" s="232"/>
      <c r="L310" s="232"/>
    </row>
    <row r="311" spans="1:12">
      <c r="A311" s="231" t="s">
        <v>229</v>
      </c>
      <c r="B311" s="231" t="s">
        <v>206</v>
      </c>
      <c r="C311" s="232"/>
      <c r="D311" s="232">
        <v>268.89999999999998</v>
      </c>
      <c r="E311" s="233">
        <v>0.65998199999999996</v>
      </c>
      <c r="F311" s="234">
        <f>pairs[[#This Row],[ Dist]]*5280</f>
        <v>3484.7049599999996</v>
      </c>
      <c r="G311" s="232">
        <f>ROUND(pairs[[#This Row],[ Az]]-ROUNDDOWN(pairs[[#This Row],[ Az]],0),1)</f>
        <v>0</v>
      </c>
      <c r="H311" s="232">
        <f>ROUND(pairs[[#This Row],[ Back]]-ROUNDDOWN(pairs[[#This Row],[ Back]],0),1)</f>
        <v>0.9</v>
      </c>
      <c r="I311" s="232">
        <f>IF( OR( OR(pairs[[#This Row],[Az*]]=0, pairs[[#This Row],[Back*]]=0), OR(pairs[[#This Row],[Az*]]=1, pairs[[#This Row],[Back*]]=1)), 1, 0)</f>
        <v>1</v>
      </c>
      <c r="J311" s="232">
        <f>IF(OR(pairs[[#This Row],[Az*]]=0.5,pairs[[#This Row],[Back*]]=0.5),1,0)</f>
        <v>0</v>
      </c>
      <c r="K311" s="232"/>
      <c r="L311" s="232"/>
    </row>
    <row r="312" spans="1:12">
      <c r="A312" s="231" t="s">
        <v>229</v>
      </c>
      <c r="B312" s="231" t="s">
        <v>205</v>
      </c>
      <c r="C312" s="232"/>
      <c r="D312" s="232">
        <v>235.58</v>
      </c>
      <c r="E312" s="233">
        <v>0.72756299999999996</v>
      </c>
      <c r="F312" s="234">
        <f>pairs[[#This Row],[ Dist]]*5280</f>
        <v>3841.5326399999999</v>
      </c>
      <c r="G312" s="232">
        <f>ROUND(pairs[[#This Row],[ Az]]-ROUNDDOWN(pairs[[#This Row],[ Az]],0),1)</f>
        <v>0</v>
      </c>
      <c r="H312" s="232">
        <f>ROUND(pairs[[#This Row],[ Back]]-ROUNDDOWN(pairs[[#This Row],[ Back]],0),1)</f>
        <v>0.6</v>
      </c>
      <c r="I312" s="232">
        <f>IF( OR( OR(pairs[[#This Row],[Az*]]=0, pairs[[#This Row],[Back*]]=0), OR(pairs[[#This Row],[Az*]]=1, pairs[[#This Row],[Back*]]=1)), 1, 0)</f>
        <v>1</v>
      </c>
      <c r="J312" s="232">
        <f>IF(OR(pairs[[#This Row],[Az*]]=0.5,pairs[[#This Row],[Back*]]=0.5),1,0)</f>
        <v>0</v>
      </c>
      <c r="K312" s="232"/>
      <c r="L312" s="232"/>
    </row>
    <row r="313" spans="1:12">
      <c r="A313" s="231" t="s">
        <v>230</v>
      </c>
      <c r="B313" s="231" t="s">
        <v>217</v>
      </c>
      <c r="C313" s="232"/>
      <c r="D313" s="232">
        <v>242.7</v>
      </c>
      <c r="E313" s="233">
        <v>0.91713699999999998</v>
      </c>
      <c r="F313" s="234">
        <f>pairs[[#This Row],[ Dist]]*5280</f>
        <v>4842.4833600000002</v>
      </c>
      <c r="G313" s="232">
        <f>ROUND(pairs[[#This Row],[ Az]]-ROUNDDOWN(pairs[[#This Row],[ Az]],0),1)</f>
        <v>0</v>
      </c>
      <c r="H313" s="232">
        <f>ROUND(pairs[[#This Row],[ Back]]-ROUNDDOWN(pairs[[#This Row],[ Back]],0),1)</f>
        <v>0.7</v>
      </c>
      <c r="I313" s="232">
        <f>IF( OR( OR(pairs[[#This Row],[Az*]]=0, pairs[[#This Row],[Back*]]=0), OR(pairs[[#This Row],[Az*]]=1, pairs[[#This Row],[Back*]]=1)), 1, 0)</f>
        <v>1</v>
      </c>
      <c r="J313" s="232">
        <f>IF(OR(pairs[[#This Row],[Az*]]=0.5,pairs[[#This Row],[Back*]]=0.5),1,0)</f>
        <v>0</v>
      </c>
      <c r="K313" s="232"/>
      <c r="L313" s="232"/>
    </row>
    <row r="314" spans="1:12" ht="14.1">
      <c r="A314" s="23" t="s">
        <v>230</v>
      </c>
      <c r="B314" s="23" t="s">
        <v>196</v>
      </c>
      <c r="C314" s="229"/>
      <c r="D314" s="229">
        <v>238.99</v>
      </c>
      <c r="E314" s="25">
        <v>0.95070900000000003</v>
      </c>
      <c r="F314" s="230">
        <f>pairs[[#This Row],[ Dist]]*5280</f>
        <v>5019.74352</v>
      </c>
      <c r="G314" s="232">
        <f>ROUND(pairs[[#This Row],[ Az]]-ROUNDDOWN(pairs[[#This Row],[ Az]],0),1)</f>
        <v>0</v>
      </c>
      <c r="H314" s="232">
        <f>ROUND(pairs[[#This Row],[ Back]]-ROUNDDOWN(pairs[[#This Row],[ Back]],0),1)</f>
        <v>1</v>
      </c>
      <c r="I314" s="232">
        <f>IF( OR( OR(pairs[[#This Row],[Az*]]=0, pairs[[#This Row],[Back*]]=0), OR(pairs[[#This Row],[Az*]]=1, pairs[[#This Row],[Back*]]=1)), 1, 0)</f>
        <v>1</v>
      </c>
      <c r="J314" s="232">
        <f>IF(OR(pairs[[#This Row],[Az*]]=0.5,pairs[[#This Row],[Back*]]=0.5),1,0)</f>
        <v>0</v>
      </c>
      <c r="K314" s="232"/>
      <c r="L314" s="232"/>
    </row>
    <row r="315" spans="1:12">
      <c r="A315" s="231" t="s">
        <v>230</v>
      </c>
      <c r="B315" s="231" t="s">
        <v>197</v>
      </c>
      <c r="C315" s="232"/>
      <c r="D315" s="232">
        <v>243.37</v>
      </c>
      <c r="E315" s="233">
        <v>1.0900829999999999</v>
      </c>
      <c r="F315" s="234">
        <f>pairs[[#This Row],[ Dist]]*5280</f>
        <v>5755.6382399999993</v>
      </c>
      <c r="G315" s="232">
        <f>ROUND(pairs[[#This Row],[ Az]]-ROUNDDOWN(pairs[[#This Row],[ Az]],0),1)</f>
        <v>0</v>
      </c>
      <c r="H315" s="232">
        <f>ROUND(pairs[[#This Row],[ Back]]-ROUNDDOWN(pairs[[#This Row],[ Back]],0),1)</f>
        <v>0.4</v>
      </c>
      <c r="I315" s="232">
        <f>IF( OR( OR(pairs[[#This Row],[Az*]]=0, pairs[[#This Row],[Back*]]=0), OR(pairs[[#This Row],[Az*]]=1, pairs[[#This Row],[Back*]]=1)), 1, 0)</f>
        <v>1</v>
      </c>
      <c r="J315" s="232">
        <f>IF(OR(pairs[[#This Row],[Az*]]=0.5,pairs[[#This Row],[Back*]]=0.5),1,0)</f>
        <v>0</v>
      </c>
      <c r="K315" s="232"/>
      <c r="L315" s="232"/>
    </row>
    <row r="316" spans="1:12">
      <c r="A316" s="231" t="s">
        <v>230</v>
      </c>
      <c r="B316" s="231" t="s">
        <v>198</v>
      </c>
      <c r="C316" s="232"/>
      <c r="D316" s="232">
        <v>246.76</v>
      </c>
      <c r="E316" s="233">
        <v>1.061863</v>
      </c>
      <c r="F316" s="234">
        <f>pairs[[#This Row],[ Dist]]*5280</f>
        <v>5606.6366399999997</v>
      </c>
      <c r="G316" s="232">
        <f>ROUND(pairs[[#This Row],[ Az]]-ROUNDDOWN(pairs[[#This Row],[ Az]],0),1)</f>
        <v>0</v>
      </c>
      <c r="H316" s="232">
        <f>ROUND(pairs[[#This Row],[ Back]]-ROUNDDOWN(pairs[[#This Row],[ Back]],0),1)</f>
        <v>0.8</v>
      </c>
      <c r="I316" s="232">
        <f>IF( OR( OR(pairs[[#This Row],[Az*]]=0, pairs[[#This Row],[Back*]]=0), OR(pairs[[#This Row],[Az*]]=1, pairs[[#This Row],[Back*]]=1)), 1, 0)</f>
        <v>1</v>
      </c>
      <c r="J316" s="232">
        <f>IF(OR(pairs[[#This Row],[Az*]]=0.5,pairs[[#This Row],[Back*]]=0.5),1,0)</f>
        <v>0</v>
      </c>
      <c r="K316" s="232"/>
      <c r="L316" s="232"/>
    </row>
    <row r="317" spans="1:12" ht="14.1">
      <c r="A317" s="206" t="s">
        <v>230</v>
      </c>
      <c r="B317" s="206" t="s">
        <v>199</v>
      </c>
      <c r="C317" s="235"/>
      <c r="D317" s="235">
        <v>244.52</v>
      </c>
      <c r="E317" s="236">
        <v>0.97218599999999999</v>
      </c>
      <c r="F317" s="237">
        <f>pairs[[#This Row],[ Dist]]*5280</f>
        <v>5133.1420799999996</v>
      </c>
      <c r="G317" s="235">
        <f>ROUND(pairs[[#This Row],[ Az]]-ROUNDDOWN(pairs[[#This Row],[ Az]],0),1)</f>
        <v>0</v>
      </c>
      <c r="H317" s="235">
        <f>ROUND(pairs[[#This Row],[ Back]]-ROUNDDOWN(pairs[[#This Row],[ Back]],0),1)</f>
        <v>0.5</v>
      </c>
      <c r="I317" s="235">
        <f>IF( OR( OR(pairs[[#This Row],[Az*]]=0, pairs[[#This Row],[Back*]]=0), OR(pairs[[#This Row],[Az*]]=1, pairs[[#This Row],[Back*]]=1)), 1, 0)</f>
        <v>1</v>
      </c>
      <c r="J317" s="235">
        <f>IF(OR(pairs[[#This Row],[Az*]]=0.5,pairs[[#This Row],[Back*]]=0.5),1,0)</f>
        <v>1</v>
      </c>
      <c r="K317" s="232"/>
      <c r="L317" s="232"/>
    </row>
    <row r="318" spans="1:12">
      <c r="A318" s="231" t="s">
        <v>230</v>
      </c>
      <c r="B318" s="231" t="s">
        <v>200</v>
      </c>
      <c r="C318" s="232"/>
      <c r="D318" s="232">
        <v>245.15</v>
      </c>
      <c r="E318" s="233">
        <v>0.99522100000000002</v>
      </c>
      <c r="F318" s="234">
        <f>pairs[[#This Row],[ Dist]]*5280</f>
        <v>5254.7668800000001</v>
      </c>
      <c r="G318" s="232">
        <f>ROUND(pairs[[#This Row],[ Az]]-ROUNDDOWN(pairs[[#This Row],[ Az]],0),1)</f>
        <v>0</v>
      </c>
      <c r="H318" s="232">
        <f>ROUND(pairs[[#This Row],[ Back]]-ROUNDDOWN(pairs[[#This Row],[ Back]],0),1)</f>
        <v>0.2</v>
      </c>
      <c r="I318" s="232">
        <f>IF( OR( OR(pairs[[#This Row],[Az*]]=0, pairs[[#This Row],[Back*]]=0), OR(pairs[[#This Row],[Az*]]=1, pairs[[#This Row],[Back*]]=1)), 1, 0)</f>
        <v>1</v>
      </c>
      <c r="J318" s="232">
        <f>IF(OR(pairs[[#This Row],[Az*]]=0.5,pairs[[#This Row],[Back*]]=0.5),1,0)</f>
        <v>0</v>
      </c>
      <c r="K318" s="232"/>
      <c r="L318" s="232"/>
    </row>
    <row r="319" spans="1:12">
      <c r="A319" s="231" t="s">
        <v>230</v>
      </c>
      <c r="B319" s="231" t="s">
        <v>201</v>
      </c>
      <c r="C319" s="232"/>
      <c r="D319" s="232">
        <v>246.27</v>
      </c>
      <c r="E319" s="233">
        <v>1.0382100000000001</v>
      </c>
      <c r="F319" s="234">
        <f>pairs[[#This Row],[ Dist]]*5280</f>
        <v>5481.7488000000003</v>
      </c>
      <c r="G319" s="232">
        <f>ROUND(pairs[[#This Row],[ Az]]-ROUNDDOWN(pairs[[#This Row],[ Az]],0),1)</f>
        <v>0</v>
      </c>
      <c r="H319" s="232">
        <f>ROUND(pairs[[#This Row],[ Back]]-ROUNDDOWN(pairs[[#This Row],[ Back]],0),1)</f>
        <v>0.3</v>
      </c>
      <c r="I319" s="232">
        <f>IF( OR( OR(pairs[[#This Row],[Az*]]=0, pairs[[#This Row],[Back*]]=0), OR(pairs[[#This Row],[Az*]]=1, pairs[[#This Row],[Back*]]=1)), 1, 0)</f>
        <v>1</v>
      </c>
      <c r="J319" s="232">
        <f>IF(OR(pairs[[#This Row],[Az*]]=0.5,pairs[[#This Row],[Back*]]=0.5),1,0)</f>
        <v>0</v>
      </c>
      <c r="K319" s="232"/>
      <c r="L319" s="232"/>
    </row>
    <row r="320" spans="1:12">
      <c r="A320" s="231" t="s">
        <v>230</v>
      </c>
      <c r="B320" s="231" t="s">
        <v>202</v>
      </c>
      <c r="C320" s="232"/>
      <c r="D320" s="232">
        <v>242.44</v>
      </c>
      <c r="E320" s="233">
        <v>1.0545420000000001</v>
      </c>
      <c r="F320" s="234">
        <f>pairs[[#This Row],[ Dist]]*5280</f>
        <v>5567.9817600000006</v>
      </c>
      <c r="G320" s="232">
        <f>ROUND(pairs[[#This Row],[ Az]]-ROUNDDOWN(pairs[[#This Row],[ Az]],0),1)</f>
        <v>0</v>
      </c>
      <c r="H320" s="232">
        <f>ROUND(pairs[[#This Row],[ Back]]-ROUNDDOWN(pairs[[#This Row],[ Back]],0),1)</f>
        <v>0.4</v>
      </c>
      <c r="I320" s="232">
        <f>IF( OR( OR(pairs[[#This Row],[Az*]]=0, pairs[[#This Row],[Back*]]=0), OR(pairs[[#This Row],[Az*]]=1, pairs[[#This Row],[Back*]]=1)), 1, 0)</f>
        <v>1</v>
      </c>
      <c r="J320" s="232">
        <f>IF(OR(pairs[[#This Row],[Az*]]=0.5,pairs[[#This Row],[Back*]]=0.5),1,0)</f>
        <v>0</v>
      </c>
      <c r="K320" s="232"/>
      <c r="L320" s="232"/>
    </row>
    <row r="321" spans="1:12" ht="14.1">
      <c r="A321" s="206" t="s">
        <v>230</v>
      </c>
      <c r="B321" s="206" t="s">
        <v>203</v>
      </c>
      <c r="C321" s="235"/>
      <c r="D321" s="235">
        <v>241.49</v>
      </c>
      <c r="E321" s="236">
        <v>1.023649</v>
      </c>
      <c r="F321" s="237">
        <f>pairs[[#This Row],[ Dist]]*5280</f>
        <v>5404.86672</v>
      </c>
      <c r="G321" s="235">
        <f>ROUND(pairs[[#This Row],[ Az]]-ROUNDDOWN(pairs[[#This Row],[ Az]],0),1)</f>
        <v>0</v>
      </c>
      <c r="H321" s="235">
        <f>ROUND(pairs[[#This Row],[ Back]]-ROUNDDOWN(pairs[[#This Row],[ Back]],0),1)</f>
        <v>0.5</v>
      </c>
      <c r="I321" s="235">
        <f>IF( OR( OR(pairs[[#This Row],[Az*]]=0, pairs[[#This Row],[Back*]]=0), OR(pairs[[#This Row],[Az*]]=1, pairs[[#This Row],[Back*]]=1)), 1, 0)</f>
        <v>1</v>
      </c>
      <c r="J321" s="235">
        <f>IF(OR(pairs[[#This Row],[Az*]]=0.5,pairs[[#This Row],[Back*]]=0.5),1,0)</f>
        <v>1</v>
      </c>
      <c r="K321" s="232"/>
      <c r="L321" s="232"/>
    </row>
    <row r="322" spans="1:12" ht="14.1">
      <c r="A322" s="206" t="s">
        <v>230</v>
      </c>
      <c r="B322" s="206" t="s">
        <v>204</v>
      </c>
      <c r="C322" s="235"/>
      <c r="D322" s="235">
        <v>242.52</v>
      </c>
      <c r="E322" s="236">
        <v>0.98907699999999998</v>
      </c>
      <c r="F322" s="237">
        <f>pairs[[#This Row],[ Dist]]*5280</f>
        <v>5222.3265599999995</v>
      </c>
      <c r="G322" s="235">
        <f>ROUND(pairs[[#This Row],[ Az]]-ROUNDDOWN(pairs[[#This Row],[ Az]],0),1)</f>
        <v>0</v>
      </c>
      <c r="H322" s="235">
        <f>ROUND(pairs[[#This Row],[ Back]]-ROUNDDOWN(pairs[[#This Row],[ Back]],0),1)</f>
        <v>0.5</v>
      </c>
      <c r="I322" s="235">
        <f>IF( OR( OR(pairs[[#This Row],[Az*]]=0, pairs[[#This Row],[Back*]]=0), OR(pairs[[#This Row],[Az*]]=1, pairs[[#This Row],[Back*]]=1)), 1, 0)</f>
        <v>1</v>
      </c>
      <c r="J322" s="235">
        <f>IF(OR(pairs[[#This Row],[Az*]]=0.5,pairs[[#This Row],[Back*]]=0.5),1,0)</f>
        <v>1</v>
      </c>
      <c r="K322" s="232"/>
      <c r="L322" s="232"/>
    </row>
    <row r="323" spans="1:12">
      <c r="A323" s="231" t="s">
        <v>230</v>
      </c>
      <c r="B323" s="231" t="s">
        <v>215</v>
      </c>
      <c r="C323" s="232"/>
      <c r="D323" s="232">
        <v>228.4</v>
      </c>
      <c r="E323" s="233">
        <v>1.8774459999999999</v>
      </c>
      <c r="F323" s="234">
        <f>pairs[[#This Row],[ Dist]]*5280</f>
        <v>9912.9148800000003</v>
      </c>
      <c r="G323" s="232">
        <f>ROUND(pairs[[#This Row],[ Az]]-ROUNDDOWN(pairs[[#This Row],[ Az]],0),1)</f>
        <v>0</v>
      </c>
      <c r="H323" s="232">
        <f>ROUND(pairs[[#This Row],[ Back]]-ROUNDDOWN(pairs[[#This Row],[ Back]],0),1)</f>
        <v>0.4</v>
      </c>
      <c r="I323" s="232">
        <f>IF( OR( OR(pairs[[#This Row],[Az*]]=0, pairs[[#This Row],[Back*]]=0), OR(pairs[[#This Row],[Az*]]=1, pairs[[#This Row],[Back*]]=1)), 1, 0)</f>
        <v>1</v>
      </c>
      <c r="J323" s="232">
        <f>IF(OR(pairs[[#This Row],[Az*]]=0.5,pairs[[#This Row],[Back*]]=0.5),1,0)</f>
        <v>0</v>
      </c>
      <c r="K323" s="232"/>
      <c r="L323" s="232"/>
    </row>
    <row r="324" spans="1:12">
      <c r="A324" s="231" t="s">
        <v>230</v>
      </c>
      <c r="B324" s="231" t="s">
        <v>214</v>
      </c>
      <c r="C324" s="232"/>
      <c r="D324" s="232">
        <v>242.43</v>
      </c>
      <c r="E324" s="233">
        <v>1.5139009999999999</v>
      </c>
      <c r="F324" s="234">
        <f>pairs[[#This Row],[ Dist]]*5280</f>
        <v>7993.3972800000001</v>
      </c>
      <c r="G324" s="232">
        <f>ROUND(pairs[[#This Row],[ Az]]-ROUNDDOWN(pairs[[#This Row],[ Az]],0),1)</f>
        <v>0</v>
      </c>
      <c r="H324" s="232">
        <f>ROUND(pairs[[#This Row],[ Back]]-ROUNDDOWN(pairs[[#This Row],[ Back]],0),1)</f>
        <v>0.4</v>
      </c>
      <c r="I324" s="232">
        <f>IF( OR( OR(pairs[[#This Row],[Az*]]=0, pairs[[#This Row],[Back*]]=0), OR(pairs[[#This Row],[Az*]]=1, pairs[[#This Row],[Back*]]=1)), 1, 0)</f>
        <v>1</v>
      </c>
      <c r="J324" s="232">
        <f>IF(OR(pairs[[#This Row],[Az*]]=0.5,pairs[[#This Row],[Back*]]=0.5),1,0)</f>
        <v>0</v>
      </c>
      <c r="K324" s="232"/>
      <c r="L324" s="232"/>
    </row>
    <row r="325" spans="1:12">
      <c r="A325" s="231" t="s">
        <v>230</v>
      </c>
      <c r="B325" s="231" t="s">
        <v>213</v>
      </c>
      <c r="C325" s="232"/>
      <c r="D325" s="232">
        <v>257.39999999999998</v>
      </c>
      <c r="E325" s="233">
        <v>1.255484</v>
      </c>
      <c r="F325" s="234">
        <f>pairs[[#This Row],[ Dist]]*5280</f>
        <v>6628.9555200000004</v>
      </c>
      <c r="G325" s="232">
        <f>ROUND(pairs[[#This Row],[ Az]]-ROUNDDOWN(pairs[[#This Row],[ Az]],0),1)</f>
        <v>0</v>
      </c>
      <c r="H325" s="232">
        <f>ROUND(pairs[[#This Row],[ Back]]-ROUNDDOWN(pairs[[#This Row],[ Back]],0),1)</f>
        <v>0.4</v>
      </c>
      <c r="I325" s="232">
        <f>IF( OR( OR(pairs[[#This Row],[Az*]]=0, pairs[[#This Row],[Back*]]=0), OR(pairs[[#This Row],[Az*]]=1, pairs[[#This Row],[Back*]]=1)), 1, 0)</f>
        <v>1</v>
      </c>
      <c r="J325" s="232">
        <f>IF(OR(pairs[[#This Row],[Az*]]=0.5,pairs[[#This Row],[Back*]]=0.5),1,0)</f>
        <v>0</v>
      </c>
      <c r="K325" s="232"/>
      <c r="L325" s="232"/>
    </row>
    <row r="326" spans="1:12">
      <c r="A326" s="231" t="s">
        <v>230</v>
      </c>
      <c r="B326" s="231" t="s">
        <v>212</v>
      </c>
      <c r="C326" s="232"/>
      <c r="D326" s="232">
        <v>283.16000000000003</v>
      </c>
      <c r="E326" s="233">
        <v>1.4209780000000001</v>
      </c>
      <c r="F326" s="234">
        <f>pairs[[#This Row],[ Dist]]*5280</f>
        <v>7502.7638400000005</v>
      </c>
      <c r="G326" s="232">
        <f>ROUND(pairs[[#This Row],[ Az]]-ROUNDDOWN(pairs[[#This Row],[ Az]],0),1)</f>
        <v>0</v>
      </c>
      <c r="H326" s="232">
        <f>ROUND(pairs[[#This Row],[ Back]]-ROUNDDOWN(pairs[[#This Row],[ Back]],0),1)</f>
        <v>0.2</v>
      </c>
      <c r="I326" s="232">
        <f>IF( OR( OR(pairs[[#This Row],[Az*]]=0, pairs[[#This Row],[Back*]]=0), OR(pairs[[#This Row],[Az*]]=1, pairs[[#This Row],[Back*]]=1)), 1, 0)</f>
        <v>1</v>
      </c>
      <c r="J326" s="232">
        <f>IF(OR(pairs[[#This Row],[Az*]]=0.5,pairs[[#This Row],[Back*]]=0.5),1,0)</f>
        <v>0</v>
      </c>
      <c r="K326" s="232"/>
      <c r="L326" s="232"/>
    </row>
    <row r="327" spans="1:12">
      <c r="A327" s="231" t="s">
        <v>230</v>
      </c>
      <c r="B327" s="231" t="s">
        <v>211</v>
      </c>
      <c r="C327" s="232"/>
      <c r="D327" s="232">
        <v>290.74</v>
      </c>
      <c r="E327" s="233">
        <v>0.93843900000000002</v>
      </c>
      <c r="F327" s="234">
        <f>pairs[[#This Row],[ Dist]]*5280</f>
        <v>4954.9579199999998</v>
      </c>
      <c r="G327" s="232">
        <f>ROUND(pairs[[#This Row],[ Az]]-ROUNDDOWN(pairs[[#This Row],[ Az]],0),1)</f>
        <v>0</v>
      </c>
      <c r="H327" s="232">
        <f>ROUND(pairs[[#This Row],[ Back]]-ROUNDDOWN(pairs[[#This Row],[ Back]],0),1)</f>
        <v>0.7</v>
      </c>
      <c r="I327" s="232">
        <f>IF( OR( OR(pairs[[#This Row],[Az*]]=0, pairs[[#This Row],[Back*]]=0), OR(pairs[[#This Row],[Az*]]=1, pairs[[#This Row],[Back*]]=1)), 1, 0)</f>
        <v>1</v>
      </c>
      <c r="J327" s="232">
        <f>IF(OR(pairs[[#This Row],[Az*]]=0.5,pairs[[#This Row],[Back*]]=0.5),1,0)</f>
        <v>0</v>
      </c>
      <c r="K327" s="232"/>
      <c r="L327" s="232"/>
    </row>
    <row r="328" spans="1:12">
      <c r="A328" s="231" t="s">
        <v>230</v>
      </c>
      <c r="B328" s="231" t="s">
        <v>210</v>
      </c>
      <c r="C328" s="232"/>
      <c r="D328" s="232">
        <v>207.89</v>
      </c>
      <c r="E328" s="233">
        <v>0.81125400000000003</v>
      </c>
      <c r="F328" s="234">
        <f>pairs[[#This Row],[ Dist]]*5280</f>
        <v>4283.42112</v>
      </c>
      <c r="G328" s="232">
        <f>ROUND(pairs[[#This Row],[ Az]]-ROUNDDOWN(pairs[[#This Row],[ Az]],0),1)</f>
        <v>0</v>
      </c>
      <c r="H328" s="232">
        <f>ROUND(pairs[[#This Row],[ Back]]-ROUNDDOWN(pairs[[#This Row],[ Back]],0),1)</f>
        <v>0.9</v>
      </c>
      <c r="I328" s="232">
        <f>IF( OR( OR(pairs[[#This Row],[Az*]]=0, pairs[[#This Row],[Back*]]=0), OR(pairs[[#This Row],[Az*]]=1, pairs[[#This Row],[Back*]]=1)), 1, 0)</f>
        <v>1</v>
      </c>
      <c r="J328" s="232">
        <f>IF(OR(pairs[[#This Row],[Az*]]=0.5,pairs[[#This Row],[Back*]]=0.5),1,0)</f>
        <v>0</v>
      </c>
      <c r="K328" s="232"/>
      <c r="L328" s="232"/>
    </row>
    <row r="329" spans="1:12" ht="14.1">
      <c r="A329" s="206" t="s">
        <v>230</v>
      </c>
      <c r="B329" s="206" t="s">
        <v>208</v>
      </c>
      <c r="C329" s="235"/>
      <c r="D329" s="235">
        <v>242.54</v>
      </c>
      <c r="E329" s="236">
        <v>0.42666999999999999</v>
      </c>
      <c r="F329" s="237">
        <f>pairs[[#This Row],[ Dist]]*5280</f>
        <v>2252.8175999999999</v>
      </c>
      <c r="G329" s="235">
        <f>ROUND(pairs[[#This Row],[ Az]]-ROUNDDOWN(pairs[[#This Row],[ Az]],0),1)</f>
        <v>0</v>
      </c>
      <c r="H329" s="235">
        <f>ROUND(pairs[[#This Row],[ Back]]-ROUNDDOWN(pairs[[#This Row],[ Back]],0),1)</f>
        <v>0.5</v>
      </c>
      <c r="I329" s="235">
        <f>IF( OR( OR(pairs[[#This Row],[Az*]]=0, pairs[[#This Row],[Back*]]=0), OR(pairs[[#This Row],[Az*]]=1, pairs[[#This Row],[Back*]]=1)), 1, 0)</f>
        <v>1</v>
      </c>
      <c r="J329" s="235">
        <f>IF(OR(pairs[[#This Row],[Az*]]=0.5,pairs[[#This Row],[Back*]]=0.5),1,0)</f>
        <v>1</v>
      </c>
      <c r="K329" s="232"/>
      <c r="L329" s="232"/>
    </row>
    <row r="330" spans="1:12" ht="14.1">
      <c r="A330" s="23" t="s">
        <v>230</v>
      </c>
      <c r="B330" s="23" t="s">
        <v>207</v>
      </c>
      <c r="C330" s="229"/>
      <c r="D330" s="229">
        <v>222.04</v>
      </c>
      <c r="E330" s="25">
        <v>1.3107819999999999</v>
      </c>
      <c r="F330" s="230">
        <f>pairs[[#This Row],[ Dist]]*5280</f>
        <v>6920.9289599999993</v>
      </c>
      <c r="G330" s="232">
        <f>ROUND(pairs[[#This Row],[ Az]]-ROUNDDOWN(pairs[[#This Row],[ Az]],0),1)</f>
        <v>0</v>
      </c>
      <c r="H330" s="232">
        <f>ROUND(pairs[[#This Row],[ Back]]-ROUNDDOWN(pairs[[#This Row],[ Back]],0),1)</f>
        <v>0</v>
      </c>
      <c r="I330" s="232">
        <f>IF( OR( OR(pairs[[#This Row],[Az*]]=0, pairs[[#This Row],[Back*]]=0), OR(pairs[[#This Row],[Az*]]=1, pairs[[#This Row],[Back*]]=1)), 1, 0)</f>
        <v>1</v>
      </c>
      <c r="J330" s="232">
        <f>IF(OR(pairs[[#This Row],[Az*]]=0.5,pairs[[#This Row],[Back*]]=0.5),1,0)</f>
        <v>0</v>
      </c>
      <c r="K330" s="232"/>
      <c r="L330" s="232"/>
    </row>
    <row r="331" spans="1:12">
      <c r="A331" s="231" t="s">
        <v>230</v>
      </c>
      <c r="B331" s="231" t="s">
        <v>206</v>
      </c>
      <c r="C331" s="232"/>
      <c r="D331" s="232">
        <v>258.60000000000002</v>
      </c>
      <c r="E331" s="233">
        <v>1.0593729999999999</v>
      </c>
      <c r="F331" s="234">
        <f>pairs[[#This Row],[ Dist]]*5280</f>
        <v>5593.4894399999994</v>
      </c>
      <c r="G331" s="232">
        <f>ROUND(pairs[[#This Row],[ Az]]-ROUNDDOWN(pairs[[#This Row],[ Az]],0),1)</f>
        <v>0</v>
      </c>
      <c r="H331" s="232">
        <f>ROUND(pairs[[#This Row],[ Back]]-ROUNDDOWN(pairs[[#This Row],[ Back]],0),1)</f>
        <v>0.6</v>
      </c>
      <c r="I331" s="232">
        <f>IF( OR( OR(pairs[[#This Row],[Az*]]=0, pairs[[#This Row],[Back*]]=0), OR(pairs[[#This Row],[Az*]]=1, pairs[[#This Row],[Back*]]=1)), 1, 0)</f>
        <v>1</v>
      </c>
      <c r="J331" s="232">
        <f>IF(OR(pairs[[#This Row],[Az*]]=0.5,pairs[[#This Row],[Back*]]=0.5),1,0)</f>
        <v>0</v>
      </c>
      <c r="K331" s="232"/>
      <c r="L331" s="232"/>
    </row>
    <row r="332" spans="1:12">
      <c r="A332" s="231" t="s">
        <v>230</v>
      </c>
      <c r="B332" s="231" t="s">
        <v>205</v>
      </c>
      <c r="C332" s="232"/>
      <c r="D332" s="232">
        <v>238.15</v>
      </c>
      <c r="E332" s="233">
        <v>1.152245</v>
      </c>
      <c r="F332" s="234">
        <f>pairs[[#This Row],[ Dist]]*5280</f>
        <v>6083.8535999999995</v>
      </c>
      <c r="G332" s="232">
        <f>ROUND(pairs[[#This Row],[ Az]]-ROUNDDOWN(pairs[[#This Row],[ Az]],0),1)</f>
        <v>0</v>
      </c>
      <c r="H332" s="232">
        <f>ROUND(pairs[[#This Row],[ Back]]-ROUNDDOWN(pairs[[#This Row],[ Back]],0),1)</f>
        <v>0.2</v>
      </c>
      <c r="I332" s="232">
        <f>IF( OR( OR(pairs[[#This Row],[Az*]]=0, pairs[[#This Row],[Back*]]=0), OR(pairs[[#This Row],[Az*]]=1, pairs[[#This Row],[Back*]]=1)), 1, 0)</f>
        <v>1</v>
      </c>
      <c r="J332" s="232">
        <f>IF(OR(pairs[[#This Row],[Az*]]=0.5,pairs[[#This Row],[Back*]]=0.5),1,0)</f>
        <v>0</v>
      </c>
      <c r="K332" s="232"/>
      <c r="L332" s="232"/>
    </row>
    <row r="333" spans="1:12">
      <c r="A333" s="231" t="s">
        <v>231</v>
      </c>
      <c r="B333" s="231" t="s">
        <v>217</v>
      </c>
      <c r="C333" s="232"/>
      <c r="D333" s="232">
        <v>304.23</v>
      </c>
      <c r="E333" s="233">
        <v>0.52672099999999999</v>
      </c>
      <c r="F333" s="234">
        <f>pairs[[#This Row],[ Dist]]*5280</f>
        <v>2781.0868799999998</v>
      </c>
      <c r="G333" s="232">
        <f>ROUND(pairs[[#This Row],[ Az]]-ROUNDDOWN(pairs[[#This Row],[ Az]],0),1)</f>
        <v>0</v>
      </c>
      <c r="H333" s="232">
        <f>ROUND(pairs[[#This Row],[ Back]]-ROUNDDOWN(pairs[[#This Row],[ Back]],0),1)</f>
        <v>0.2</v>
      </c>
      <c r="I333" s="232">
        <f>IF( OR( OR(pairs[[#This Row],[Az*]]=0, pairs[[#This Row],[Back*]]=0), OR(pairs[[#This Row],[Az*]]=1, pairs[[#This Row],[Back*]]=1)), 1, 0)</f>
        <v>1</v>
      </c>
      <c r="J333" s="232">
        <f>IF(OR(pairs[[#This Row],[Az*]]=0.5,pairs[[#This Row],[Back*]]=0.5),1,0)</f>
        <v>0</v>
      </c>
      <c r="K333" s="232"/>
      <c r="L333" s="232"/>
    </row>
    <row r="334" spans="1:12">
      <c r="A334" s="231" t="s">
        <v>231</v>
      </c>
      <c r="B334" s="231" t="s">
        <v>196</v>
      </c>
      <c r="C334" s="232"/>
      <c r="D334" s="232">
        <v>297.57</v>
      </c>
      <c r="E334" s="233">
        <v>0.49112800000000001</v>
      </c>
      <c r="F334" s="234">
        <f>pairs[[#This Row],[ Dist]]*5280</f>
        <v>2593.1558399999999</v>
      </c>
      <c r="G334" s="232">
        <f>ROUND(pairs[[#This Row],[ Az]]-ROUNDDOWN(pairs[[#This Row],[ Az]],0),1)</f>
        <v>0</v>
      </c>
      <c r="H334" s="232">
        <f>ROUND(pairs[[#This Row],[ Back]]-ROUNDDOWN(pairs[[#This Row],[ Back]],0),1)</f>
        <v>0.6</v>
      </c>
      <c r="I334" s="232">
        <f>IF( OR( OR(pairs[[#This Row],[Az*]]=0, pairs[[#This Row],[Back*]]=0), OR(pairs[[#This Row],[Az*]]=1, pairs[[#This Row],[Back*]]=1)), 1, 0)</f>
        <v>1</v>
      </c>
      <c r="J334" s="232">
        <f>IF(OR(pairs[[#This Row],[Az*]]=0.5,pairs[[#This Row],[Back*]]=0.5),1,0)</f>
        <v>0</v>
      </c>
      <c r="K334" s="232"/>
      <c r="L334" s="232"/>
    </row>
    <row r="335" spans="1:12" ht="14.1">
      <c r="A335" s="23" t="s">
        <v>231</v>
      </c>
      <c r="B335" s="23" t="s">
        <v>197</v>
      </c>
      <c r="C335" s="229"/>
      <c r="D335" s="229">
        <v>291</v>
      </c>
      <c r="E335" s="25">
        <v>0.63722900000000005</v>
      </c>
      <c r="F335" s="230">
        <f>pairs[[#This Row],[ Dist]]*5280</f>
        <v>3364.5691200000001</v>
      </c>
      <c r="G335" s="232">
        <f>ROUND(pairs[[#This Row],[ Az]]-ROUNDDOWN(pairs[[#This Row],[ Az]],0),1)</f>
        <v>0</v>
      </c>
      <c r="H335" s="232">
        <f>ROUND(pairs[[#This Row],[ Back]]-ROUNDDOWN(pairs[[#This Row],[ Back]],0),1)</f>
        <v>0</v>
      </c>
      <c r="I335" s="232">
        <f>IF( OR( OR(pairs[[#This Row],[Az*]]=0, pairs[[#This Row],[Back*]]=0), OR(pairs[[#This Row],[Az*]]=1, pairs[[#This Row],[Back*]]=1)), 1, 0)</f>
        <v>1</v>
      </c>
      <c r="J335" s="232">
        <f>IF(OR(pairs[[#This Row],[Az*]]=0.5,pairs[[#This Row],[Back*]]=0.5),1,0)</f>
        <v>0</v>
      </c>
      <c r="K335" s="232"/>
      <c r="L335" s="232"/>
    </row>
    <row r="336" spans="1:12" ht="14.1">
      <c r="A336" s="206" t="s">
        <v>231</v>
      </c>
      <c r="B336" s="206" t="s">
        <v>198</v>
      </c>
      <c r="C336" s="235"/>
      <c r="D336" s="235">
        <v>296.56</v>
      </c>
      <c r="E336" s="236">
        <v>0.66648499999999999</v>
      </c>
      <c r="F336" s="237">
        <f>pairs[[#This Row],[ Dist]]*5280</f>
        <v>3519.0407999999998</v>
      </c>
      <c r="G336" s="235">
        <f>ROUND(pairs[[#This Row],[ Az]]-ROUNDDOWN(pairs[[#This Row],[ Az]],0),1)</f>
        <v>0</v>
      </c>
      <c r="H336" s="235">
        <f>ROUND(pairs[[#This Row],[ Back]]-ROUNDDOWN(pairs[[#This Row],[ Back]],0),1)</f>
        <v>0.6</v>
      </c>
      <c r="I336" s="235">
        <f>IF( OR( OR(pairs[[#This Row],[Az*]]=0, pairs[[#This Row],[Back*]]=0), OR(pairs[[#This Row],[Az*]]=1, pairs[[#This Row],[Back*]]=1)), 1, 0)</f>
        <v>1</v>
      </c>
      <c r="J336" s="235">
        <f>IF(OR(pairs[[#This Row],[Az*]]=0.5,pairs[[#This Row],[Back*]]=0.5),1,0)</f>
        <v>0</v>
      </c>
      <c r="K336" s="232"/>
      <c r="L336" s="232"/>
    </row>
    <row r="337" spans="1:12" ht="14.1">
      <c r="A337" s="23" t="s">
        <v>231</v>
      </c>
      <c r="B337" s="23" t="s">
        <v>199</v>
      </c>
      <c r="C337" s="229"/>
      <c r="D337" s="229">
        <v>300.95999999999998</v>
      </c>
      <c r="E337" s="25">
        <v>0.58086300000000002</v>
      </c>
      <c r="F337" s="230">
        <f>pairs[[#This Row],[ Dist]]*5280</f>
        <v>3066.9566399999999</v>
      </c>
      <c r="G337" s="232">
        <f>ROUND(pairs[[#This Row],[ Az]]-ROUNDDOWN(pairs[[#This Row],[ Az]],0),1)</f>
        <v>0</v>
      </c>
      <c r="H337" s="232">
        <f>ROUND(pairs[[#This Row],[ Back]]-ROUNDDOWN(pairs[[#This Row],[ Back]],0),1)</f>
        <v>1</v>
      </c>
      <c r="I337" s="232">
        <f>IF( OR( OR(pairs[[#This Row],[Az*]]=0, pairs[[#This Row],[Back*]]=0), OR(pairs[[#This Row],[Az*]]=1, pairs[[#This Row],[Back*]]=1)), 1, 0)</f>
        <v>1</v>
      </c>
      <c r="J337" s="232">
        <f>IF(OR(pairs[[#This Row],[Az*]]=0.5,pairs[[#This Row],[Back*]]=0.5),1,0)</f>
        <v>0</v>
      </c>
      <c r="K337" s="232"/>
      <c r="L337" s="232"/>
    </row>
    <row r="338" spans="1:12">
      <c r="A338" s="231" t="s">
        <v>231</v>
      </c>
      <c r="B338" s="231" t="s">
        <v>200</v>
      </c>
      <c r="C338" s="232"/>
      <c r="D338" s="232">
        <v>299.70999999999998</v>
      </c>
      <c r="E338" s="233">
        <v>0.60286600000000001</v>
      </c>
      <c r="F338" s="234">
        <f>pairs[[#This Row],[ Dist]]*5280</f>
        <v>3183.1324800000002</v>
      </c>
      <c r="G338" s="232">
        <f>ROUND(pairs[[#This Row],[ Az]]-ROUNDDOWN(pairs[[#This Row],[ Az]],0),1)</f>
        <v>0</v>
      </c>
      <c r="H338" s="232">
        <f>ROUND(pairs[[#This Row],[ Back]]-ROUNDDOWN(pairs[[#This Row],[ Back]],0),1)</f>
        <v>0.7</v>
      </c>
      <c r="I338" s="232">
        <f>IF( OR( OR(pairs[[#This Row],[Az*]]=0, pairs[[#This Row],[Back*]]=0), OR(pairs[[#This Row],[Az*]]=1, pairs[[#This Row],[Back*]]=1)), 1, 0)</f>
        <v>1</v>
      </c>
      <c r="J338" s="232">
        <f>IF(OR(pairs[[#This Row],[Az*]]=0.5,pairs[[#This Row],[Back*]]=0.5),1,0)</f>
        <v>0</v>
      </c>
      <c r="K338" s="232"/>
      <c r="L338" s="232"/>
    </row>
    <row r="339" spans="1:12">
      <c r="A339" s="231" t="s">
        <v>231</v>
      </c>
      <c r="B339" s="231" t="s">
        <v>201</v>
      </c>
      <c r="C339" s="232"/>
      <c r="D339" s="232">
        <v>297.66000000000003</v>
      </c>
      <c r="E339" s="233">
        <v>0.64455799999999996</v>
      </c>
      <c r="F339" s="234">
        <f>pairs[[#This Row],[ Dist]]*5280</f>
        <v>3403.2662399999999</v>
      </c>
      <c r="G339" s="232">
        <f>ROUND(pairs[[#This Row],[ Az]]-ROUNDDOWN(pairs[[#This Row],[ Az]],0),1)</f>
        <v>0</v>
      </c>
      <c r="H339" s="232">
        <f>ROUND(pairs[[#This Row],[ Back]]-ROUNDDOWN(pairs[[#This Row],[ Back]],0),1)</f>
        <v>0.7</v>
      </c>
      <c r="I339" s="232">
        <f>IF( OR( OR(pairs[[#This Row],[Az*]]=0, pairs[[#This Row],[Back*]]=0), OR(pairs[[#This Row],[Az*]]=1, pairs[[#This Row],[Back*]]=1)), 1, 0)</f>
        <v>1</v>
      </c>
      <c r="J339" s="232">
        <f>IF(OR(pairs[[#This Row],[Az*]]=0.5,pairs[[#This Row],[Back*]]=0.5),1,0)</f>
        <v>0</v>
      </c>
      <c r="K339" s="232"/>
      <c r="L339" s="232"/>
    </row>
    <row r="340" spans="1:12">
      <c r="A340" s="231" t="s">
        <v>231</v>
      </c>
      <c r="B340" s="231" t="s">
        <v>202</v>
      </c>
      <c r="C340" s="232"/>
      <c r="D340" s="232">
        <v>292.41000000000003</v>
      </c>
      <c r="E340" s="233">
        <v>0.60073900000000002</v>
      </c>
      <c r="F340" s="234">
        <f>pairs[[#This Row],[ Dist]]*5280</f>
        <v>3171.9019200000002</v>
      </c>
      <c r="G340" s="232">
        <f>ROUND(pairs[[#This Row],[ Az]]-ROUNDDOWN(pairs[[#This Row],[ Az]],0),1)</f>
        <v>0</v>
      </c>
      <c r="H340" s="232">
        <f>ROUND(pairs[[#This Row],[ Back]]-ROUNDDOWN(pairs[[#This Row],[ Back]],0),1)</f>
        <v>0.4</v>
      </c>
      <c r="I340" s="232">
        <f>IF( OR( OR(pairs[[#This Row],[Az*]]=0, pairs[[#This Row],[Back*]]=0), OR(pairs[[#This Row],[Az*]]=1, pairs[[#This Row],[Back*]]=1)), 1, 0)</f>
        <v>1</v>
      </c>
      <c r="J340" s="232">
        <f>IF(OR(pairs[[#This Row],[Az*]]=0.5,pairs[[#This Row],[Back*]]=0.5),1,0)</f>
        <v>0</v>
      </c>
      <c r="K340" s="232"/>
      <c r="L340" s="232"/>
    </row>
    <row r="341" spans="1:12">
      <c r="A341" s="231" t="s">
        <v>231</v>
      </c>
      <c r="B341" s="231" t="s">
        <v>203</v>
      </c>
      <c r="C341" s="232"/>
      <c r="D341" s="232">
        <v>293.70999999999998</v>
      </c>
      <c r="E341" s="233">
        <v>0.56795499999999999</v>
      </c>
      <c r="F341" s="234">
        <f>pairs[[#This Row],[ Dist]]*5280</f>
        <v>2998.8024</v>
      </c>
      <c r="G341" s="232">
        <f>ROUND(pairs[[#This Row],[ Az]]-ROUNDDOWN(pairs[[#This Row],[ Az]],0),1)</f>
        <v>0</v>
      </c>
      <c r="H341" s="232">
        <f>ROUND(pairs[[#This Row],[ Back]]-ROUNDDOWN(pairs[[#This Row],[ Back]],0),1)</f>
        <v>0.7</v>
      </c>
      <c r="I341" s="232">
        <f>IF( OR( OR(pairs[[#This Row],[Az*]]=0, pairs[[#This Row],[Back*]]=0), OR(pairs[[#This Row],[Az*]]=1, pairs[[#This Row],[Back*]]=1)), 1, 0)</f>
        <v>1</v>
      </c>
      <c r="J341" s="232">
        <f>IF(OR(pairs[[#This Row],[Az*]]=0.5,pairs[[#This Row],[Back*]]=0.5),1,0)</f>
        <v>0</v>
      </c>
      <c r="K341" s="232"/>
      <c r="L341" s="232"/>
    </row>
    <row r="342" spans="1:12">
      <c r="A342" s="231" t="s">
        <v>231</v>
      </c>
      <c r="B342" s="231" t="s">
        <v>204</v>
      </c>
      <c r="C342" s="232"/>
      <c r="D342" s="232">
        <v>297.62</v>
      </c>
      <c r="E342" s="233">
        <v>0.56204200000000004</v>
      </c>
      <c r="F342" s="234">
        <f>pairs[[#This Row],[ Dist]]*5280</f>
        <v>2967.58176</v>
      </c>
      <c r="G342" s="232">
        <f>ROUND(pairs[[#This Row],[ Az]]-ROUNDDOWN(pairs[[#This Row],[ Az]],0),1)</f>
        <v>0</v>
      </c>
      <c r="H342" s="232">
        <f>ROUND(pairs[[#This Row],[ Back]]-ROUNDDOWN(pairs[[#This Row],[ Back]],0),1)</f>
        <v>0.6</v>
      </c>
      <c r="I342" s="232">
        <f>IF( OR( OR(pairs[[#This Row],[Az*]]=0, pairs[[#This Row],[Back*]]=0), OR(pairs[[#This Row],[Az*]]=1, pairs[[#This Row],[Back*]]=1)), 1, 0)</f>
        <v>1</v>
      </c>
      <c r="J342" s="232">
        <f>IF(OR(pairs[[#This Row],[Az*]]=0.5,pairs[[#This Row],[Back*]]=0.5),1,0)</f>
        <v>0</v>
      </c>
      <c r="K342" s="232"/>
      <c r="L342" s="232"/>
    </row>
    <row r="343" spans="1:12">
      <c r="A343" s="231" t="s">
        <v>231</v>
      </c>
      <c r="B343" s="231" t="s">
        <v>215</v>
      </c>
      <c r="C343" s="232"/>
      <c r="D343" s="232">
        <v>242.67</v>
      </c>
      <c r="E343" s="233">
        <v>1.1531659999999999</v>
      </c>
      <c r="F343" s="234">
        <f>pairs[[#This Row],[ Dist]]*5280</f>
        <v>6088.7164799999991</v>
      </c>
      <c r="G343" s="232">
        <f>ROUND(pairs[[#This Row],[ Az]]-ROUNDDOWN(pairs[[#This Row],[ Az]],0),1)</f>
        <v>0</v>
      </c>
      <c r="H343" s="232">
        <f>ROUND(pairs[[#This Row],[ Back]]-ROUNDDOWN(pairs[[#This Row],[ Back]],0),1)</f>
        <v>0.7</v>
      </c>
      <c r="I343" s="232">
        <f>IF( OR( OR(pairs[[#This Row],[Az*]]=0, pairs[[#This Row],[Back*]]=0), OR(pairs[[#This Row],[Az*]]=1, pairs[[#This Row],[Back*]]=1)), 1, 0)</f>
        <v>1</v>
      </c>
      <c r="J343" s="232">
        <f>IF(OR(pairs[[#This Row],[Az*]]=0.5,pairs[[#This Row],[Back*]]=0.5),1,0)</f>
        <v>0</v>
      </c>
      <c r="K343" s="232"/>
      <c r="L343" s="232"/>
    </row>
    <row r="344" spans="1:12" ht="14.1">
      <c r="A344" s="23" t="s">
        <v>231</v>
      </c>
      <c r="B344" s="23" t="s">
        <v>214</v>
      </c>
      <c r="C344" s="229"/>
      <c r="D344" s="229">
        <v>270.97000000000003</v>
      </c>
      <c r="E344" s="25">
        <v>0.96252199999999999</v>
      </c>
      <c r="F344" s="230">
        <f>pairs[[#This Row],[ Dist]]*5280</f>
        <v>5082.1161599999996</v>
      </c>
      <c r="G344" s="232">
        <f>ROUND(pairs[[#This Row],[ Az]]-ROUNDDOWN(pairs[[#This Row],[ Az]],0),1)</f>
        <v>0</v>
      </c>
      <c r="H344" s="232">
        <f>ROUND(pairs[[#This Row],[ Back]]-ROUNDDOWN(pairs[[#This Row],[ Back]],0),1)</f>
        <v>1</v>
      </c>
      <c r="I344" s="232">
        <f>IF( OR( OR(pairs[[#This Row],[Az*]]=0, pairs[[#This Row],[Back*]]=0), OR(pairs[[#This Row],[Az*]]=1, pairs[[#This Row],[Back*]]=1)), 1, 0)</f>
        <v>1</v>
      </c>
      <c r="J344" s="232">
        <f>IF(OR(pairs[[#This Row],[Az*]]=0.5,pairs[[#This Row],[Back*]]=0.5),1,0)</f>
        <v>0</v>
      </c>
      <c r="K344" s="232"/>
      <c r="L344" s="232"/>
    </row>
    <row r="345" spans="1:12">
      <c r="A345" s="231" t="s">
        <v>231</v>
      </c>
      <c r="B345" s="231" t="s">
        <v>213</v>
      </c>
      <c r="C345" s="232"/>
      <c r="D345" s="232">
        <v>297.64999999999998</v>
      </c>
      <c r="E345" s="233">
        <v>0.95469700000000002</v>
      </c>
      <c r="F345" s="234">
        <f>pairs[[#This Row],[ Dist]]*5280</f>
        <v>5040.8001599999998</v>
      </c>
      <c r="G345" s="232">
        <f>ROUND(pairs[[#This Row],[ Az]]-ROUNDDOWN(pairs[[#This Row],[ Az]],0),1)</f>
        <v>0</v>
      </c>
      <c r="H345" s="232">
        <f>ROUND(pairs[[#This Row],[ Back]]-ROUNDDOWN(pairs[[#This Row],[ Back]],0),1)</f>
        <v>0.6</v>
      </c>
      <c r="I345" s="232">
        <f>IF( OR( OR(pairs[[#This Row],[Az*]]=0, pairs[[#This Row],[Back*]]=0), OR(pairs[[#This Row],[Az*]]=1, pairs[[#This Row],[Back*]]=1)), 1, 0)</f>
        <v>1</v>
      </c>
      <c r="J345" s="232">
        <f>IF(OR(pairs[[#This Row],[Az*]]=0.5,pairs[[#This Row],[Back*]]=0.5),1,0)</f>
        <v>0</v>
      </c>
      <c r="K345" s="232"/>
      <c r="L345" s="232"/>
    </row>
    <row r="346" spans="1:12" ht="14.1">
      <c r="A346" s="23" t="s">
        <v>231</v>
      </c>
      <c r="B346" s="23" t="s">
        <v>212</v>
      </c>
      <c r="C346" s="229"/>
      <c r="D346" s="229">
        <v>316.02</v>
      </c>
      <c r="E346" s="25">
        <v>1.4459649999999999</v>
      </c>
      <c r="F346" s="230">
        <f>pairs[[#This Row],[ Dist]]*5280</f>
        <v>7634.6952000000001</v>
      </c>
      <c r="G346" s="232">
        <f>ROUND(pairs[[#This Row],[ Az]]-ROUNDDOWN(pairs[[#This Row],[ Az]],0),1)</f>
        <v>0</v>
      </c>
      <c r="H346" s="232">
        <f>ROUND(pairs[[#This Row],[ Back]]-ROUNDDOWN(pairs[[#This Row],[ Back]],0),1)</f>
        <v>0</v>
      </c>
      <c r="I346" s="232">
        <f>IF( OR( OR(pairs[[#This Row],[Az*]]=0, pairs[[#This Row],[Back*]]=0), OR(pairs[[#This Row],[Az*]]=1, pairs[[#This Row],[Back*]]=1)), 1, 0)</f>
        <v>1</v>
      </c>
      <c r="J346" s="232">
        <f>IF(OR(pairs[[#This Row],[Az*]]=0.5,pairs[[#This Row],[Back*]]=0.5),1,0)</f>
        <v>0</v>
      </c>
      <c r="K346" s="232"/>
      <c r="L346" s="232"/>
    </row>
    <row r="347" spans="1:12">
      <c r="A347" s="231" t="s">
        <v>231</v>
      </c>
      <c r="B347" s="231" t="s">
        <v>211</v>
      </c>
      <c r="C347" s="232"/>
      <c r="D347" s="232">
        <v>334.61</v>
      </c>
      <c r="E347" s="233">
        <v>1.161586</v>
      </c>
      <c r="F347" s="234">
        <f>pairs[[#This Row],[ Dist]]*5280</f>
        <v>6133.1740799999998</v>
      </c>
      <c r="G347" s="232">
        <f>ROUND(pairs[[#This Row],[ Az]]-ROUNDDOWN(pairs[[#This Row],[ Az]],0),1)</f>
        <v>0</v>
      </c>
      <c r="H347" s="232">
        <f>ROUND(pairs[[#This Row],[ Back]]-ROUNDDOWN(pairs[[#This Row],[ Back]],0),1)</f>
        <v>0.6</v>
      </c>
      <c r="I347" s="232">
        <f>IF( OR( OR(pairs[[#This Row],[Az*]]=0, pairs[[#This Row],[Back*]]=0), OR(pairs[[#This Row],[Az*]]=1, pairs[[#This Row],[Back*]]=1)), 1, 0)</f>
        <v>1</v>
      </c>
      <c r="J347" s="232">
        <f>IF(OR(pairs[[#This Row],[Az*]]=0.5,pairs[[#This Row],[Back*]]=0.5),1,0)</f>
        <v>0</v>
      </c>
      <c r="K347" s="232"/>
      <c r="L347" s="232"/>
    </row>
    <row r="348" spans="1:12">
      <c r="A348" s="231" t="s">
        <v>231</v>
      </c>
      <c r="B348" s="231" t="s">
        <v>209</v>
      </c>
      <c r="C348" s="232"/>
      <c r="D348" s="232">
        <v>27.88</v>
      </c>
      <c r="E348" s="233">
        <v>0.81125400000000003</v>
      </c>
      <c r="F348" s="234">
        <f>pairs[[#This Row],[ Dist]]*5280</f>
        <v>4283.42112</v>
      </c>
      <c r="G348" s="232">
        <f>ROUND(pairs[[#This Row],[ Az]]-ROUNDDOWN(pairs[[#This Row],[ Az]],0),1)</f>
        <v>0</v>
      </c>
      <c r="H348" s="232">
        <f>ROUND(pairs[[#This Row],[ Back]]-ROUNDDOWN(pairs[[#This Row],[ Back]],0),1)</f>
        <v>0.9</v>
      </c>
      <c r="I348" s="232">
        <f>IF( OR( OR(pairs[[#This Row],[Az*]]=0, pairs[[#This Row],[Back*]]=0), OR(pairs[[#This Row],[Az*]]=1, pairs[[#This Row],[Back*]]=1)), 1, 0)</f>
        <v>1</v>
      </c>
      <c r="J348" s="232">
        <f>IF(OR(pairs[[#This Row],[Az*]]=0.5,pairs[[#This Row],[Back*]]=0.5),1,0)</f>
        <v>0</v>
      </c>
      <c r="K348" s="232"/>
      <c r="L348" s="232"/>
    </row>
    <row r="349" spans="1:12">
      <c r="A349" s="231" t="s">
        <v>231</v>
      </c>
      <c r="B349" s="231" t="s">
        <v>208</v>
      </c>
      <c r="C349" s="232"/>
      <c r="D349" s="232">
        <v>0.09</v>
      </c>
      <c r="E349" s="233">
        <v>0.52029999999999998</v>
      </c>
      <c r="F349" s="234">
        <f>pairs[[#This Row],[ Dist]]*5280</f>
        <v>2747.1839999999997</v>
      </c>
      <c r="G349" s="232">
        <f>ROUND(pairs[[#This Row],[ Az]]-ROUNDDOWN(pairs[[#This Row],[ Az]],0),1)</f>
        <v>0</v>
      </c>
      <c r="H349" s="232">
        <f>ROUND(pairs[[#This Row],[ Back]]-ROUNDDOWN(pairs[[#This Row],[ Back]],0),1)</f>
        <v>0.1</v>
      </c>
      <c r="I349" s="232">
        <f>IF( OR( OR(pairs[[#This Row],[Az*]]=0, pairs[[#This Row],[Back*]]=0), OR(pairs[[#This Row],[Az*]]=1, pairs[[#This Row],[Back*]]=1)), 1, 0)</f>
        <v>1</v>
      </c>
      <c r="J349" s="232">
        <f>IF(OR(pairs[[#This Row],[Az*]]=0.5,pairs[[#This Row],[Back*]]=0.5),1,0)</f>
        <v>0</v>
      </c>
      <c r="K349" s="232"/>
      <c r="L349" s="232"/>
    </row>
    <row r="350" spans="1:12">
      <c r="A350" s="231" t="s">
        <v>231</v>
      </c>
      <c r="B350" s="231" t="s">
        <v>207</v>
      </c>
      <c r="C350" s="232"/>
      <c r="D350" s="232">
        <v>242.77</v>
      </c>
      <c r="E350" s="233">
        <v>0.560415</v>
      </c>
      <c r="F350" s="234">
        <f>pairs[[#This Row],[ Dist]]*5280</f>
        <v>2958.9911999999999</v>
      </c>
      <c r="G350" s="232">
        <f>ROUND(pairs[[#This Row],[ Az]]-ROUNDDOWN(pairs[[#This Row],[ Az]],0),1)</f>
        <v>0</v>
      </c>
      <c r="H350" s="232">
        <f>ROUND(pairs[[#This Row],[ Back]]-ROUNDDOWN(pairs[[#This Row],[ Back]],0),1)</f>
        <v>0.8</v>
      </c>
      <c r="I350" s="232">
        <f>IF( OR( OR(pairs[[#This Row],[Az*]]=0, pairs[[#This Row],[Back*]]=0), OR(pairs[[#This Row],[Az*]]=1, pairs[[#This Row],[Back*]]=1)), 1, 0)</f>
        <v>1</v>
      </c>
      <c r="J350" s="232">
        <f>IF(OR(pairs[[#This Row],[Az*]]=0.5,pairs[[#This Row],[Back*]]=0.5),1,0)</f>
        <v>0</v>
      </c>
      <c r="K350" s="232"/>
      <c r="L350" s="232"/>
    </row>
    <row r="351" spans="1:12">
      <c r="A351" s="231" t="s">
        <v>231</v>
      </c>
      <c r="B351" s="231" t="s">
        <v>206</v>
      </c>
      <c r="C351" s="232"/>
      <c r="D351" s="232">
        <v>307.61</v>
      </c>
      <c r="E351" s="233">
        <v>0.83183399999999996</v>
      </c>
      <c r="F351" s="234">
        <f>pairs[[#This Row],[ Dist]]*5280</f>
        <v>4392.0835200000001</v>
      </c>
      <c r="G351" s="232">
        <f>ROUND(pairs[[#This Row],[ Az]]-ROUNDDOWN(pairs[[#This Row],[ Az]],0),1)</f>
        <v>0</v>
      </c>
      <c r="H351" s="232">
        <f>ROUND(pairs[[#This Row],[ Back]]-ROUNDDOWN(pairs[[#This Row],[ Back]],0),1)</f>
        <v>0.6</v>
      </c>
      <c r="I351" s="232">
        <f>IF( OR( OR(pairs[[#This Row],[Az*]]=0, pairs[[#This Row],[Back*]]=0), OR(pairs[[#This Row],[Az*]]=1, pairs[[#This Row],[Back*]]=1)), 1, 0)</f>
        <v>1</v>
      </c>
      <c r="J351" s="232">
        <f>IF(OR(pairs[[#This Row],[Az*]]=0.5,pairs[[#This Row],[Back*]]=0.5),1,0)</f>
        <v>0</v>
      </c>
      <c r="K351" s="232"/>
      <c r="L351" s="232"/>
    </row>
    <row r="352" spans="1:12">
      <c r="A352" s="231" t="s">
        <v>231</v>
      </c>
      <c r="B352" s="231" t="s">
        <v>205</v>
      </c>
      <c r="C352" s="232"/>
      <c r="D352" s="232">
        <v>280.31</v>
      </c>
      <c r="E352" s="233">
        <v>0.60909899999999995</v>
      </c>
      <c r="F352" s="234">
        <f>pairs[[#This Row],[ Dist]]*5280</f>
        <v>3216.0427199999999</v>
      </c>
      <c r="G352" s="232">
        <f>ROUND(pairs[[#This Row],[ Az]]-ROUNDDOWN(pairs[[#This Row],[ Az]],0),1)</f>
        <v>0</v>
      </c>
      <c r="H352" s="232">
        <f>ROUND(pairs[[#This Row],[ Back]]-ROUNDDOWN(pairs[[#This Row],[ Back]],0),1)</f>
        <v>0.3</v>
      </c>
      <c r="I352" s="232">
        <f>IF( OR( OR(pairs[[#This Row],[Az*]]=0, pairs[[#This Row],[Back*]]=0), OR(pairs[[#This Row],[Az*]]=1, pairs[[#This Row],[Back*]]=1)), 1, 0)</f>
        <v>1</v>
      </c>
      <c r="J352" s="232">
        <f>IF(OR(pairs[[#This Row],[Az*]]=0.5,pairs[[#This Row],[Back*]]=0.5),1,0)</f>
        <v>0</v>
      </c>
      <c r="K352" s="232"/>
      <c r="L352" s="232"/>
    </row>
    <row r="353" spans="1:12">
      <c r="A353" s="231" t="s">
        <v>232</v>
      </c>
      <c r="B353" s="231" t="s">
        <v>217</v>
      </c>
      <c r="C353" s="232"/>
      <c r="D353" s="232">
        <v>175.24</v>
      </c>
      <c r="E353" s="233">
        <v>0.75563800000000003</v>
      </c>
      <c r="F353" s="234">
        <f>pairs[[#This Row],[ Dist]]*5280</f>
        <v>3989.7686400000002</v>
      </c>
      <c r="G353" s="232">
        <f>ROUND(pairs[[#This Row],[ Az]]-ROUNDDOWN(pairs[[#This Row],[ Az]],0),1)</f>
        <v>0</v>
      </c>
      <c r="H353" s="232">
        <f>ROUND(pairs[[#This Row],[ Back]]-ROUNDDOWN(pairs[[#This Row],[ Back]],0),1)</f>
        <v>0.2</v>
      </c>
      <c r="I353" s="232">
        <f>IF( OR( OR(pairs[[#This Row],[Az*]]=0, pairs[[#This Row],[Back*]]=0), OR(pairs[[#This Row],[Az*]]=1, pairs[[#This Row],[Back*]]=1)), 1, 0)</f>
        <v>1</v>
      </c>
      <c r="J353" s="232">
        <f>IF(OR(pairs[[#This Row],[Az*]]=0.5,pairs[[#This Row],[Back*]]=0.5),1,0)</f>
        <v>0</v>
      </c>
      <c r="K353" s="232"/>
      <c r="L353" s="232"/>
    </row>
    <row r="354" spans="1:12">
      <c r="A354" s="231" t="s">
        <v>232</v>
      </c>
      <c r="B354" s="231" t="s">
        <v>196</v>
      </c>
      <c r="C354" s="232"/>
      <c r="D354" s="232">
        <v>175.63</v>
      </c>
      <c r="E354" s="233">
        <v>0.824465</v>
      </c>
      <c r="F354" s="234">
        <f>pairs[[#This Row],[ Dist]]*5280</f>
        <v>4353.1751999999997</v>
      </c>
      <c r="G354" s="232">
        <f>ROUND(pairs[[#This Row],[ Az]]-ROUNDDOWN(pairs[[#This Row],[ Az]],0),1)</f>
        <v>0</v>
      </c>
      <c r="H354" s="232">
        <f>ROUND(pairs[[#This Row],[ Back]]-ROUNDDOWN(pairs[[#This Row],[ Back]],0),1)</f>
        <v>0.6</v>
      </c>
      <c r="I354" s="232">
        <f>IF( OR( OR(pairs[[#This Row],[Az*]]=0, pairs[[#This Row],[Back*]]=0), OR(pairs[[#This Row],[Az*]]=1, pairs[[#This Row],[Back*]]=1)), 1, 0)</f>
        <v>1</v>
      </c>
      <c r="J354" s="232">
        <f>IF(OR(pairs[[#This Row],[Az*]]=0.5,pairs[[#This Row],[Back*]]=0.5),1,0)</f>
        <v>0</v>
      </c>
      <c r="K354" s="232"/>
      <c r="L354" s="232"/>
    </row>
    <row r="355" spans="1:12">
      <c r="A355" s="231" t="s">
        <v>232</v>
      </c>
      <c r="B355" s="231" t="s">
        <v>197</v>
      </c>
      <c r="C355" s="232"/>
      <c r="D355" s="232">
        <v>186.73</v>
      </c>
      <c r="E355" s="233">
        <v>0.82670500000000002</v>
      </c>
      <c r="F355" s="234">
        <f>pairs[[#This Row],[ Dist]]*5280</f>
        <v>4365.0024000000003</v>
      </c>
      <c r="G355" s="232">
        <f>ROUND(pairs[[#This Row],[ Az]]-ROUNDDOWN(pairs[[#This Row],[ Az]],0),1)</f>
        <v>0</v>
      </c>
      <c r="H355" s="232">
        <f>ROUND(pairs[[#This Row],[ Back]]-ROUNDDOWN(pairs[[#This Row],[ Back]],0),1)</f>
        <v>0.7</v>
      </c>
      <c r="I355" s="232">
        <f>IF( OR( OR(pairs[[#This Row],[Az*]]=0, pairs[[#This Row],[Back*]]=0), OR(pairs[[#This Row],[Az*]]=1, pairs[[#This Row],[Back*]]=1)), 1, 0)</f>
        <v>1</v>
      </c>
      <c r="J355" s="232">
        <f>IF(OR(pairs[[#This Row],[Az*]]=0.5,pairs[[#This Row],[Back*]]=0.5),1,0)</f>
        <v>0</v>
      </c>
      <c r="K355" s="232"/>
      <c r="L355" s="232"/>
    </row>
    <row r="356" spans="1:12">
      <c r="A356" s="231" t="s">
        <v>232</v>
      </c>
      <c r="B356" s="231" t="s">
        <v>198</v>
      </c>
      <c r="C356" s="232"/>
      <c r="D356" s="232">
        <v>187.44</v>
      </c>
      <c r="E356" s="233">
        <v>0.75777700000000003</v>
      </c>
      <c r="F356" s="234">
        <f>pairs[[#This Row],[ Dist]]*5280</f>
        <v>4001.0625600000003</v>
      </c>
      <c r="G356" s="232">
        <f>ROUND(pairs[[#This Row],[ Az]]-ROUNDDOWN(pairs[[#This Row],[ Az]],0),1)</f>
        <v>0</v>
      </c>
      <c r="H356" s="232">
        <f>ROUND(pairs[[#This Row],[ Back]]-ROUNDDOWN(pairs[[#This Row],[ Back]],0),1)</f>
        <v>0.4</v>
      </c>
      <c r="I356" s="232">
        <f>IF( OR( OR(pairs[[#This Row],[Az*]]=0, pairs[[#This Row],[Back*]]=0), OR(pairs[[#This Row],[Az*]]=1, pairs[[#This Row],[Back*]]=1)), 1, 0)</f>
        <v>1</v>
      </c>
      <c r="J356" s="232">
        <f>IF(OR(pairs[[#This Row],[Az*]]=0.5,pairs[[#This Row],[Back*]]=0.5),1,0)</f>
        <v>0</v>
      </c>
      <c r="K356" s="232"/>
      <c r="L356" s="232"/>
    </row>
    <row r="357" spans="1:12" ht="14.1">
      <c r="A357" s="23" t="s">
        <v>232</v>
      </c>
      <c r="B357" s="23" t="s">
        <v>199</v>
      </c>
      <c r="C357" s="229"/>
      <c r="D357" s="229">
        <v>180</v>
      </c>
      <c r="E357" s="25">
        <v>0.75057700000000005</v>
      </c>
      <c r="F357" s="230">
        <f>pairs[[#This Row],[ Dist]]*5280</f>
        <v>3963.0465600000002</v>
      </c>
      <c r="G357" s="232">
        <f>ROUND(pairs[[#This Row],[ Az]]-ROUNDDOWN(pairs[[#This Row],[ Az]],0),1)</f>
        <v>0</v>
      </c>
      <c r="H357" s="232">
        <f>ROUND(pairs[[#This Row],[ Back]]-ROUNDDOWN(pairs[[#This Row],[ Back]],0),1)</f>
        <v>0</v>
      </c>
      <c r="I357" s="232">
        <f>IF( OR( OR(pairs[[#This Row],[Az*]]=0, pairs[[#This Row],[Back*]]=0), OR(pairs[[#This Row],[Az*]]=1, pairs[[#This Row],[Back*]]=1)), 1, 0)</f>
        <v>1</v>
      </c>
      <c r="J357" s="232">
        <f>IF(OR(pairs[[#This Row],[Az*]]=0.5,pairs[[#This Row],[Back*]]=0.5),1,0)</f>
        <v>0</v>
      </c>
      <c r="K357" s="232"/>
      <c r="L357" s="232"/>
    </row>
    <row r="358" spans="1:12">
      <c r="A358" s="231" t="s">
        <v>232</v>
      </c>
      <c r="B358" s="231" t="s">
        <v>200</v>
      </c>
      <c r="C358" s="232"/>
      <c r="D358" s="232">
        <v>181.94</v>
      </c>
      <c r="E358" s="233">
        <v>0.75097000000000003</v>
      </c>
      <c r="F358" s="234">
        <f>pairs[[#This Row],[ Dist]]*5280</f>
        <v>3965.1215999999999</v>
      </c>
      <c r="G358" s="232">
        <f>ROUND(pairs[[#This Row],[ Az]]-ROUNDDOWN(pairs[[#This Row],[ Az]],0),1)</f>
        <v>0</v>
      </c>
      <c r="H358" s="232">
        <f>ROUND(pairs[[#This Row],[ Back]]-ROUNDDOWN(pairs[[#This Row],[ Back]],0),1)</f>
        <v>0.9</v>
      </c>
      <c r="I358" s="232">
        <f>IF( OR( OR(pairs[[#This Row],[Az*]]=0, pairs[[#This Row],[Back*]]=0), OR(pairs[[#This Row],[Az*]]=1, pairs[[#This Row],[Back*]]=1)), 1, 0)</f>
        <v>1</v>
      </c>
      <c r="J358" s="232">
        <f>IF(OR(pairs[[#This Row],[Az*]]=0.5,pairs[[#This Row],[Back*]]=0.5),1,0)</f>
        <v>0</v>
      </c>
      <c r="K358" s="232"/>
      <c r="L358" s="232"/>
    </row>
    <row r="359" spans="1:12" ht="14.1">
      <c r="A359" s="206" t="s">
        <v>232</v>
      </c>
      <c r="B359" s="206" t="s">
        <v>201</v>
      </c>
      <c r="C359" s="235"/>
      <c r="D359" s="235">
        <v>185.54</v>
      </c>
      <c r="E359" s="236">
        <v>0.75370700000000002</v>
      </c>
      <c r="F359" s="237">
        <f>pairs[[#This Row],[ Dist]]*5280</f>
        <v>3979.57296</v>
      </c>
      <c r="G359" s="235">
        <f>ROUND(pairs[[#This Row],[ Az]]-ROUNDDOWN(pairs[[#This Row],[ Az]],0),1)</f>
        <v>0</v>
      </c>
      <c r="H359" s="235">
        <f>ROUND(pairs[[#This Row],[ Back]]-ROUNDDOWN(pairs[[#This Row],[ Back]],0),1)</f>
        <v>0.5</v>
      </c>
      <c r="I359" s="235">
        <f>IF( OR( OR(pairs[[#This Row],[Az*]]=0, pairs[[#This Row],[Back*]]=0), OR(pairs[[#This Row],[Az*]]=1, pairs[[#This Row],[Back*]]=1)), 1, 0)</f>
        <v>1</v>
      </c>
      <c r="J359" s="235">
        <f>IF(OR(pairs[[#This Row],[Az*]]=0.5,pairs[[#This Row],[Back*]]=0.5),1,0)</f>
        <v>1</v>
      </c>
      <c r="K359" s="232"/>
      <c r="L359" s="232"/>
    </row>
    <row r="360" spans="1:12" ht="14.1">
      <c r="A360" s="23" t="s">
        <v>232</v>
      </c>
      <c r="B360" s="23" t="s">
        <v>202</v>
      </c>
      <c r="C360" s="229"/>
      <c r="D360" s="229">
        <v>183.99</v>
      </c>
      <c r="E360" s="25">
        <v>0.82229799999999997</v>
      </c>
      <c r="F360" s="230">
        <f>pairs[[#This Row],[ Dist]]*5280</f>
        <v>4341.73344</v>
      </c>
      <c r="G360" s="232">
        <f>ROUND(pairs[[#This Row],[ Az]]-ROUNDDOWN(pairs[[#This Row],[ Az]],0),1)</f>
        <v>0</v>
      </c>
      <c r="H360" s="232">
        <f>ROUND(pairs[[#This Row],[ Back]]-ROUNDDOWN(pairs[[#This Row],[ Back]],0),1)</f>
        <v>1</v>
      </c>
      <c r="I360" s="232">
        <f>IF( OR( OR(pairs[[#This Row],[Az*]]=0, pairs[[#This Row],[Back*]]=0), OR(pairs[[#This Row],[Az*]]=1, pairs[[#This Row],[Back*]]=1)), 1, 0)</f>
        <v>1</v>
      </c>
      <c r="J360" s="232">
        <f>IF(OR(pairs[[#This Row],[Az*]]=0.5,pairs[[#This Row],[Back*]]=0.5),1,0)</f>
        <v>0</v>
      </c>
      <c r="K360" s="232"/>
      <c r="L360" s="232"/>
    </row>
    <row r="361" spans="1:12" ht="14.1">
      <c r="A361" s="206" t="s">
        <v>232</v>
      </c>
      <c r="B361" s="206" t="s">
        <v>203</v>
      </c>
      <c r="C361" s="235"/>
      <c r="D361" s="235">
        <v>181.53</v>
      </c>
      <c r="E361" s="236">
        <v>0.82125400000000004</v>
      </c>
      <c r="F361" s="237">
        <f>pairs[[#This Row],[ Dist]]*5280</f>
        <v>4336.2211200000002</v>
      </c>
      <c r="G361" s="235">
        <f>ROUND(pairs[[#This Row],[ Az]]-ROUNDDOWN(pairs[[#This Row],[ Az]],0),1)</f>
        <v>0</v>
      </c>
      <c r="H361" s="235">
        <f>ROUND(pairs[[#This Row],[ Back]]-ROUNDDOWN(pairs[[#This Row],[ Back]],0),1)</f>
        <v>0.5</v>
      </c>
      <c r="I361" s="235">
        <f>IF( OR( OR(pairs[[#This Row],[Az*]]=0, pairs[[#This Row],[Back*]]=0), OR(pairs[[#This Row],[Az*]]=1, pairs[[#This Row],[Back*]]=1)), 1, 0)</f>
        <v>1</v>
      </c>
      <c r="J361" s="235">
        <f>IF(OR(pairs[[#This Row],[Az*]]=0.5,pairs[[#This Row],[Back*]]=0.5),1,0)</f>
        <v>1</v>
      </c>
      <c r="K361" s="232"/>
      <c r="L361" s="232"/>
    </row>
    <row r="362" spans="1:12" ht="14.1">
      <c r="A362" s="23" t="s">
        <v>232</v>
      </c>
      <c r="B362" s="23" t="s">
        <v>204</v>
      </c>
      <c r="C362" s="229"/>
      <c r="D362" s="229">
        <v>179.99</v>
      </c>
      <c r="E362" s="25">
        <v>0.78875899999999999</v>
      </c>
      <c r="F362" s="230">
        <f>pairs[[#This Row],[ Dist]]*5280</f>
        <v>4164.6475199999995</v>
      </c>
      <c r="G362" s="232">
        <f>ROUND(pairs[[#This Row],[ Az]]-ROUNDDOWN(pairs[[#This Row],[ Az]],0),1)</f>
        <v>0</v>
      </c>
      <c r="H362" s="232">
        <f>ROUND(pairs[[#This Row],[ Back]]-ROUNDDOWN(pairs[[#This Row],[ Back]],0),1)</f>
        <v>1</v>
      </c>
      <c r="I362" s="232">
        <f>IF( OR( OR(pairs[[#This Row],[Az*]]=0, pairs[[#This Row],[Back*]]=0), OR(pairs[[#This Row],[Az*]]=1, pairs[[#This Row],[Back*]]=1)), 1, 0)</f>
        <v>1</v>
      </c>
      <c r="J362" s="232">
        <f>IF(OR(pairs[[#This Row],[Az*]]=0.5,pairs[[#This Row],[Back*]]=0.5),1,0)</f>
        <v>0</v>
      </c>
      <c r="K362" s="232"/>
      <c r="L362" s="232"/>
    </row>
    <row r="363" spans="1:12">
      <c r="A363" s="231" t="s">
        <v>232</v>
      </c>
      <c r="B363" s="231" t="s">
        <v>215</v>
      </c>
      <c r="C363" s="232"/>
      <c r="D363" s="232">
        <v>198.44</v>
      </c>
      <c r="E363" s="233">
        <v>1.664291</v>
      </c>
      <c r="F363" s="234">
        <f>pairs[[#This Row],[ Dist]]*5280</f>
        <v>8787.4564799999989</v>
      </c>
      <c r="G363" s="232">
        <f>ROUND(pairs[[#This Row],[ Az]]-ROUNDDOWN(pairs[[#This Row],[ Az]],0),1)</f>
        <v>0</v>
      </c>
      <c r="H363" s="232">
        <f>ROUND(pairs[[#This Row],[ Back]]-ROUNDDOWN(pairs[[#This Row],[ Back]],0),1)</f>
        <v>0.4</v>
      </c>
      <c r="I363" s="232">
        <f>IF( OR( OR(pairs[[#This Row],[Az*]]=0, pairs[[#This Row],[Back*]]=0), OR(pairs[[#This Row],[Az*]]=1, pairs[[#This Row],[Back*]]=1)), 1, 0)</f>
        <v>1</v>
      </c>
      <c r="J363" s="232">
        <f>IF(OR(pairs[[#This Row],[Az*]]=0.5,pairs[[#This Row],[Back*]]=0.5),1,0)</f>
        <v>0</v>
      </c>
      <c r="K363" s="232"/>
      <c r="L363" s="232"/>
    </row>
    <row r="364" spans="1:12">
      <c r="A364" s="231" t="s">
        <v>232</v>
      </c>
      <c r="B364" s="231" t="s">
        <v>214</v>
      </c>
      <c r="C364" s="232"/>
      <c r="D364" s="232">
        <v>204.2</v>
      </c>
      <c r="E364" s="233">
        <v>1.1327430000000001</v>
      </c>
      <c r="F364" s="234">
        <f>pairs[[#This Row],[ Dist]]*5280</f>
        <v>5980.8830400000006</v>
      </c>
      <c r="G364" s="232">
        <f>ROUND(pairs[[#This Row],[ Az]]-ROUNDDOWN(pairs[[#This Row],[ Az]],0),1)</f>
        <v>0</v>
      </c>
      <c r="H364" s="232">
        <f>ROUND(pairs[[#This Row],[ Back]]-ROUNDDOWN(pairs[[#This Row],[ Back]],0),1)</f>
        <v>0.2</v>
      </c>
      <c r="I364" s="232">
        <f>IF( OR( OR(pairs[[#This Row],[Az*]]=0, pairs[[#This Row],[Back*]]=0), OR(pairs[[#This Row],[Az*]]=1, pairs[[#This Row],[Back*]]=1)), 1, 0)</f>
        <v>1</v>
      </c>
      <c r="J364" s="232">
        <f>IF(OR(pairs[[#This Row],[Az*]]=0.5,pairs[[#This Row],[Back*]]=0.5),1,0)</f>
        <v>0</v>
      </c>
      <c r="K364" s="232"/>
      <c r="L364" s="232"/>
    </row>
    <row r="365" spans="1:12">
      <c r="A365" s="231" t="s">
        <v>232</v>
      </c>
      <c r="B365" s="231" t="s">
        <v>213</v>
      </c>
      <c r="C365" s="232"/>
      <c r="D365" s="232">
        <v>209.83</v>
      </c>
      <c r="E365" s="233">
        <v>0.69894900000000004</v>
      </c>
      <c r="F365" s="234">
        <f>pairs[[#This Row],[ Dist]]*5280</f>
        <v>3690.4507200000003</v>
      </c>
      <c r="G365" s="232">
        <f>ROUND(pairs[[#This Row],[ Az]]-ROUNDDOWN(pairs[[#This Row],[ Az]],0),1)</f>
        <v>0</v>
      </c>
      <c r="H365" s="232">
        <f>ROUND(pairs[[#This Row],[ Back]]-ROUNDDOWN(pairs[[#This Row],[ Back]],0),1)</f>
        <v>0.8</v>
      </c>
      <c r="I365" s="232">
        <f>IF( OR( OR(pairs[[#This Row],[Az*]]=0, pairs[[#This Row],[Back*]]=0), OR(pairs[[#This Row],[Az*]]=1, pairs[[#This Row],[Back*]]=1)), 1, 0)</f>
        <v>1</v>
      </c>
      <c r="J365" s="232">
        <f>IF(OR(pairs[[#This Row],[Az*]]=0.5,pairs[[#This Row],[Back*]]=0.5),1,0)</f>
        <v>0</v>
      </c>
      <c r="K365" s="232"/>
      <c r="L365" s="232"/>
    </row>
    <row r="366" spans="1:12" ht="14.1">
      <c r="A366" s="23" t="s">
        <v>232</v>
      </c>
      <c r="B366" s="23" t="s">
        <v>212</v>
      </c>
      <c r="C366" s="229"/>
      <c r="D366" s="229">
        <v>268.99</v>
      </c>
      <c r="E366" s="25">
        <v>0.50615600000000005</v>
      </c>
      <c r="F366" s="230">
        <f>pairs[[#This Row],[ Dist]]*5280</f>
        <v>2672.5036800000003</v>
      </c>
      <c r="G366" s="232">
        <f>ROUND(pairs[[#This Row],[ Az]]-ROUNDDOWN(pairs[[#This Row],[ Az]],0),1)</f>
        <v>0</v>
      </c>
      <c r="H366" s="232">
        <f>ROUND(pairs[[#This Row],[ Back]]-ROUNDDOWN(pairs[[#This Row],[ Back]],0),1)</f>
        <v>1</v>
      </c>
      <c r="I366" s="232">
        <f>IF( OR( OR(pairs[[#This Row],[Az*]]=0, pairs[[#This Row],[Back*]]=0), OR(pairs[[#This Row],[Az*]]=1, pairs[[#This Row],[Back*]]=1)), 1, 0)</f>
        <v>1</v>
      </c>
      <c r="J366" s="232">
        <f>IF(OR(pairs[[#This Row],[Az*]]=0.5,pairs[[#This Row],[Back*]]=0.5),1,0)</f>
        <v>0</v>
      </c>
      <c r="K366" s="232"/>
      <c r="L366" s="232"/>
    </row>
    <row r="367" spans="1:12">
      <c r="A367" s="231" t="s">
        <v>232</v>
      </c>
      <c r="B367" s="231" t="s">
        <v>210</v>
      </c>
      <c r="C367" s="232"/>
      <c r="D367" s="232">
        <v>154.6</v>
      </c>
      <c r="E367" s="233">
        <v>1.161586</v>
      </c>
      <c r="F367" s="234">
        <f>pairs[[#This Row],[ Dist]]*5280</f>
        <v>6133.1740799999998</v>
      </c>
      <c r="G367" s="232">
        <f>ROUND(pairs[[#This Row],[ Az]]-ROUNDDOWN(pairs[[#This Row],[ Az]],0),1)</f>
        <v>0</v>
      </c>
      <c r="H367" s="232">
        <f>ROUND(pairs[[#This Row],[ Back]]-ROUNDDOWN(pairs[[#This Row],[ Back]],0),1)</f>
        <v>0.6</v>
      </c>
      <c r="I367" s="232">
        <f>IF( OR( OR(pairs[[#This Row],[Az*]]=0, pairs[[#This Row],[Back*]]=0), OR(pairs[[#This Row],[Az*]]=1, pairs[[#This Row],[Back*]]=1)), 1, 0)</f>
        <v>1</v>
      </c>
      <c r="J367" s="232">
        <f>IF(OR(pairs[[#This Row],[Az*]]=0.5,pairs[[#This Row],[Back*]]=0.5),1,0)</f>
        <v>0</v>
      </c>
      <c r="K367" s="232"/>
      <c r="L367" s="232"/>
    </row>
    <row r="368" spans="1:12">
      <c r="A368" s="231" t="s">
        <v>232</v>
      </c>
      <c r="B368" s="231" t="s">
        <v>209</v>
      </c>
      <c r="C368" s="232"/>
      <c r="D368" s="232">
        <v>110.73</v>
      </c>
      <c r="E368" s="233">
        <v>0.93843900000000002</v>
      </c>
      <c r="F368" s="234">
        <f>pairs[[#This Row],[ Dist]]*5280</f>
        <v>4954.9579199999998</v>
      </c>
      <c r="G368" s="232">
        <f>ROUND(pairs[[#This Row],[ Az]]-ROUNDDOWN(pairs[[#This Row],[ Az]],0),1)</f>
        <v>0</v>
      </c>
      <c r="H368" s="232">
        <f>ROUND(pairs[[#This Row],[ Back]]-ROUNDDOWN(pairs[[#This Row],[ Back]],0),1)</f>
        <v>0.7</v>
      </c>
      <c r="I368" s="232">
        <f>IF( OR( OR(pairs[[#This Row],[Az*]]=0, pairs[[#This Row],[Back*]]=0), OR(pairs[[#This Row],[Az*]]=1, pairs[[#This Row],[Back*]]=1)), 1, 0)</f>
        <v>1</v>
      </c>
      <c r="J368" s="232">
        <f>IF(OR(pairs[[#This Row],[Az*]]=0.5,pairs[[#This Row],[Back*]]=0.5),1,0)</f>
        <v>0</v>
      </c>
      <c r="K368" s="232"/>
      <c r="L368" s="232"/>
    </row>
    <row r="369" spans="1:12">
      <c r="A369" s="231" t="s">
        <v>232</v>
      </c>
      <c r="B369" s="231" t="s">
        <v>208</v>
      </c>
      <c r="C369" s="232"/>
      <c r="D369" s="232">
        <v>136.66999999999999</v>
      </c>
      <c r="E369" s="233">
        <v>0.72726199999999996</v>
      </c>
      <c r="F369" s="234">
        <f>pairs[[#This Row],[ Dist]]*5280</f>
        <v>3839.9433599999998</v>
      </c>
      <c r="G369" s="232">
        <f>ROUND(pairs[[#This Row],[ Az]]-ROUNDDOWN(pairs[[#This Row],[ Az]],0),1)</f>
        <v>0</v>
      </c>
      <c r="H369" s="232">
        <f>ROUND(pairs[[#This Row],[ Back]]-ROUNDDOWN(pairs[[#This Row],[ Back]],0),1)</f>
        <v>0.7</v>
      </c>
      <c r="I369" s="232">
        <f>IF( OR( OR(pairs[[#This Row],[Az*]]=0, pairs[[#This Row],[Back*]]=0), OR(pairs[[#This Row],[Az*]]=1, pairs[[#This Row],[Back*]]=1)), 1, 0)</f>
        <v>1</v>
      </c>
      <c r="J369" s="232">
        <f>IF(OR(pairs[[#This Row],[Az*]]=0.5,pairs[[#This Row],[Back*]]=0.5),1,0)</f>
        <v>0</v>
      </c>
      <c r="K369" s="232"/>
      <c r="L369" s="232"/>
    </row>
    <row r="370" spans="1:12" ht="14.1">
      <c r="A370" s="23" t="s">
        <v>232</v>
      </c>
      <c r="B370" s="23" t="s">
        <v>207</v>
      </c>
      <c r="C370" s="229"/>
      <c r="D370" s="229">
        <v>180.01</v>
      </c>
      <c r="E370" s="25">
        <v>1.305798</v>
      </c>
      <c r="F370" s="230">
        <f>pairs[[#This Row],[ Dist]]*5280</f>
        <v>6894.6134400000001</v>
      </c>
      <c r="G370" s="232">
        <f>ROUND(pairs[[#This Row],[ Az]]-ROUNDDOWN(pairs[[#This Row],[ Az]],0),1)</f>
        <v>0</v>
      </c>
      <c r="H370" s="232">
        <f>ROUND(pairs[[#This Row],[ Back]]-ROUNDDOWN(pairs[[#This Row],[ Back]],0),1)</f>
        <v>0</v>
      </c>
      <c r="I370" s="232">
        <f>IF( OR( OR(pairs[[#This Row],[Az*]]=0, pairs[[#This Row],[Back*]]=0), OR(pairs[[#This Row],[Az*]]=1, pairs[[#This Row],[Back*]]=1)), 1, 0)</f>
        <v>1</v>
      </c>
      <c r="J370" s="232">
        <f>IF(OR(pairs[[#This Row],[Az*]]=0.5,pairs[[#This Row],[Back*]]=0.5),1,0)</f>
        <v>0</v>
      </c>
      <c r="K370" s="232"/>
      <c r="L370" s="232"/>
    </row>
    <row r="371" spans="1:12" ht="14.1">
      <c r="A371" s="206" t="s">
        <v>232</v>
      </c>
      <c r="B371" s="206" t="s">
        <v>206</v>
      </c>
      <c r="C371" s="235"/>
      <c r="D371" s="235">
        <v>196.54</v>
      </c>
      <c r="E371" s="236">
        <v>0.56510000000000005</v>
      </c>
      <c r="F371" s="237">
        <f>pairs[[#This Row],[ Dist]]*5280</f>
        <v>2983.7280000000001</v>
      </c>
      <c r="G371" s="235">
        <f>ROUND(pairs[[#This Row],[ Az]]-ROUNDDOWN(pairs[[#This Row],[ Az]],0),1)</f>
        <v>0</v>
      </c>
      <c r="H371" s="235">
        <f>ROUND(pairs[[#This Row],[ Back]]-ROUNDDOWN(pairs[[#This Row],[ Back]],0),1)</f>
        <v>0.5</v>
      </c>
      <c r="I371" s="235">
        <f>IF( OR( OR(pairs[[#This Row],[Az*]]=0, pairs[[#This Row],[Back*]]=0), OR(pairs[[#This Row],[Az*]]=1, pairs[[#This Row],[Back*]]=1)), 1, 0)</f>
        <v>1</v>
      </c>
      <c r="J371" s="235">
        <f>IF(OR(pairs[[#This Row],[Az*]]=0.5,pairs[[#This Row],[Back*]]=0.5),1,0)</f>
        <v>1</v>
      </c>
      <c r="K371" s="232"/>
      <c r="L371" s="232"/>
    </row>
    <row r="372" spans="1:12">
      <c r="A372" s="231" t="s">
        <v>232</v>
      </c>
      <c r="B372" s="231" t="s">
        <v>205</v>
      </c>
      <c r="C372" s="232"/>
      <c r="D372" s="232">
        <v>186.14</v>
      </c>
      <c r="E372" s="233">
        <v>0.94578600000000002</v>
      </c>
      <c r="F372" s="234">
        <f>pairs[[#This Row],[ Dist]]*5280</f>
        <v>4993.7500799999998</v>
      </c>
      <c r="G372" s="232">
        <f>ROUND(pairs[[#This Row],[ Az]]-ROUNDDOWN(pairs[[#This Row],[ Az]],0),1)</f>
        <v>0</v>
      </c>
      <c r="H372" s="232">
        <f>ROUND(pairs[[#This Row],[ Back]]-ROUNDDOWN(pairs[[#This Row],[ Back]],0),1)</f>
        <v>0.1</v>
      </c>
      <c r="I372" s="232">
        <f>IF( OR( OR(pairs[[#This Row],[Az*]]=0, pairs[[#This Row],[Back*]]=0), OR(pairs[[#This Row],[Az*]]=1, pairs[[#This Row],[Back*]]=1)), 1, 0)</f>
        <v>1</v>
      </c>
      <c r="J372" s="232">
        <f>IF(OR(pairs[[#This Row],[Az*]]=0.5,pairs[[#This Row],[Back*]]=0.5),1,0)</f>
        <v>0</v>
      </c>
      <c r="K372" s="232"/>
      <c r="L372" s="232"/>
    </row>
    <row r="373" spans="1:12">
      <c r="A373" s="231" t="s">
        <v>233</v>
      </c>
      <c r="B373" s="231" t="s">
        <v>217</v>
      </c>
      <c r="C373" s="232"/>
      <c r="D373" s="232">
        <v>142.61000000000001</v>
      </c>
      <c r="E373" s="233">
        <v>0.93652899999999994</v>
      </c>
      <c r="F373" s="234">
        <f>pairs[[#This Row],[ Dist]]*5280</f>
        <v>4944.8731199999993</v>
      </c>
      <c r="G373" s="232">
        <f>ROUND(pairs[[#This Row],[ Az]]-ROUNDDOWN(pairs[[#This Row],[ Az]],0),1)</f>
        <v>0</v>
      </c>
      <c r="H373" s="232">
        <f>ROUND(pairs[[#This Row],[ Back]]-ROUNDDOWN(pairs[[#This Row],[ Back]],0),1)</f>
        <v>0.6</v>
      </c>
      <c r="I373" s="232">
        <f>IF( OR( OR(pairs[[#This Row],[Az*]]=0, pairs[[#This Row],[Back*]]=0), OR(pairs[[#This Row],[Az*]]=1, pairs[[#This Row],[Back*]]=1)), 1, 0)</f>
        <v>1</v>
      </c>
      <c r="J373" s="232">
        <f>IF(OR(pairs[[#This Row],[Az*]]=0.5,pairs[[#This Row],[Back*]]=0.5),1,0)</f>
        <v>0</v>
      </c>
      <c r="K373" s="232"/>
      <c r="L373" s="232"/>
    </row>
    <row r="374" spans="1:12" ht="14.1">
      <c r="A374" s="23" t="s">
        <v>233</v>
      </c>
      <c r="B374" s="23" t="s">
        <v>196</v>
      </c>
      <c r="C374" s="229"/>
      <c r="D374" s="229">
        <v>145.02000000000001</v>
      </c>
      <c r="E374" s="25">
        <v>0.992317</v>
      </c>
      <c r="F374" s="230">
        <f>pairs[[#This Row],[ Dist]]*5280</f>
        <v>5239.4337599999999</v>
      </c>
      <c r="G374" s="232">
        <f>ROUND(pairs[[#This Row],[ Az]]-ROUNDDOWN(pairs[[#This Row],[ Az]],0),1)</f>
        <v>0</v>
      </c>
      <c r="H374" s="232">
        <f>ROUND(pairs[[#This Row],[ Back]]-ROUNDDOWN(pairs[[#This Row],[ Back]],0),1)</f>
        <v>0</v>
      </c>
      <c r="I374" s="232">
        <f>IF( OR( OR(pairs[[#This Row],[Az*]]=0, pairs[[#This Row],[Back*]]=0), OR(pairs[[#This Row],[Az*]]=1, pairs[[#This Row],[Back*]]=1)), 1, 0)</f>
        <v>1</v>
      </c>
      <c r="J374" s="232">
        <f>IF(OR(pairs[[#This Row],[Az*]]=0.5,pairs[[#This Row],[Back*]]=0.5),1,0)</f>
        <v>0</v>
      </c>
      <c r="K374" s="232"/>
      <c r="L374" s="232"/>
    </row>
    <row r="375" spans="1:12">
      <c r="A375" s="231" t="s">
        <v>233</v>
      </c>
      <c r="B375" s="231" t="s">
        <v>197</v>
      </c>
      <c r="C375" s="232"/>
      <c r="D375" s="232">
        <v>153.25</v>
      </c>
      <c r="E375" s="233">
        <v>0.90935600000000005</v>
      </c>
      <c r="F375" s="234">
        <f>pairs[[#This Row],[ Dist]]*5280</f>
        <v>4801.3996800000004</v>
      </c>
      <c r="G375" s="232">
        <f>ROUND(pairs[[#This Row],[ Az]]-ROUNDDOWN(pairs[[#This Row],[ Az]],0),1)</f>
        <v>0</v>
      </c>
      <c r="H375" s="232">
        <f>ROUND(pairs[[#This Row],[ Back]]-ROUNDDOWN(pairs[[#This Row],[ Back]],0),1)</f>
        <v>0.3</v>
      </c>
      <c r="I375" s="232">
        <f>IF( OR( OR(pairs[[#This Row],[Az*]]=0, pairs[[#This Row],[Back*]]=0), OR(pairs[[#This Row],[Az*]]=1, pairs[[#This Row],[Back*]]=1)), 1, 0)</f>
        <v>1</v>
      </c>
      <c r="J375" s="232">
        <f>IF(OR(pairs[[#This Row],[Az*]]=0.5,pairs[[#This Row],[Back*]]=0.5),1,0)</f>
        <v>0</v>
      </c>
      <c r="K375" s="232"/>
      <c r="L375" s="232"/>
    </row>
    <row r="376" spans="1:12">
      <c r="A376" s="231" t="s">
        <v>233</v>
      </c>
      <c r="B376" s="231" t="s">
        <v>198</v>
      </c>
      <c r="C376" s="232"/>
      <c r="D376" s="232">
        <v>151.21</v>
      </c>
      <c r="E376" s="233">
        <v>0.847163</v>
      </c>
      <c r="F376" s="234">
        <f>pairs[[#This Row],[ Dist]]*5280</f>
        <v>4473.0206399999997</v>
      </c>
      <c r="G376" s="232">
        <f>ROUND(pairs[[#This Row],[ Az]]-ROUNDDOWN(pairs[[#This Row],[ Az]],0),1)</f>
        <v>0</v>
      </c>
      <c r="H376" s="232">
        <f>ROUND(pairs[[#This Row],[ Back]]-ROUNDDOWN(pairs[[#This Row],[ Back]],0),1)</f>
        <v>0.2</v>
      </c>
      <c r="I376" s="232">
        <f>IF( OR( OR(pairs[[#This Row],[Az*]]=0, pairs[[#This Row],[Back*]]=0), OR(pairs[[#This Row],[Az*]]=1, pairs[[#This Row],[Back*]]=1)), 1, 0)</f>
        <v>1</v>
      </c>
      <c r="J376" s="232">
        <f>IF(OR(pairs[[#This Row],[Az*]]=0.5,pairs[[#This Row],[Back*]]=0.5),1,0)</f>
        <v>0</v>
      </c>
      <c r="K376" s="232"/>
      <c r="L376" s="232"/>
    </row>
    <row r="377" spans="1:12">
      <c r="A377" s="231" t="s">
        <v>233</v>
      </c>
      <c r="B377" s="231" t="s">
        <v>199</v>
      </c>
      <c r="C377" s="232"/>
      <c r="D377" s="232">
        <v>145.69</v>
      </c>
      <c r="E377" s="233">
        <v>0.89781999999999995</v>
      </c>
      <c r="F377" s="234">
        <f>pairs[[#This Row],[ Dist]]*5280</f>
        <v>4740.4895999999999</v>
      </c>
      <c r="G377" s="232">
        <f>ROUND(pairs[[#This Row],[ Az]]-ROUNDDOWN(pairs[[#This Row],[ Az]],0),1)</f>
        <v>0</v>
      </c>
      <c r="H377" s="232">
        <f>ROUND(pairs[[#This Row],[ Back]]-ROUNDDOWN(pairs[[#This Row],[ Back]],0),1)</f>
        <v>0.7</v>
      </c>
      <c r="I377" s="232">
        <f>IF( OR( OR(pairs[[#This Row],[Az*]]=0, pairs[[#This Row],[Back*]]=0), OR(pairs[[#This Row],[Az*]]=1, pairs[[#This Row],[Back*]]=1)), 1, 0)</f>
        <v>1</v>
      </c>
      <c r="J377" s="232">
        <f>IF(OR(pairs[[#This Row],[Az*]]=0.5,pairs[[#This Row],[Back*]]=0.5),1,0)</f>
        <v>0</v>
      </c>
      <c r="K377" s="232"/>
      <c r="L377" s="232"/>
    </row>
    <row r="378" spans="1:12">
      <c r="A378" s="231" t="s">
        <v>233</v>
      </c>
      <c r="B378" s="231" t="s">
        <v>200</v>
      </c>
      <c r="C378" s="232"/>
      <c r="D378" s="232">
        <v>147.05000000000001</v>
      </c>
      <c r="E378" s="233">
        <v>0.88368199999999997</v>
      </c>
      <c r="F378" s="234">
        <f>pairs[[#This Row],[ Dist]]*5280</f>
        <v>4665.8409599999995</v>
      </c>
      <c r="G378" s="232">
        <f>ROUND(pairs[[#This Row],[ Az]]-ROUNDDOWN(pairs[[#This Row],[ Az]],0),1)</f>
        <v>0</v>
      </c>
      <c r="H378" s="232">
        <f>ROUND(pairs[[#This Row],[ Back]]-ROUNDDOWN(pairs[[#This Row],[ Back]],0),1)</f>
        <v>0.1</v>
      </c>
      <c r="I378" s="232">
        <f>IF( OR( OR(pairs[[#This Row],[Az*]]=0, pairs[[#This Row],[Back*]]=0), OR(pairs[[#This Row],[Az*]]=1, pairs[[#This Row],[Back*]]=1)), 1, 0)</f>
        <v>1</v>
      </c>
      <c r="J378" s="232">
        <f>IF(OR(pairs[[#This Row],[Az*]]=0.5,pairs[[#This Row],[Back*]]=0.5),1,0)</f>
        <v>0</v>
      </c>
      <c r="K378" s="232"/>
      <c r="L378" s="232"/>
    </row>
    <row r="379" spans="1:12">
      <c r="A379" s="231" t="s">
        <v>233</v>
      </c>
      <c r="B379" s="231" t="s">
        <v>201</v>
      </c>
      <c r="C379" s="232"/>
      <c r="D379" s="232">
        <v>149.69</v>
      </c>
      <c r="E379" s="233">
        <v>0.85855700000000001</v>
      </c>
      <c r="F379" s="234">
        <f>pairs[[#This Row],[ Dist]]*5280</f>
        <v>4533.1809599999997</v>
      </c>
      <c r="G379" s="232">
        <f>ROUND(pairs[[#This Row],[ Az]]-ROUNDDOWN(pairs[[#This Row],[ Az]],0),1)</f>
        <v>0</v>
      </c>
      <c r="H379" s="232">
        <f>ROUND(pairs[[#This Row],[ Back]]-ROUNDDOWN(pairs[[#This Row],[ Back]],0),1)</f>
        <v>0.7</v>
      </c>
      <c r="I379" s="232">
        <f>IF( OR( OR(pairs[[#This Row],[Az*]]=0, pairs[[#This Row],[Back*]]=0), OR(pairs[[#This Row],[Az*]]=1, pairs[[#This Row],[Back*]]=1)), 1, 0)</f>
        <v>1</v>
      </c>
      <c r="J379" s="232">
        <f>IF(OR(pairs[[#This Row],[Az*]]=0.5,pairs[[#This Row],[Back*]]=0.5),1,0)</f>
        <v>0</v>
      </c>
      <c r="K379" s="232"/>
      <c r="L379" s="232"/>
    </row>
    <row r="380" spans="1:12">
      <c r="A380" s="231" t="s">
        <v>233</v>
      </c>
      <c r="B380" s="231" t="s">
        <v>202</v>
      </c>
      <c r="C380" s="232"/>
      <c r="D380" s="232">
        <v>151.05000000000001</v>
      </c>
      <c r="E380" s="233">
        <v>0.92720599999999997</v>
      </c>
      <c r="F380" s="234">
        <f>pairs[[#This Row],[ Dist]]*5280</f>
        <v>4895.64768</v>
      </c>
      <c r="G380" s="232">
        <f>ROUND(pairs[[#This Row],[ Az]]-ROUNDDOWN(pairs[[#This Row],[ Az]],0),1)</f>
        <v>0</v>
      </c>
      <c r="H380" s="232">
        <f>ROUND(pairs[[#This Row],[ Back]]-ROUNDDOWN(pairs[[#This Row],[ Back]],0),1)</f>
        <v>0.1</v>
      </c>
      <c r="I380" s="232">
        <f>IF( OR( OR(pairs[[#This Row],[Az*]]=0, pairs[[#This Row],[Back*]]=0), OR(pairs[[#This Row],[Az*]]=1, pairs[[#This Row],[Back*]]=1)), 1, 0)</f>
        <v>1</v>
      </c>
      <c r="J380" s="232">
        <f>IF(OR(pairs[[#This Row],[Az*]]=0.5,pairs[[#This Row],[Back*]]=0.5),1,0)</f>
        <v>0</v>
      </c>
      <c r="K380" s="232"/>
      <c r="L380" s="232"/>
    </row>
    <row r="381" spans="1:12">
      <c r="A381" s="231" t="s">
        <v>233</v>
      </c>
      <c r="B381" s="231" t="s">
        <v>203</v>
      </c>
      <c r="C381" s="232"/>
      <c r="D381" s="232">
        <v>149.19</v>
      </c>
      <c r="E381" s="233">
        <v>0.94539099999999998</v>
      </c>
      <c r="F381" s="234">
        <f>pairs[[#This Row],[ Dist]]*5280</f>
        <v>4991.6644799999995</v>
      </c>
      <c r="G381" s="232">
        <f>ROUND(pairs[[#This Row],[ Az]]-ROUNDDOWN(pairs[[#This Row],[ Az]],0),1)</f>
        <v>0</v>
      </c>
      <c r="H381" s="232">
        <f>ROUND(pairs[[#This Row],[ Back]]-ROUNDDOWN(pairs[[#This Row],[ Back]],0),1)</f>
        <v>0.2</v>
      </c>
      <c r="I381" s="232">
        <f>IF( OR( OR(pairs[[#This Row],[Az*]]=0, pairs[[#This Row],[Back*]]=0), OR(pairs[[#This Row],[Az*]]=1, pairs[[#This Row],[Back*]]=1)), 1, 0)</f>
        <v>1</v>
      </c>
      <c r="J381" s="232">
        <f>IF(OR(pairs[[#This Row],[Az*]]=0.5,pairs[[#This Row],[Back*]]=0.5),1,0)</f>
        <v>0</v>
      </c>
      <c r="K381" s="232"/>
      <c r="L381" s="232"/>
    </row>
    <row r="382" spans="1:12" ht="14.1">
      <c r="A382" s="23" t="s">
        <v>233</v>
      </c>
      <c r="B382" s="23" t="s">
        <v>204</v>
      </c>
      <c r="C382" s="229"/>
      <c r="D382" s="229">
        <v>147.01</v>
      </c>
      <c r="E382" s="25">
        <v>0.92969000000000002</v>
      </c>
      <c r="F382" s="230">
        <f>pairs[[#This Row],[ Dist]]*5280</f>
        <v>4908.7632000000003</v>
      </c>
      <c r="G382" s="232">
        <f>ROUND(pairs[[#This Row],[ Az]]-ROUNDDOWN(pairs[[#This Row],[ Az]],0),1)</f>
        <v>0</v>
      </c>
      <c r="H382" s="232">
        <f>ROUND(pairs[[#This Row],[ Back]]-ROUNDDOWN(pairs[[#This Row],[ Back]],0),1)</f>
        <v>0</v>
      </c>
      <c r="I382" s="232">
        <f>IF( OR( OR(pairs[[#This Row],[Az*]]=0, pairs[[#This Row],[Back*]]=0), OR(pairs[[#This Row],[Az*]]=1, pairs[[#This Row],[Back*]]=1)), 1, 0)</f>
        <v>1</v>
      </c>
      <c r="J382" s="232">
        <f>IF(OR(pairs[[#This Row],[Az*]]=0.5,pairs[[#This Row],[Back*]]=0.5),1,0)</f>
        <v>0</v>
      </c>
      <c r="K382" s="232"/>
      <c r="L382" s="232"/>
    </row>
    <row r="383" spans="1:12">
      <c r="A383" s="231" t="s">
        <v>233</v>
      </c>
      <c r="B383" s="231" t="s">
        <v>215</v>
      </c>
      <c r="C383" s="232"/>
      <c r="D383" s="232">
        <v>180.74</v>
      </c>
      <c r="E383" s="233">
        <v>1.5700460000000001</v>
      </c>
      <c r="F383" s="234">
        <f>pairs[[#This Row],[ Dist]]*5280</f>
        <v>8289.8428800000002</v>
      </c>
      <c r="G383" s="232">
        <f>ROUND(pairs[[#This Row],[ Az]]-ROUNDDOWN(pairs[[#This Row],[ Az]],0),1)</f>
        <v>0</v>
      </c>
      <c r="H383" s="232">
        <f>ROUND(pairs[[#This Row],[ Back]]-ROUNDDOWN(pairs[[#This Row],[ Back]],0),1)</f>
        <v>0.7</v>
      </c>
      <c r="I383" s="232">
        <f>IF( OR( OR(pairs[[#This Row],[Az*]]=0, pairs[[#This Row],[Back*]]=0), OR(pairs[[#This Row],[Az*]]=1, pairs[[#This Row],[Back*]]=1)), 1, 0)</f>
        <v>1</v>
      </c>
      <c r="J383" s="232">
        <f>IF(OR(pairs[[#This Row],[Az*]]=0.5,pairs[[#This Row],[Back*]]=0.5),1,0)</f>
        <v>0</v>
      </c>
      <c r="K383" s="232"/>
      <c r="L383" s="232"/>
    </row>
    <row r="384" spans="1:12">
      <c r="A384" s="231" t="s">
        <v>233</v>
      </c>
      <c r="B384" s="231" t="s">
        <v>214</v>
      </c>
      <c r="C384" s="232"/>
      <c r="D384" s="232">
        <v>177.67</v>
      </c>
      <c r="E384" s="233">
        <v>1.025107</v>
      </c>
      <c r="F384" s="234">
        <f>pairs[[#This Row],[ Dist]]*5280</f>
        <v>5412.5649599999997</v>
      </c>
      <c r="G384" s="232">
        <f>ROUND(pairs[[#This Row],[ Az]]-ROUNDDOWN(pairs[[#This Row],[ Az]],0),1)</f>
        <v>0</v>
      </c>
      <c r="H384" s="232">
        <f>ROUND(pairs[[#This Row],[ Back]]-ROUNDDOWN(pairs[[#This Row],[ Back]],0),1)</f>
        <v>0.7</v>
      </c>
      <c r="I384" s="232">
        <f>IF( OR( OR(pairs[[#This Row],[Az*]]=0, pairs[[#This Row],[Back*]]=0), OR(pairs[[#This Row],[Az*]]=1, pairs[[#This Row],[Back*]]=1)), 1, 0)</f>
        <v>1</v>
      </c>
      <c r="J384" s="232">
        <f>IF(OR(pairs[[#This Row],[Az*]]=0.5,pairs[[#This Row],[Back*]]=0.5),1,0)</f>
        <v>0</v>
      </c>
      <c r="K384" s="232"/>
      <c r="L384" s="232"/>
    </row>
    <row r="385" spans="1:12">
      <c r="A385" s="231" t="s">
        <v>233</v>
      </c>
      <c r="B385" s="231" t="s">
        <v>213</v>
      </c>
      <c r="C385" s="232"/>
      <c r="D385" s="232">
        <v>165.15</v>
      </c>
      <c r="E385" s="233">
        <v>0.61808200000000002</v>
      </c>
      <c r="F385" s="234">
        <f>pairs[[#This Row],[ Dist]]*5280</f>
        <v>3263.4729600000001</v>
      </c>
      <c r="G385" s="232">
        <f>ROUND(pairs[[#This Row],[ Az]]-ROUNDDOWN(pairs[[#This Row],[ Az]],0),1)</f>
        <v>0</v>
      </c>
      <c r="H385" s="232">
        <f>ROUND(pairs[[#This Row],[ Back]]-ROUNDDOWN(pairs[[#This Row],[ Back]],0),1)</f>
        <v>0.2</v>
      </c>
      <c r="I385" s="232">
        <f>IF( OR( OR(pairs[[#This Row],[Az*]]=0, pairs[[#This Row],[Back*]]=0), OR(pairs[[#This Row],[Az*]]=1, pairs[[#This Row],[Back*]]=1)), 1, 0)</f>
        <v>1</v>
      </c>
      <c r="J385" s="232">
        <f>IF(OR(pairs[[#This Row],[Az*]]=0.5,pairs[[#This Row],[Back*]]=0.5),1,0)</f>
        <v>0</v>
      </c>
      <c r="K385" s="232"/>
      <c r="L385" s="232"/>
    </row>
    <row r="386" spans="1:12" ht="14.1">
      <c r="A386" s="23" t="s">
        <v>233</v>
      </c>
      <c r="B386" s="23" t="s">
        <v>211</v>
      </c>
      <c r="C386" s="229"/>
      <c r="D386" s="229">
        <v>88.98</v>
      </c>
      <c r="E386" s="25">
        <v>0.50615600000000005</v>
      </c>
      <c r="F386" s="230">
        <f>pairs[[#This Row],[ Dist]]*5280</f>
        <v>2672.5036800000003</v>
      </c>
      <c r="G386" s="232">
        <f>ROUND(pairs[[#This Row],[ Az]]-ROUNDDOWN(pairs[[#This Row],[ Az]],0),1)</f>
        <v>0</v>
      </c>
      <c r="H386" s="232">
        <f>ROUND(pairs[[#This Row],[ Back]]-ROUNDDOWN(pairs[[#This Row],[ Back]],0),1)</f>
        <v>1</v>
      </c>
      <c r="I386" s="232">
        <f>IF( OR( OR(pairs[[#This Row],[Az*]]=0, pairs[[#This Row],[Back*]]=0), OR(pairs[[#This Row],[Az*]]=1, pairs[[#This Row],[Back*]]=1)), 1, 0)</f>
        <v>1</v>
      </c>
      <c r="J386" s="232">
        <f>IF(OR(pairs[[#This Row],[Az*]]=0.5,pairs[[#This Row],[Back*]]=0.5),1,0)</f>
        <v>0</v>
      </c>
      <c r="K386" s="232"/>
      <c r="L386" s="232"/>
    </row>
    <row r="387" spans="1:12" ht="14.1">
      <c r="A387" s="23" t="s">
        <v>233</v>
      </c>
      <c r="B387" s="23" t="s">
        <v>210</v>
      </c>
      <c r="C387" s="229"/>
      <c r="D387" s="229">
        <v>136.01</v>
      </c>
      <c r="E387" s="25">
        <v>1.4459649999999999</v>
      </c>
      <c r="F387" s="230">
        <f>pairs[[#This Row],[ Dist]]*5280</f>
        <v>7634.6952000000001</v>
      </c>
      <c r="G387" s="232">
        <f>ROUND(pairs[[#This Row],[ Az]]-ROUNDDOWN(pairs[[#This Row],[ Az]],0),1)</f>
        <v>0</v>
      </c>
      <c r="H387" s="232">
        <f>ROUND(pairs[[#This Row],[ Back]]-ROUNDDOWN(pairs[[#This Row],[ Back]],0),1)</f>
        <v>0</v>
      </c>
      <c r="I387" s="232">
        <f>IF( OR( OR(pairs[[#This Row],[Az*]]=0, pairs[[#This Row],[Back*]]=0), OR(pairs[[#This Row],[Az*]]=1, pairs[[#This Row],[Back*]]=1)), 1, 0)</f>
        <v>1</v>
      </c>
      <c r="J387" s="232">
        <f>IF(OR(pairs[[#This Row],[Az*]]=0.5,pairs[[#This Row],[Back*]]=0.5),1,0)</f>
        <v>0</v>
      </c>
      <c r="K387" s="232"/>
      <c r="L387" s="232"/>
    </row>
    <row r="388" spans="1:12">
      <c r="A388" s="231" t="s">
        <v>233</v>
      </c>
      <c r="B388" s="231" t="s">
        <v>209</v>
      </c>
      <c r="C388" s="232"/>
      <c r="D388" s="232">
        <v>103.14</v>
      </c>
      <c r="E388" s="233">
        <v>1.4209780000000001</v>
      </c>
      <c r="F388" s="234">
        <f>pairs[[#This Row],[ Dist]]*5280</f>
        <v>7502.7638400000005</v>
      </c>
      <c r="G388" s="232">
        <f>ROUND(pairs[[#This Row],[ Az]]-ROUNDDOWN(pairs[[#This Row],[ Az]],0),1)</f>
        <v>0</v>
      </c>
      <c r="H388" s="232">
        <f>ROUND(pairs[[#This Row],[ Back]]-ROUNDDOWN(pairs[[#This Row],[ Back]],0),1)</f>
        <v>0.1</v>
      </c>
      <c r="I388" s="232">
        <f>IF( OR( OR(pairs[[#This Row],[Az*]]=0, pairs[[#This Row],[Back*]]=0), OR(pairs[[#This Row],[Az*]]=1, pairs[[#This Row],[Back*]]=1)), 1, 0)</f>
        <v>1</v>
      </c>
      <c r="J388" s="232">
        <f>IF(OR(pairs[[#This Row],[Az*]]=0.5,pairs[[#This Row],[Back*]]=0.5),1,0)</f>
        <v>0</v>
      </c>
      <c r="K388" s="232"/>
      <c r="L388" s="232"/>
    </row>
    <row r="389" spans="1:12">
      <c r="A389" s="231" t="s">
        <v>233</v>
      </c>
      <c r="B389" s="231" t="s">
        <v>208</v>
      </c>
      <c r="C389" s="232"/>
      <c r="D389" s="232">
        <v>117.35</v>
      </c>
      <c r="E389" s="233">
        <v>1.131669</v>
      </c>
      <c r="F389" s="234">
        <f>pairs[[#This Row],[ Dist]]*5280</f>
        <v>5975.2123200000005</v>
      </c>
      <c r="G389" s="232">
        <f>ROUND(pairs[[#This Row],[ Az]]-ROUNDDOWN(pairs[[#This Row],[ Az]],0),1)</f>
        <v>0</v>
      </c>
      <c r="H389" s="232">
        <f>ROUND(pairs[[#This Row],[ Back]]-ROUNDDOWN(pairs[[#This Row],[ Back]],0),1)</f>
        <v>0.3</v>
      </c>
      <c r="I389" s="232">
        <f>IF( OR( OR(pairs[[#This Row],[Az*]]=0, pairs[[#This Row],[Back*]]=0), OR(pairs[[#This Row],[Az*]]=1, pairs[[#This Row],[Back*]]=1)), 1, 0)</f>
        <v>1</v>
      </c>
      <c r="J389" s="232">
        <f>IF(OR(pairs[[#This Row],[Az*]]=0.5,pairs[[#This Row],[Back*]]=0.5),1,0)</f>
        <v>0</v>
      </c>
      <c r="K389" s="232"/>
      <c r="L389" s="232"/>
    </row>
    <row r="390" spans="1:12">
      <c r="A390" s="231" t="s">
        <v>233</v>
      </c>
      <c r="B390" s="231" t="s">
        <v>207</v>
      </c>
      <c r="C390" s="232"/>
      <c r="D390" s="232">
        <v>158.69</v>
      </c>
      <c r="E390" s="233">
        <v>1.3920060000000001</v>
      </c>
      <c r="F390" s="234">
        <f>pairs[[#This Row],[ Dist]]*5280</f>
        <v>7349.7916800000003</v>
      </c>
      <c r="G390" s="232">
        <f>ROUND(pairs[[#This Row],[ Az]]-ROUNDDOWN(pairs[[#This Row],[ Az]],0),1)</f>
        <v>0</v>
      </c>
      <c r="H390" s="232">
        <f>ROUND(pairs[[#This Row],[ Back]]-ROUNDDOWN(pairs[[#This Row],[ Back]],0),1)</f>
        <v>0.7</v>
      </c>
      <c r="I390" s="232">
        <f>IF( OR( OR(pairs[[#This Row],[Az*]]=0, pairs[[#This Row],[Back*]]=0), OR(pairs[[#This Row],[Az*]]=1, pairs[[#This Row],[Back*]]=1)), 1, 0)</f>
        <v>1</v>
      </c>
      <c r="J390" s="232">
        <f>IF(OR(pairs[[#This Row],[Az*]]=0.5,pairs[[#This Row],[Back*]]=0.5),1,0)</f>
        <v>0</v>
      </c>
      <c r="K390" s="232"/>
      <c r="L390" s="232"/>
    </row>
    <row r="391" spans="1:12">
      <c r="A391" s="231" t="s">
        <v>233</v>
      </c>
      <c r="B391" s="231" t="s">
        <v>206</v>
      </c>
      <c r="C391" s="232"/>
      <c r="D391" s="232">
        <v>147.06</v>
      </c>
      <c r="E391" s="233">
        <v>0.63482000000000005</v>
      </c>
      <c r="F391" s="234">
        <f>pairs[[#This Row],[ Dist]]*5280</f>
        <v>3351.8496000000005</v>
      </c>
      <c r="G391" s="232">
        <f>ROUND(pairs[[#This Row],[ Az]]-ROUNDDOWN(pairs[[#This Row],[ Az]],0),1)</f>
        <v>0</v>
      </c>
      <c r="H391" s="232">
        <f>ROUND(pairs[[#This Row],[ Back]]-ROUNDDOWN(pairs[[#This Row],[ Back]],0),1)</f>
        <v>0.1</v>
      </c>
      <c r="I391" s="232">
        <f>IF( OR( OR(pairs[[#This Row],[Az*]]=0, pairs[[#This Row],[Back*]]=0), OR(pairs[[#This Row],[Az*]]=1, pairs[[#This Row],[Back*]]=1)), 1, 0)</f>
        <v>1</v>
      </c>
      <c r="J391" s="232">
        <f>IF(OR(pairs[[#This Row],[Az*]]=0.5,pairs[[#This Row],[Back*]]=0.5),1,0)</f>
        <v>0</v>
      </c>
      <c r="K391" s="232"/>
      <c r="L391" s="232"/>
    </row>
    <row r="392" spans="1:12" ht="14.1">
      <c r="A392" s="206" t="s">
        <v>233</v>
      </c>
      <c r="B392" s="206" t="s">
        <v>205</v>
      </c>
      <c r="C392" s="235"/>
      <c r="D392" s="235">
        <v>156.5</v>
      </c>
      <c r="E392" s="236">
        <v>1.015604</v>
      </c>
      <c r="F392" s="237">
        <f>pairs[[#This Row],[ Dist]]*5280</f>
        <v>5362.3891199999998</v>
      </c>
      <c r="G392" s="235">
        <f>ROUND(pairs[[#This Row],[ Az]]-ROUNDDOWN(pairs[[#This Row],[ Az]],0),1)</f>
        <v>0</v>
      </c>
      <c r="H392" s="235">
        <f>ROUND(pairs[[#This Row],[ Back]]-ROUNDDOWN(pairs[[#This Row],[ Back]],0),1)</f>
        <v>0.5</v>
      </c>
      <c r="I392" s="235">
        <f>IF( OR( OR(pairs[[#This Row],[Az*]]=0, pairs[[#This Row],[Back*]]=0), OR(pairs[[#This Row],[Az*]]=1, pairs[[#This Row],[Back*]]=1)), 1, 0)</f>
        <v>1</v>
      </c>
      <c r="J392" s="235">
        <f>IF(OR(pairs[[#This Row],[Az*]]=0.5,pairs[[#This Row],[Back*]]=0.5),1,0)</f>
        <v>1</v>
      </c>
      <c r="K392" s="232"/>
      <c r="L392" s="232"/>
    </row>
    <row r="393" spans="1:12">
      <c r="A393" s="231" t="s">
        <v>234</v>
      </c>
      <c r="B393" s="231" t="s">
        <v>217</v>
      </c>
      <c r="C393" s="232"/>
      <c r="D393" s="232">
        <v>109.67</v>
      </c>
      <c r="E393" s="233">
        <v>0.43567099999999997</v>
      </c>
      <c r="F393" s="234">
        <f>pairs[[#This Row],[ Dist]]*5280</f>
        <v>2300.3428799999997</v>
      </c>
      <c r="G393" s="232">
        <f>ROUND(pairs[[#This Row],[ Az]]-ROUNDDOWN(pairs[[#This Row],[ Az]],0),1)</f>
        <v>0</v>
      </c>
      <c r="H393" s="232">
        <f>ROUND(pairs[[#This Row],[ Back]]-ROUNDDOWN(pairs[[#This Row],[ Back]],0),1)</f>
        <v>0.7</v>
      </c>
      <c r="I393" s="232">
        <f>IF( OR( OR(pairs[[#This Row],[Az*]]=0, pairs[[#This Row],[Back*]]=0), OR(pairs[[#This Row],[Az*]]=1, pairs[[#This Row],[Back*]]=1)), 1, 0)</f>
        <v>1</v>
      </c>
      <c r="J393" s="232">
        <f>IF(OR(pairs[[#This Row],[Az*]]=0.5,pairs[[#This Row],[Back*]]=0.5),1,0)</f>
        <v>0</v>
      </c>
      <c r="K393" s="232"/>
      <c r="L393" s="232"/>
    </row>
    <row r="394" spans="1:12">
      <c r="A394" s="231" t="s">
        <v>234</v>
      </c>
      <c r="B394" s="231" t="s">
        <v>196</v>
      </c>
      <c r="C394" s="232"/>
      <c r="D394" s="232">
        <v>117.73</v>
      </c>
      <c r="E394" s="233">
        <v>0.46356999999999998</v>
      </c>
      <c r="F394" s="234">
        <f>pairs[[#This Row],[ Dist]]*5280</f>
        <v>2447.6495999999997</v>
      </c>
      <c r="G394" s="232">
        <f>ROUND(pairs[[#This Row],[ Az]]-ROUNDDOWN(pairs[[#This Row],[ Az]],0),1)</f>
        <v>0</v>
      </c>
      <c r="H394" s="232">
        <f>ROUND(pairs[[#This Row],[ Back]]-ROUNDDOWN(pairs[[#This Row],[ Back]],0),1)</f>
        <v>0.7</v>
      </c>
      <c r="I394" s="232">
        <f>IF( OR( OR(pairs[[#This Row],[Az*]]=0, pairs[[#This Row],[Back*]]=0), OR(pairs[[#This Row],[Az*]]=1, pairs[[#This Row],[Back*]]=1)), 1, 0)</f>
        <v>1</v>
      </c>
      <c r="J394" s="232">
        <f>IF(OR(pairs[[#This Row],[Az*]]=0.5,pairs[[#This Row],[Back*]]=0.5),1,0)</f>
        <v>0</v>
      </c>
      <c r="K394" s="232"/>
      <c r="L394" s="232"/>
    </row>
    <row r="395" spans="1:12">
      <c r="A395" s="231" t="s">
        <v>234</v>
      </c>
      <c r="B395" s="231" t="s">
        <v>197</v>
      </c>
      <c r="C395" s="232"/>
      <c r="D395" s="232">
        <v>130.56</v>
      </c>
      <c r="E395" s="233">
        <v>0.33009699999999997</v>
      </c>
      <c r="F395" s="234">
        <f>pairs[[#This Row],[ Dist]]*5280</f>
        <v>1742.9121599999999</v>
      </c>
      <c r="G395" s="232">
        <f>ROUND(pairs[[#This Row],[ Az]]-ROUNDDOWN(pairs[[#This Row],[ Az]],0),1)</f>
        <v>0</v>
      </c>
      <c r="H395" s="232">
        <f>ROUND(pairs[[#This Row],[ Back]]-ROUNDDOWN(pairs[[#This Row],[ Back]],0),1)</f>
        <v>0.6</v>
      </c>
      <c r="I395" s="232">
        <f>IF( OR( OR(pairs[[#This Row],[Az*]]=0, pairs[[#This Row],[Back*]]=0), OR(pairs[[#This Row],[Az*]]=1, pairs[[#This Row],[Back*]]=1)), 1, 0)</f>
        <v>1</v>
      </c>
      <c r="J395" s="232">
        <f>IF(OR(pairs[[#This Row],[Az*]]=0.5,pairs[[#This Row],[Back*]]=0.5),1,0)</f>
        <v>0</v>
      </c>
      <c r="K395" s="232"/>
      <c r="L395" s="232"/>
    </row>
    <row r="396" spans="1:12">
      <c r="A396" s="231" t="s">
        <v>234</v>
      </c>
      <c r="B396" s="231" t="s">
        <v>198</v>
      </c>
      <c r="C396" s="232"/>
      <c r="D396" s="232">
        <v>120.16</v>
      </c>
      <c r="E396" s="233">
        <v>0.28861199999999998</v>
      </c>
      <c r="F396" s="234">
        <f>pairs[[#This Row],[ Dist]]*5280</f>
        <v>1523.8713599999999</v>
      </c>
      <c r="G396" s="232">
        <f>ROUND(pairs[[#This Row],[ Az]]-ROUNDDOWN(pairs[[#This Row],[ Az]],0),1)</f>
        <v>0</v>
      </c>
      <c r="H396" s="232">
        <f>ROUND(pairs[[#This Row],[ Back]]-ROUNDDOWN(pairs[[#This Row],[ Back]],0),1)</f>
        <v>0.2</v>
      </c>
      <c r="I396" s="232">
        <f>IF( OR( OR(pairs[[#This Row],[Az*]]=0, pairs[[#This Row],[Back*]]=0), OR(pairs[[#This Row],[Az*]]=1, pairs[[#This Row],[Back*]]=1)), 1, 0)</f>
        <v>1</v>
      </c>
      <c r="J396" s="232">
        <f>IF(OR(pairs[[#This Row],[Az*]]=0.5,pairs[[#This Row],[Back*]]=0.5),1,0)</f>
        <v>0</v>
      </c>
      <c r="K396" s="232"/>
      <c r="L396" s="232"/>
    </row>
    <row r="397" spans="1:12" ht="14.1">
      <c r="A397" s="206" t="s">
        <v>234</v>
      </c>
      <c r="B397" s="206" t="s">
        <v>199</v>
      </c>
      <c r="C397" s="235"/>
      <c r="D397" s="235">
        <v>112.53</v>
      </c>
      <c r="E397" s="236">
        <v>0.376303</v>
      </c>
      <c r="F397" s="237">
        <f>pairs[[#This Row],[ Dist]]*5280</f>
        <v>1986.8798400000001</v>
      </c>
      <c r="G397" s="235">
        <f>ROUND(pairs[[#This Row],[ Az]]-ROUNDDOWN(pairs[[#This Row],[ Az]],0),1)</f>
        <v>0</v>
      </c>
      <c r="H397" s="235">
        <f>ROUND(pairs[[#This Row],[ Back]]-ROUNDDOWN(pairs[[#This Row],[ Back]],0),1)</f>
        <v>0.5</v>
      </c>
      <c r="I397" s="235">
        <f>IF( OR( OR(pairs[[#This Row],[Az*]]=0, pairs[[#This Row],[Back*]]=0), OR(pairs[[#This Row],[Az*]]=1, pairs[[#This Row],[Back*]]=1)), 1, 0)</f>
        <v>1</v>
      </c>
      <c r="J397" s="235">
        <f>IF(OR(pairs[[#This Row],[Az*]]=0.5,pairs[[#This Row],[Back*]]=0.5),1,0)</f>
        <v>1</v>
      </c>
      <c r="K397" s="232"/>
      <c r="L397" s="232"/>
    </row>
    <row r="398" spans="1:12">
      <c r="A398" s="231" t="s">
        <v>234</v>
      </c>
      <c r="B398" s="231" t="s">
        <v>200</v>
      </c>
      <c r="C398" s="232"/>
      <c r="D398" s="232">
        <v>114.11</v>
      </c>
      <c r="E398" s="233">
        <v>0.35289700000000002</v>
      </c>
      <c r="F398" s="234">
        <f>pairs[[#This Row],[ Dist]]*5280</f>
        <v>1863.2961600000001</v>
      </c>
      <c r="G398" s="232">
        <f>ROUND(pairs[[#This Row],[ Az]]-ROUNDDOWN(pairs[[#This Row],[ Az]],0),1)</f>
        <v>0</v>
      </c>
      <c r="H398" s="232">
        <f>ROUND(pairs[[#This Row],[ Back]]-ROUNDDOWN(pairs[[#This Row],[ Back]],0),1)</f>
        <v>0.1</v>
      </c>
      <c r="I398" s="232">
        <f>IF( OR( OR(pairs[[#This Row],[Az*]]=0, pairs[[#This Row],[Back*]]=0), OR(pairs[[#This Row],[Az*]]=1, pairs[[#This Row],[Back*]]=1)), 1, 0)</f>
        <v>1</v>
      </c>
      <c r="J398" s="232">
        <f>IF(OR(pairs[[#This Row],[Az*]]=0.5,pairs[[#This Row],[Back*]]=0.5),1,0)</f>
        <v>0</v>
      </c>
      <c r="K398" s="232"/>
      <c r="L398" s="232"/>
    </row>
    <row r="399" spans="1:12">
      <c r="A399" s="231" t="s">
        <v>234</v>
      </c>
      <c r="B399" s="231" t="s">
        <v>201</v>
      </c>
      <c r="C399" s="232"/>
      <c r="D399" s="232">
        <v>117.62</v>
      </c>
      <c r="E399" s="233">
        <v>0.31014000000000003</v>
      </c>
      <c r="F399" s="234">
        <f>pairs[[#This Row],[ Dist]]*5280</f>
        <v>1637.5392000000002</v>
      </c>
      <c r="G399" s="232">
        <f>ROUND(pairs[[#This Row],[ Az]]-ROUNDDOWN(pairs[[#This Row],[ Az]],0),1)</f>
        <v>0</v>
      </c>
      <c r="H399" s="232">
        <f>ROUND(pairs[[#This Row],[ Back]]-ROUNDDOWN(pairs[[#This Row],[ Back]],0),1)</f>
        <v>0.6</v>
      </c>
      <c r="I399" s="232">
        <f>IF( OR( OR(pairs[[#This Row],[Az*]]=0, pairs[[#This Row],[Back*]]=0), OR(pairs[[#This Row],[Az*]]=1, pairs[[#This Row],[Back*]]=1)), 1, 0)</f>
        <v>1</v>
      </c>
      <c r="J399" s="232">
        <f>IF(OR(pairs[[#This Row],[Az*]]=0.5,pairs[[#This Row],[Back*]]=0.5),1,0)</f>
        <v>0</v>
      </c>
      <c r="K399" s="232"/>
      <c r="L399" s="232"/>
    </row>
    <row r="400" spans="1:12">
      <c r="A400" s="231" t="s">
        <v>234</v>
      </c>
      <c r="B400" s="231" t="s">
        <v>202</v>
      </c>
      <c r="C400" s="232"/>
      <c r="D400" s="232">
        <v>126.38</v>
      </c>
      <c r="E400" s="233">
        <v>0.36064299999999999</v>
      </c>
      <c r="F400" s="234">
        <f>pairs[[#This Row],[ Dist]]*5280</f>
        <v>1904.1950400000001</v>
      </c>
      <c r="G400" s="232">
        <f>ROUND(pairs[[#This Row],[ Az]]-ROUNDDOWN(pairs[[#This Row],[ Az]],0),1)</f>
        <v>0</v>
      </c>
      <c r="H400" s="232">
        <f>ROUND(pairs[[#This Row],[ Back]]-ROUNDDOWN(pairs[[#This Row],[ Back]],0),1)</f>
        <v>0.4</v>
      </c>
      <c r="I400" s="232">
        <f>IF( OR( OR(pairs[[#This Row],[Az*]]=0, pairs[[#This Row],[Back*]]=0), OR(pairs[[#This Row],[Az*]]=1, pairs[[#This Row],[Back*]]=1)), 1, 0)</f>
        <v>1</v>
      </c>
      <c r="J400" s="232">
        <f>IF(OR(pairs[[#This Row],[Az*]]=0.5,pairs[[#This Row],[Back*]]=0.5),1,0)</f>
        <v>0</v>
      </c>
      <c r="K400" s="232"/>
      <c r="L400" s="232"/>
    </row>
    <row r="401" spans="1:12">
      <c r="A401" s="231" t="s">
        <v>234</v>
      </c>
      <c r="B401" s="231" t="s">
        <v>203</v>
      </c>
      <c r="C401" s="232"/>
      <c r="D401" s="232">
        <v>123.38</v>
      </c>
      <c r="E401" s="233">
        <v>0.39002999999999999</v>
      </c>
      <c r="F401" s="234">
        <f>pairs[[#This Row],[ Dist]]*5280</f>
        <v>2059.3584000000001</v>
      </c>
      <c r="G401" s="232">
        <f>ROUND(pairs[[#This Row],[ Az]]-ROUNDDOWN(pairs[[#This Row],[ Az]],0),1)</f>
        <v>0</v>
      </c>
      <c r="H401" s="232">
        <f>ROUND(pairs[[#This Row],[ Back]]-ROUNDDOWN(pairs[[#This Row],[ Back]],0),1)</f>
        <v>0.4</v>
      </c>
      <c r="I401" s="232">
        <f>IF( OR( OR(pairs[[#This Row],[Az*]]=0, pairs[[#This Row],[Back*]]=0), OR(pairs[[#This Row],[Az*]]=1, pairs[[#This Row],[Back*]]=1)), 1, 0)</f>
        <v>1</v>
      </c>
      <c r="J401" s="232">
        <f>IF(OR(pairs[[#This Row],[Az*]]=0.5,pairs[[#This Row],[Back*]]=0.5),1,0)</f>
        <v>0</v>
      </c>
      <c r="K401" s="232"/>
      <c r="L401" s="232"/>
    </row>
    <row r="402" spans="1:12">
      <c r="A402" s="231" t="s">
        <v>234</v>
      </c>
      <c r="B402" s="231" t="s">
        <v>204</v>
      </c>
      <c r="C402" s="232"/>
      <c r="D402" s="232">
        <v>117.67</v>
      </c>
      <c r="E402" s="233">
        <v>0.39265499999999998</v>
      </c>
      <c r="F402" s="234">
        <f>pairs[[#This Row],[ Dist]]*5280</f>
        <v>2073.2183999999997</v>
      </c>
      <c r="G402" s="232">
        <f>ROUND(pairs[[#This Row],[ Az]]-ROUNDDOWN(pairs[[#This Row],[ Az]],0),1)</f>
        <v>0</v>
      </c>
      <c r="H402" s="232">
        <f>ROUND(pairs[[#This Row],[ Back]]-ROUNDDOWN(pairs[[#This Row],[ Back]],0),1)</f>
        <v>0.7</v>
      </c>
      <c r="I402" s="232">
        <f>IF( OR( OR(pairs[[#This Row],[Az*]]=0, pairs[[#This Row],[Back*]]=0), OR(pairs[[#This Row],[Az*]]=1, pairs[[#This Row],[Back*]]=1)), 1, 0)</f>
        <v>1</v>
      </c>
      <c r="J402" s="232">
        <f>IF(OR(pairs[[#This Row],[Az*]]=0.5,pairs[[#This Row],[Back*]]=0.5),1,0)</f>
        <v>0</v>
      </c>
      <c r="K402" s="232"/>
      <c r="L402" s="232"/>
    </row>
    <row r="403" spans="1:12">
      <c r="A403" s="231" t="s">
        <v>234</v>
      </c>
      <c r="B403" s="231" t="s">
        <v>215</v>
      </c>
      <c r="C403" s="232"/>
      <c r="D403" s="232">
        <v>190.42</v>
      </c>
      <c r="E403" s="233">
        <v>0.98877899999999996</v>
      </c>
      <c r="F403" s="234">
        <f>pairs[[#This Row],[ Dist]]*5280</f>
        <v>5220.7531199999994</v>
      </c>
      <c r="G403" s="232">
        <f>ROUND(pairs[[#This Row],[ Az]]-ROUNDDOWN(pairs[[#This Row],[ Az]],0),1)</f>
        <v>0</v>
      </c>
      <c r="H403" s="232">
        <f>ROUND(pairs[[#This Row],[ Back]]-ROUNDDOWN(pairs[[#This Row],[ Back]],0),1)</f>
        <v>0.4</v>
      </c>
      <c r="I403" s="232">
        <f>IF( OR( OR(pairs[[#This Row],[Az*]]=0, pairs[[#This Row],[Back*]]=0), OR(pairs[[#This Row],[Az*]]=1, pairs[[#This Row],[Back*]]=1)), 1, 0)</f>
        <v>1</v>
      </c>
      <c r="J403" s="232">
        <f>IF(OR(pairs[[#This Row],[Az*]]=0.5,pairs[[#This Row],[Back*]]=0.5),1,0)</f>
        <v>0</v>
      </c>
      <c r="K403" s="232"/>
      <c r="L403" s="232"/>
    </row>
    <row r="404" spans="1:12">
      <c r="A404" s="231" t="s">
        <v>234</v>
      </c>
      <c r="B404" s="231" t="s">
        <v>214</v>
      </c>
      <c r="C404" s="232"/>
      <c r="D404" s="232">
        <v>195.29</v>
      </c>
      <c r="E404" s="233">
        <v>0.44249699999999997</v>
      </c>
      <c r="F404" s="234">
        <f>pairs[[#This Row],[ Dist]]*5280</f>
        <v>2336.3841600000001</v>
      </c>
      <c r="G404" s="232">
        <f>ROUND(pairs[[#This Row],[ Az]]-ROUNDDOWN(pairs[[#This Row],[ Az]],0),1)</f>
        <v>0</v>
      </c>
      <c r="H404" s="232">
        <f>ROUND(pairs[[#This Row],[ Back]]-ROUNDDOWN(pairs[[#This Row],[ Back]],0),1)</f>
        <v>0.3</v>
      </c>
      <c r="I404" s="232">
        <f>IF( OR( OR(pairs[[#This Row],[Az*]]=0, pairs[[#This Row],[Back*]]=0), OR(pairs[[#This Row],[Az*]]=1, pairs[[#This Row],[Back*]]=1)), 1, 0)</f>
        <v>1</v>
      </c>
      <c r="J404" s="232">
        <f>IF(OR(pairs[[#This Row],[Az*]]=0.5,pairs[[#This Row],[Back*]]=0.5),1,0)</f>
        <v>0</v>
      </c>
      <c r="K404" s="232"/>
      <c r="L404" s="232"/>
    </row>
    <row r="405" spans="1:12">
      <c r="A405" s="231" t="s">
        <v>234</v>
      </c>
      <c r="B405" s="231" t="s">
        <v>212</v>
      </c>
      <c r="C405" s="232"/>
      <c r="D405" s="232">
        <v>345.15</v>
      </c>
      <c r="E405" s="233">
        <v>0.61808200000000002</v>
      </c>
      <c r="F405" s="234">
        <f>pairs[[#This Row],[ Dist]]*5280</f>
        <v>3263.4729600000001</v>
      </c>
      <c r="G405" s="232">
        <f>ROUND(pairs[[#This Row],[ Az]]-ROUNDDOWN(pairs[[#This Row],[ Az]],0),1)</f>
        <v>0</v>
      </c>
      <c r="H405" s="232">
        <f>ROUND(pairs[[#This Row],[ Back]]-ROUNDDOWN(pairs[[#This Row],[ Back]],0),1)</f>
        <v>0.1</v>
      </c>
      <c r="I405" s="232">
        <f>IF( OR( OR(pairs[[#This Row],[Az*]]=0, pairs[[#This Row],[Back*]]=0), OR(pairs[[#This Row],[Az*]]=1, pairs[[#This Row],[Back*]]=1)), 1, 0)</f>
        <v>1</v>
      </c>
      <c r="J405" s="232">
        <f>IF(OR(pairs[[#This Row],[Az*]]=0.5,pairs[[#This Row],[Back*]]=0.5),1,0)</f>
        <v>0</v>
      </c>
      <c r="K405" s="232"/>
      <c r="L405" s="232"/>
    </row>
    <row r="406" spans="1:12">
      <c r="A406" s="231" t="s">
        <v>234</v>
      </c>
      <c r="B406" s="231" t="s">
        <v>211</v>
      </c>
      <c r="C406" s="232"/>
      <c r="D406" s="232">
        <v>29.82</v>
      </c>
      <c r="E406" s="233">
        <v>0.69894900000000004</v>
      </c>
      <c r="F406" s="234">
        <f>pairs[[#This Row],[ Dist]]*5280</f>
        <v>3690.4507200000003</v>
      </c>
      <c r="G406" s="232">
        <f>ROUND(pairs[[#This Row],[ Az]]-ROUNDDOWN(pairs[[#This Row],[ Az]],0),1)</f>
        <v>0</v>
      </c>
      <c r="H406" s="232">
        <f>ROUND(pairs[[#This Row],[ Back]]-ROUNDDOWN(pairs[[#This Row],[ Back]],0),1)</f>
        <v>0.8</v>
      </c>
      <c r="I406" s="232">
        <f>IF( OR( OR(pairs[[#This Row],[Az*]]=0, pairs[[#This Row],[Back*]]=0), OR(pairs[[#This Row],[Az*]]=1, pairs[[#This Row],[Back*]]=1)), 1, 0)</f>
        <v>1</v>
      </c>
      <c r="J406" s="232">
        <f>IF(OR(pairs[[#This Row],[Az*]]=0.5,pairs[[#This Row],[Back*]]=0.5),1,0)</f>
        <v>0</v>
      </c>
      <c r="K406" s="232"/>
      <c r="L406" s="232"/>
    </row>
    <row r="407" spans="1:12">
      <c r="A407" s="231" t="s">
        <v>234</v>
      </c>
      <c r="B407" s="231" t="s">
        <v>210</v>
      </c>
      <c r="C407" s="232"/>
      <c r="D407" s="232">
        <v>117.64</v>
      </c>
      <c r="E407" s="233">
        <v>0.95469700000000002</v>
      </c>
      <c r="F407" s="234">
        <f>pairs[[#This Row],[ Dist]]*5280</f>
        <v>5040.8001599999998</v>
      </c>
      <c r="G407" s="232">
        <f>ROUND(pairs[[#This Row],[ Az]]-ROUNDDOWN(pairs[[#This Row],[ Az]],0),1)</f>
        <v>0</v>
      </c>
      <c r="H407" s="232">
        <f>ROUND(pairs[[#This Row],[ Back]]-ROUNDDOWN(pairs[[#This Row],[ Back]],0),1)</f>
        <v>0.6</v>
      </c>
      <c r="I407" s="232">
        <f>IF( OR( OR(pairs[[#This Row],[Az*]]=0, pairs[[#This Row],[Back*]]=0), OR(pairs[[#This Row],[Az*]]=1, pairs[[#This Row],[Back*]]=1)), 1, 0)</f>
        <v>1</v>
      </c>
      <c r="J407" s="232">
        <f>IF(OR(pairs[[#This Row],[Az*]]=0.5,pairs[[#This Row],[Back*]]=0.5),1,0)</f>
        <v>0</v>
      </c>
      <c r="K407" s="232"/>
      <c r="L407" s="232"/>
    </row>
    <row r="408" spans="1:12">
      <c r="A408" s="231" t="s">
        <v>234</v>
      </c>
      <c r="B408" s="231" t="s">
        <v>209</v>
      </c>
      <c r="C408" s="232"/>
      <c r="D408" s="232">
        <v>77.38</v>
      </c>
      <c r="E408" s="233">
        <v>1.255484</v>
      </c>
      <c r="F408" s="234">
        <f>pairs[[#This Row],[ Dist]]*5280</f>
        <v>6628.9555200000004</v>
      </c>
      <c r="G408" s="232">
        <f>ROUND(pairs[[#This Row],[ Az]]-ROUNDDOWN(pairs[[#This Row],[ Az]],0),1)</f>
        <v>0</v>
      </c>
      <c r="H408" s="232">
        <f>ROUND(pairs[[#This Row],[ Back]]-ROUNDDOWN(pairs[[#This Row],[ Back]],0),1)</f>
        <v>0.4</v>
      </c>
      <c r="I408" s="232">
        <f>IF( OR( OR(pairs[[#This Row],[Az*]]=0, pairs[[#This Row],[Back*]]=0), OR(pairs[[#This Row],[Az*]]=1, pairs[[#This Row],[Back*]]=1)), 1, 0)</f>
        <v>1</v>
      </c>
      <c r="J408" s="232">
        <f>IF(OR(pairs[[#This Row],[Az*]]=0.5,pairs[[#This Row],[Back*]]=0.5),1,0)</f>
        <v>0</v>
      </c>
      <c r="K408" s="232"/>
      <c r="L408" s="232"/>
    </row>
    <row r="409" spans="1:12">
      <c r="A409" s="231" t="s">
        <v>234</v>
      </c>
      <c r="B409" s="231" t="s">
        <v>208</v>
      </c>
      <c r="C409" s="232"/>
      <c r="D409" s="232">
        <v>84.78</v>
      </c>
      <c r="E409" s="233">
        <v>0.85011800000000004</v>
      </c>
      <c r="F409" s="234">
        <f>pairs[[#This Row],[ Dist]]*5280</f>
        <v>4488.6230400000004</v>
      </c>
      <c r="G409" s="232">
        <f>ROUND(pairs[[#This Row],[ Az]]-ROUNDDOWN(pairs[[#This Row],[ Az]],0),1)</f>
        <v>0</v>
      </c>
      <c r="H409" s="232">
        <f>ROUND(pairs[[#This Row],[ Back]]-ROUNDDOWN(pairs[[#This Row],[ Back]],0),1)</f>
        <v>0.8</v>
      </c>
      <c r="I409" s="232">
        <f>IF( OR( OR(pairs[[#This Row],[Az*]]=0, pairs[[#This Row],[Back*]]=0), OR(pairs[[#This Row],[Az*]]=1, pairs[[#This Row],[Back*]]=1)), 1, 0)</f>
        <v>1</v>
      </c>
      <c r="J409" s="232">
        <f>IF(OR(pairs[[#This Row],[Az*]]=0.5,pairs[[#This Row],[Back*]]=0.5),1,0)</f>
        <v>0</v>
      </c>
      <c r="K409" s="232"/>
      <c r="L409" s="232"/>
    </row>
    <row r="410" spans="1:12">
      <c r="A410" s="231" t="s">
        <v>234</v>
      </c>
      <c r="B410" s="231" t="s">
        <v>207</v>
      </c>
      <c r="C410" s="232"/>
      <c r="D410" s="232">
        <v>153.59</v>
      </c>
      <c r="E410" s="233">
        <v>0.78093599999999996</v>
      </c>
      <c r="F410" s="234">
        <f>pairs[[#This Row],[ Dist]]*5280</f>
        <v>4123.3420799999994</v>
      </c>
      <c r="G410" s="232">
        <f>ROUND(pairs[[#This Row],[ Az]]-ROUNDDOWN(pairs[[#This Row],[ Az]],0),1)</f>
        <v>0</v>
      </c>
      <c r="H410" s="232">
        <f>ROUND(pairs[[#This Row],[ Back]]-ROUNDDOWN(pairs[[#This Row],[ Back]],0),1)</f>
        <v>0.6</v>
      </c>
      <c r="I410" s="232">
        <f>IF( OR( OR(pairs[[#This Row],[Az*]]=0, pairs[[#This Row],[Back*]]=0), OR(pairs[[#This Row],[Az*]]=1, pairs[[#This Row],[Back*]]=1)), 1, 0)</f>
        <v>1</v>
      </c>
      <c r="J410" s="232">
        <f>IF(OR(pairs[[#This Row],[Az*]]=0.5,pairs[[#This Row],[Back*]]=0.5),1,0)</f>
        <v>0</v>
      </c>
      <c r="K410" s="232"/>
      <c r="L410" s="232"/>
    </row>
    <row r="411" spans="1:12">
      <c r="A411" s="231" t="s">
        <v>234</v>
      </c>
      <c r="B411" s="231" t="s">
        <v>206</v>
      </c>
      <c r="C411" s="232"/>
      <c r="D411" s="232">
        <v>70.900000000000006</v>
      </c>
      <c r="E411" s="233">
        <v>0.19761400000000001</v>
      </c>
      <c r="F411" s="234">
        <f>pairs[[#This Row],[ Dist]]*5280</f>
        <v>1043.40192</v>
      </c>
      <c r="G411" s="232">
        <f>ROUND(pairs[[#This Row],[ Az]]-ROUNDDOWN(pairs[[#This Row],[ Az]],0),1)</f>
        <v>0</v>
      </c>
      <c r="H411" s="232">
        <f>ROUND(pairs[[#This Row],[ Back]]-ROUNDDOWN(pairs[[#This Row],[ Back]],0),1)</f>
        <v>0.9</v>
      </c>
      <c r="I411" s="232">
        <f>IF( OR( OR(pairs[[#This Row],[Az*]]=0, pairs[[#This Row],[Back*]]=0), OR(pairs[[#This Row],[Az*]]=1, pairs[[#This Row],[Back*]]=1)), 1, 0)</f>
        <v>1</v>
      </c>
      <c r="J411" s="232">
        <f>IF(OR(pairs[[#This Row],[Az*]]=0.5,pairs[[#This Row],[Back*]]=0.5),1,0)</f>
        <v>0</v>
      </c>
      <c r="K411" s="232"/>
      <c r="L411" s="232"/>
    </row>
    <row r="412" spans="1:12">
      <c r="A412" s="231" t="s">
        <v>234</v>
      </c>
      <c r="B412" s="231" t="s">
        <v>205</v>
      </c>
      <c r="C412" s="232"/>
      <c r="D412" s="232">
        <v>143.58000000000001</v>
      </c>
      <c r="E412" s="233">
        <v>0.41505500000000001</v>
      </c>
      <c r="F412" s="234">
        <f>pairs[[#This Row],[ Dist]]*5280</f>
        <v>2191.4904000000001</v>
      </c>
      <c r="G412" s="232">
        <f>ROUND(pairs[[#This Row],[ Az]]-ROUNDDOWN(pairs[[#This Row],[ Az]],0),1)</f>
        <v>0</v>
      </c>
      <c r="H412" s="232">
        <f>ROUND(pairs[[#This Row],[ Back]]-ROUNDDOWN(pairs[[#This Row],[ Back]],0),1)</f>
        <v>0.6</v>
      </c>
      <c r="I412" s="232">
        <f>IF( OR( OR(pairs[[#This Row],[Az*]]=0, pairs[[#This Row],[Back*]]=0), OR(pairs[[#This Row],[Az*]]=1, pairs[[#This Row],[Back*]]=1)), 1, 0)</f>
        <v>1</v>
      </c>
      <c r="J412" s="232">
        <f>IF(OR(pairs[[#This Row],[Az*]]=0.5,pairs[[#This Row],[Back*]]=0.5),1,0)</f>
        <v>0</v>
      </c>
      <c r="K412" s="232"/>
      <c r="L412" s="232"/>
    </row>
    <row r="413" spans="1:12" ht="14.1">
      <c r="A413" s="23" t="s">
        <v>235</v>
      </c>
      <c r="B413" s="23" t="s">
        <v>217</v>
      </c>
      <c r="C413" s="229"/>
      <c r="D413" s="229">
        <v>62</v>
      </c>
      <c r="E413" s="25">
        <v>0.59679099999999996</v>
      </c>
      <c r="F413" s="230">
        <f>pairs[[#This Row],[ Dist]]*5280</f>
        <v>3151.0564799999997</v>
      </c>
      <c r="G413" s="232">
        <f>ROUND(pairs[[#This Row],[ Az]]-ROUNDDOWN(pairs[[#This Row],[ Az]],0),1)</f>
        <v>0</v>
      </c>
      <c r="H413" s="232">
        <f>ROUND(pairs[[#This Row],[ Back]]-ROUNDDOWN(pairs[[#This Row],[ Back]],0),1)</f>
        <v>0</v>
      </c>
      <c r="I413" s="232">
        <f>IF( OR( OR(pairs[[#This Row],[Az*]]=0, pairs[[#This Row],[Back*]]=0), OR(pairs[[#This Row],[Az*]]=1, pairs[[#This Row],[Back*]]=1)), 1, 0)</f>
        <v>1</v>
      </c>
      <c r="J413" s="232">
        <f>IF(OR(pairs[[#This Row],[Az*]]=0.5,pairs[[#This Row],[Back*]]=0.5),1,0)</f>
        <v>0</v>
      </c>
      <c r="K413" s="232"/>
      <c r="L413" s="232"/>
    </row>
    <row r="414" spans="1:12">
      <c r="A414" s="231" t="s">
        <v>235</v>
      </c>
      <c r="B414" s="231" t="s">
        <v>196</v>
      </c>
      <c r="C414" s="232"/>
      <c r="D414" s="232">
        <v>68.17</v>
      </c>
      <c r="E414" s="233">
        <v>0.567743</v>
      </c>
      <c r="F414" s="234">
        <f>pairs[[#This Row],[ Dist]]*5280</f>
        <v>2997.6830399999999</v>
      </c>
      <c r="G414" s="232">
        <f>ROUND(pairs[[#This Row],[ Az]]-ROUNDDOWN(pairs[[#This Row],[ Az]],0),1)</f>
        <v>0</v>
      </c>
      <c r="H414" s="232">
        <f>ROUND(pairs[[#This Row],[ Back]]-ROUNDDOWN(pairs[[#This Row],[ Back]],0),1)</f>
        <v>0.2</v>
      </c>
      <c r="I414" s="232">
        <f>IF( OR( OR(pairs[[#This Row],[Az*]]=0, pairs[[#This Row],[Back*]]=0), OR(pairs[[#This Row],[Az*]]=1, pairs[[#This Row],[Back*]]=1)), 1, 0)</f>
        <v>1</v>
      </c>
      <c r="J414" s="232">
        <f>IF(OR(pairs[[#This Row],[Az*]]=0.5,pairs[[#This Row],[Back*]]=0.5),1,0)</f>
        <v>0</v>
      </c>
      <c r="K414" s="232"/>
      <c r="L414" s="232"/>
    </row>
    <row r="415" spans="1:12" ht="14.1">
      <c r="A415" s="23" t="s">
        <v>235</v>
      </c>
      <c r="B415" s="23" t="s">
        <v>197</v>
      </c>
      <c r="C415" s="229"/>
      <c r="D415" s="229">
        <v>60</v>
      </c>
      <c r="E415" s="25">
        <v>0.42434699999999997</v>
      </c>
      <c r="F415" s="230">
        <f>pairs[[#This Row],[ Dist]]*5280</f>
        <v>2240.5521599999997</v>
      </c>
      <c r="G415" s="232">
        <f>ROUND(pairs[[#This Row],[ Az]]-ROUNDDOWN(pairs[[#This Row],[ Az]],0),1)</f>
        <v>0</v>
      </c>
      <c r="H415" s="232">
        <f>ROUND(pairs[[#This Row],[ Back]]-ROUNDDOWN(pairs[[#This Row],[ Back]],0),1)</f>
        <v>0</v>
      </c>
      <c r="I415" s="232">
        <f>IF( OR( OR(pairs[[#This Row],[Az*]]=0, pairs[[#This Row],[Back*]]=0), OR(pairs[[#This Row],[Az*]]=1, pairs[[#This Row],[Back*]]=1)), 1, 0)</f>
        <v>1</v>
      </c>
      <c r="J415" s="232">
        <f>IF(OR(pairs[[#This Row],[Az*]]=0.5,pairs[[#This Row],[Back*]]=0.5),1,0)</f>
        <v>0</v>
      </c>
      <c r="K415" s="232"/>
      <c r="L415" s="232"/>
    </row>
    <row r="416" spans="1:12">
      <c r="A416" s="231" t="s">
        <v>235</v>
      </c>
      <c r="B416" s="231" t="s">
        <v>198</v>
      </c>
      <c r="C416" s="232"/>
      <c r="D416" s="232">
        <v>52.42</v>
      </c>
      <c r="E416" s="233">
        <v>0.46209899999999998</v>
      </c>
      <c r="F416" s="234">
        <f>pairs[[#This Row],[ Dist]]*5280</f>
        <v>2439.8827200000001</v>
      </c>
      <c r="G416" s="232">
        <f>ROUND(pairs[[#This Row],[ Az]]-ROUNDDOWN(pairs[[#This Row],[ Az]],0),1)</f>
        <v>0</v>
      </c>
      <c r="H416" s="232">
        <f>ROUND(pairs[[#This Row],[ Back]]-ROUNDDOWN(pairs[[#This Row],[ Back]],0),1)</f>
        <v>0.4</v>
      </c>
      <c r="I416" s="232">
        <f>IF( OR( OR(pairs[[#This Row],[Az*]]=0, pairs[[#This Row],[Back*]]=0), OR(pairs[[#This Row],[Az*]]=1, pairs[[#This Row],[Back*]]=1)), 1, 0)</f>
        <v>1</v>
      </c>
      <c r="J416" s="232">
        <f>IF(OR(pairs[[#This Row],[Az*]]=0.5,pairs[[#This Row],[Back*]]=0.5),1,0)</f>
        <v>0</v>
      </c>
      <c r="K416" s="232"/>
      <c r="L416" s="232"/>
    </row>
    <row r="417" spans="1:12">
      <c r="A417" s="231" t="s">
        <v>235</v>
      </c>
      <c r="B417" s="231" t="s">
        <v>199</v>
      </c>
      <c r="C417" s="232"/>
      <c r="D417" s="232">
        <v>58.67</v>
      </c>
      <c r="E417" s="233">
        <v>0.54353499999999999</v>
      </c>
      <c r="F417" s="234">
        <f>pairs[[#This Row],[ Dist]]*5280</f>
        <v>2869.8647999999998</v>
      </c>
      <c r="G417" s="232">
        <f>ROUND(pairs[[#This Row],[ Az]]-ROUNDDOWN(pairs[[#This Row],[ Az]],0),1)</f>
        <v>0</v>
      </c>
      <c r="H417" s="232">
        <f>ROUND(pairs[[#This Row],[ Back]]-ROUNDDOWN(pairs[[#This Row],[ Back]],0),1)</f>
        <v>0.7</v>
      </c>
      <c r="I417" s="232">
        <f>IF( OR( OR(pairs[[#This Row],[Az*]]=0, pairs[[#This Row],[Back*]]=0), OR(pairs[[#This Row],[Az*]]=1, pairs[[#This Row],[Back*]]=1)), 1, 0)</f>
        <v>1</v>
      </c>
      <c r="J417" s="232">
        <f>IF(OR(pairs[[#This Row],[Az*]]=0.5,pairs[[#This Row],[Back*]]=0.5),1,0)</f>
        <v>0</v>
      </c>
      <c r="K417" s="232"/>
      <c r="L417" s="232"/>
    </row>
    <row r="418" spans="1:12">
      <c r="A418" s="231" t="s">
        <v>235</v>
      </c>
      <c r="B418" s="231" t="s">
        <v>200</v>
      </c>
      <c r="C418" s="232"/>
      <c r="D418" s="232">
        <v>57.21</v>
      </c>
      <c r="E418" s="233">
        <v>0.52197000000000005</v>
      </c>
      <c r="F418" s="234">
        <f>pairs[[#This Row],[ Dist]]*5280</f>
        <v>2756.0016000000001</v>
      </c>
      <c r="G418" s="232">
        <f>ROUND(pairs[[#This Row],[ Az]]-ROUNDDOWN(pairs[[#This Row],[ Az]],0),1)</f>
        <v>0</v>
      </c>
      <c r="H418" s="232">
        <f>ROUND(pairs[[#This Row],[ Back]]-ROUNDDOWN(pairs[[#This Row],[ Back]],0),1)</f>
        <v>0.2</v>
      </c>
      <c r="I418" s="232">
        <f>IF( OR( OR(pairs[[#This Row],[Az*]]=0, pairs[[#This Row],[Back*]]=0), OR(pairs[[#This Row],[Az*]]=1, pairs[[#This Row],[Back*]]=1)), 1, 0)</f>
        <v>1</v>
      </c>
      <c r="J418" s="232">
        <f>IF(OR(pairs[[#This Row],[Az*]]=0.5,pairs[[#This Row],[Back*]]=0.5),1,0)</f>
        <v>0</v>
      </c>
      <c r="K418" s="232"/>
      <c r="L418" s="232"/>
    </row>
    <row r="419" spans="1:12">
      <c r="A419" s="231" t="s">
        <v>235</v>
      </c>
      <c r="B419" s="231" t="s">
        <v>201</v>
      </c>
      <c r="C419" s="232"/>
      <c r="D419" s="232">
        <v>54.13</v>
      </c>
      <c r="E419" s="233">
        <v>0.48307699999999998</v>
      </c>
      <c r="F419" s="234">
        <f>pairs[[#This Row],[ Dist]]*5280</f>
        <v>2550.6465599999997</v>
      </c>
      <c r="G419" s="232">
        <f>ROUND(pairs[[#This Row],[ Az]]-ROUNDDOWN(pairs[[#This Row],[ Az]],0),1)</f>
        <v>0</v>
      </c>
      <c r="H419" s="232">
        <f>ROUND(pairs[[#This Row],[ Back]]-ROUNDDOWN(pairs[[#This Row],[ Back]],0),1)</f>
        <v>0.1</v>
      </c>
      <c r="I419" s="232">
        <f>IF( OR( OR(pairs[[#This Row],[Az*]]=0, pairs[[#This Row],[Back*]]=0), OR(pairs[[#This Row],[Az*]]=1, pairs[[#This Row],[Back*]]=1)), 1, 0)</f>
        <v>1</v>
      </c>
      <c r="J419" s="232">
        <f>IF(OR(pairs[[#This Row],[Az*]]=0.5,pairs[[#This Row],[Back*]]=0.5),1,0)</f>
        <v>0</v>
      </c>
      <c r="K419" s="232"/>
      <c r="L419" s="232"/>
    </row>
    <row r="420" spans="1:12">
      <c r="A420" s="231" t="s">
        <v>235</v>
      </c>
      <c r="B420" s="231" t="s">
        <v>202</v>
      </c>
      <c r="C420" s="232"/>
      <c r="D420" s="232">
        <v>62.39</v>
      </c>
      <c r="E420" s="233">
        <v>0.45935900000000002</v>
      </c>
      <c r="F420" s="234">
        <f>pairs[[#This Row],[ Dist]]*5280</f>
        <v>2425.41552</v>
      </c>
      <c r="G420" s="232">
        <f>ROUND(pairs[[#This Row],[ Az]]-ROUNDDOWN(pairs[[#This Row],[ Az]],0),1)</f>
        <v>0</v>
      </c>
      <c r="H420" s="232">
        <f>ROUND(pairs[[#This Row],[ Back]]-ROUNDDOWN(pairs[[#This Row],[ Back]],0),1)</f>
        <v>0.4</v>
      </c>
      <c r="I420" s="232">
        <f>IF( OR( OR(pairs[[#This Row],[Az*]]=0, pairs[[#This Row],[Back*]]=0), OR(pairs[[#This Row],[Az*]]=1, pairs[[#This Row],[Back*]]=1)), 1, 0)</f>
        <v>1</v>
      </c>
      <c r="J420" s="232">
        <f>IF(OR(pairs[[#This Row],[Az*]]=0.5,pairs[[#This Row],[Back*]]=0.5),1,0)</f>
        <v>0</v>
      </c>
      <c r="K420" s="232"/>
      <c r="L420" s="232"/>
    </row>
    <row r="421" spans="1:12">
      <c r="A421" s="231" t="s">
        <v>235</v>
      </c>
      <c r="B421" s="231" t="s">
        <v>203</v>
      </c>
      <c r="C421" s="232"/>
      <c r="D421" s="232">
        <v>64.37</v>
      </c>
      <c r="E421" s="233">
        <v>0.49067100000000002</v>
      </c>
      <c r="F421" s="234">
        <f>pairs[[#This Row],[ Dist]]*5280</f>
        <v>2590.7428800000002</v>
      </c>
      <c r="G421" s="232">
        <f>ROUND(pairs[[#This Row],[ Az]]-ROUNDDOWN(pairs[[#This Row],[ Az]],0),1)</f>
        <v>0</v>
      </c>
      <c r="H421" s="232">
        <f>ROUND(pairs[[#This Row],[ Back]]-ROUNDDOWN(pairs[[#This Row],[ Back]],0),1)</f>
        <v>0.4</v>
      </c>
      <c r="I421" s="232">
        <f>IF( OR( OR(pairs[[#This Row],[Az*]]=0, pairs[[#This Row],[Back*]]=0), OR(pairs[[#This Row],[Az*]]=1, pairs[[#This Row],[Back*]]=1)), 1, 0)</f>
        <v>1</v>
      </c>
      <c r="J421" s="232">
        <f>IF(OR(pairs[[#This Row],[Az*]]=0.5,pairs[[#This Row],[Back*]]=0.5),1,0)</f>
        <v>0</v>
      </c>
      <c r="K421" s="232"/>
      <c r="L421" s="232"/>
    </row>
    <row r="422" spans="1:12">
      <c r="A422" s="231" t="s">
        <v>235</v>
      </c>
      <c r="B422" s="231" t="s">
        <v>204</v>
      </c>
      <c r="C422" s="232"/>
      <c r="D422" s="232">
        <v>62.24</v>
      </c>
      <c r="E422" s="233">
        <v>0.52482799999999996</v>
      </c>
      <c r="F422" s="234">
        <f>pairs[[#This Row],[ Dist]]*5280</f>
        <v>2771.0918399999996</v>
      </c>
      <c r="G422" s="232">
        <f>ROUND(pairs[[#This Row],[ Az]]-ROUNDDOWN(pairs[[#This Row],[ Az]],0),1)</f>
        <v>0</v>
      </c>
      <c r="H422" s="232">
        <f>ROUND(pairs[[#This Row],[ Back]]-ROUNDDOWN(pairs[[#This Row],[ Back]],0),1)</f>
        <v>0.2</v>
      </c>
      <c r="I422" s="232">
        <f>IF( OR( OR(pairs[[#This Row],[Az*]]=0, pairs[[#This Row],[Back*]]=0), OR(pairs[[#This Row],[Az*]]=1, pairs[[#This Row],[Back*]]=1)), 1, 0)</f>
        <v>1</v>
      </c>
      <c r="J422" s="232">
        <f>IF(OR(pairs[[#This Row],[Az*]]=0.5,pairs[[#This Row],[Back*]]=0.5),1,0)</f>
        <v>0</v>
      </c>
      <c r="K422" s="232"/>
      <c r="L422" s="232"/>
    </row>
    <row r="423" spans="1:12" ht="14.1">
      <c r="A423" s="206" t="s">
        <v>235</v>
      </c>
      <c r="B423" s="206" t="s">
        <v>215</v>
      </c>
      <c r="C423" s="235"/>
      <c r="D423" s="235">
        <v>186.49</v>
      </c>
      <c r="E423" s="236">
        <v>0.54917400000000005</v>
      </c>
      <c r="F423" s="237">
        <f>pairs[[#This Row],[ Dist]]*5280</f>
        <v>2899.6387200000004</v>
      </c>
      <c r="G423" s="235">
        <f>ROUND(pairs[[#This Row],[ Az]]-ROUNDDOWN(pairs[[#This Row],[ Az]],0),1)</f>
        <v>0</v>
      </c>
      <c r="H423" s="235">
        <f>ROUND(pairs[[#This Row],[ Back]]-ROUNDDOWN(pairs[[#This Row],[ Back]],0),1)</f>
        <v>0.5</v>
      </c>
      <c r="I423" s="235">
        <f>IF( OR( OR(pairs[[#This Row],[Az*]]=0, pairs[[#This Row],[Back*]]=0), OR(pairs[[#This Row],[Az*]]=1, pairs[[#This Row],[Back*]]=1)), 1, 0)</f>
        <v>1</v>
      </c>
      <c r="J423" s="235">
        <f>IF(OR(pairs[[#This Row],[Az*]]=0.5,pairs[[#This Row],[Back*]]=0.5),1,0)</f>
        <v>1</v>
      </c>
      <c r="K423" s="232"/>
      <c r="L423" s="232"/>
    </row>
    <row r="424" spans="1:12">
      <c r="A424" s="231" t="s">
        <v>235</v>
      </c>
      <c r="B424" s="231" t="s">
        <v>213</v>
      </c>
      <c r="C424" s="232"/>
      <c r="D424" s="232">
        <v>15.29</v>
      </c>
      <c r="E424" s="233">
        <v>0.44249699999999997</v>
      </c>
      <c r="F424" s="234">
        <f>pairs[[#This Row],[ Dist]]*5280</f>
        <v>2336.3841600000001</v>
      </c>
      <c r="G424" s="232">
        <f>ROUND(pairs[[#This Row],[ Az]]-ROUNDDOWN(pairs[[#This Row],[ Az]],0),1)</f>
        <v>0</v>
      </c>
      <c r="H424" s="232">
        <f>ROUND(pairs[[#This Row],[ Back]]-ROUNDDOWN(pairs[[#This Row],[ Back]],0),1)</f>
        <v>0.3</v>
      </c>
      <c r="I424" s="232">
        <f>IF( OR( OR(pairs[[#This Row],[Az*]]=0, pairs[[#This Row],[Back*]]=0), OR(pairs[[#This Row],[Az*]]=1, pairs[[#This Row],[Back*]]=1)), 1, 0)</f>
        <v>1</v>
      </c>
      <c r="J424" s="232">
        <f>IF(OR(pairs[[#This Row],[Az*]]=0.5,pairs[[#This Row],[Back*]]=0.5),1,0)</f>
        <v>0</v>
      </c>
      <c r="K424" s="232"/>
      <c r="L424" s="232"/>
    </row>
    <row r="425" spans="1:12">
      <c r="A425" s="231" t="s">
        <v>235</v>
      </c>
      <c r="B425" s="231" t="s">
        <v>212</v>
      </c>
      <c r="C425" s="232"/>
      <c r="D425" s="232">
        <v>357.67</v>
      </c>
      <c r="E425" s="233">
        <v>1.025107</v>
      </c>
      <c r="F425" s="234">
        <f>pairs[[#This Row],[ Dist]]*5280</f>
        <v>5412.5649599999997</v>
      </c>
      <c r="G425" s="232">
        <f>ROUND(pairs[[#This Row],[ Az]]-ROUNDDOWN(pairs[[#This Row],[ Az]],0),1)</f>
        <v>0</v>
      </c>
      <c r="H425" s="232">
        <f>ROUND(pairs[[#This Row],[ Back]]-ROUNDDOWN(pairs[[#This Row],[ Back]],0),1)</f>
        <v>0.7</v>
      </c>
      <c r="I425" s="232">
        <f>IF( OR( OR(pairs[[#This Row],[Az*]]=0, pairs[[#This Row],[Back*]]=0), OR(pairs[[#This Row],[Az*]]=1, pairs[[#This Row],[Back*]]=1)), 1, 0)</f>
        <v>1</v>
      </c>
      <c r="J425" s="232">
        <f>IF(OR(pairs[[#This Row],[Az*]]=0.5,pairs[[#This Row],[Back*]]=0.5),1,0)</f>
        <v>0</v>
      </c>
      <c r="K425" s="232"/>
      <c r="L425" s="232"/>
    </row>
    <row r="426" spans="1:12">
      <c r="A426" s="231" t="s">
        <v>235</v>
      </c>
      <c r="B426" s="231" t="s">
        <v>211</v>
      </c>
      <c r="C426" s="232"/>
      <c r="D426" s="232">
        <v>24.2</v>
      </c>
      <c r="E426" s="233">
        <v>1.1327430000000001</v>
      </c>
      <c r="F426" s="234">
        <f>pairs[[#This Row],[ Dist]]*5280</f>
        <v>5980.8830400000006</v>
      </c>
      <c r="G426" s="232">
        <f>ROUND(pairs[[#This Row],[ Az]]-ROUNDDOWN(pairs[[#This Row],[ Az]],0),1)</f>
        <v>0</v>
      </c>
      <c r="H426" s="232">
        <f>ROUND(pairs[[#This Row],[ Back]]-ROUNDDOWN(pairs[[#This Row],[ Back]],0),1)</f>
        <v>0.2</v>
      </c>
      <c r="I426" s="232">
        <f>IF( OR( OR(pairs[[#This Row],[Az*]]=0, pairs[[#This Row],[Back*]]=0), OR(pairs[[#This Row],[Az*]]=1, pairs[[#This Row],[Back*]]=1)), 1, 0)</f>
        <v>1</v>
      </c>
      <c r="J426" s="232">
        <f>IF(OR(pairs[[#This Row],[Az*]]=0.5,pairs[[#This Row],[Back*]]=0.5),1,0)</f>
        <v>0</v>
      </c>
      <c r="K426" s="232"/>
      <c r="L426" s="232"/>
    </row>
    <row r="427" spans="1:12" ht="14.1">
      <c r="A427" s="23" t="s">
        <v>235</v>
      </c>
      <c r="B427" s="23" t="s">
        <v>210</v>
      </c>
      <c r="C427" s="229"/>
      <c r="D427" s="229">
        <v>90.95</v>
      </c>
      <c r="E427" s="25">
        <v>0.96252199999999999</v>
      </c>
      <c r="F427" s="230">
        <f>pairs[[#This Row],[ Dist]]*5280</f>
        <v>5082.1161599999996</v>
      </c>
      <c r="G427" s="232">
        <f>ROUND(pairs[[#This Row],[ Az]]-ROUNDDOWN(pairs[[#This Row],[ Az]],0),1)</f>
        <v>0</v>
      </c>
      <c r="H427" s="232">
        <f>ROUND(pairs[[#This Row],[ Back]]-ROUNDDOWN(pairs[[#This Row],[ Back]],0),1)</f>
        <v>1</v>
      </c>
      <c r="I427" s="232">
        <f>IF( OR( OR(pairs[[#This Row],[Az*]]=0, pairs[[#This Row],[Back*]]=0), OR(pairs[[#This Row],[Az*]]=1, pairs[[#This Row],[Back*]]=1)), 1, 0)</f>
        <v>1</v>
      </c>
      <c r="J427" s="232">
        <f>IF(OR(pairs[[#This Row],[Az*]]=0.5,pairs[[#This Row],[Back*]]=0.5),1,0)</f>
        <v>0</v>
      </c>
      <c r="K427" s="232"/>
      <c r="L427" s="232"/>
    </row>
    <row r="428" spans="1:12">
      <c r="A428" s="231" t="s">
        <v>235</v>
      </c>
      <c r="B428" s="231" t="s">
        <v>209</v>
      </c>
      <c r="C428" s="232"/>
      <c r="D428" s="232">
        <v>62.41</v>
      </c>
      <c r="E428" s="233">
        <v>1.5139009999999999</v>
      </c>
      <c r="F428" s="234">
        <f>pairs[[#This Row],[ Dist]]*5280</f>
        <v>7993.3972800000001</v>
      </c>
      <c r="G428" s="232">
        <f>ROUND(pairs[[#This Row],[ Az]]-ROUNDDOWN(pairs[[#This Row],[ Az]],0),1)</f>
        <v>0</v>
      </c>
      <c r="H428" s="232">
        <f>ROUND(pairs[[#This Row],[ Back]]-ROUNDDOWN(pairs[[#This Row],[ Back]],0),1)</f>
        <v>0.4</v>
      </c>
      <c r="I428" s="232">
        <f>IF( OR( OR(pairs[[#This Row],[Az*]]=0, pairs[[#This Row],[Back*]]=0), OR(pairs[[#This Row],[Az*]]=1, pairs[[#This Row],[Back*]]=1)), 1, 0)</f>
        <v>1</v>
      </c>
      <c r="J428" s="232">
        <f>IF(OR(pairs[[#This Row],[Az*]]=0.5,pairs[[#This Row],[Back*]]=0.5),1,0)</f>
        <v>0</v>
      </c>
      <c r="K428" s="232"/>
      <c r="L428" s="232"/>
    </row>
    <row r="429" spans="1:12">
      <c r="A429" s="231" t="s">
        <v>235</v>
      </c>
      <c r="B429" s="231" t="s">
        <v>208</v>
      </c>
      <c r="C429" s="232"/>
      <c r="D429" s="232">
        <v>62.37</v>
      </c>
      <c r="E429" s="233">
        <v>1.087232</v>
      </c>
      <c r="F429" s="234">
        <f>pairs[[#This Row],[ Dist]]*5280</f>
        <v>5740.5849600000001</v>
      </c>
      <c r="G429" s="232">
        <f>ROUND(pairs[[#This Row],[ Az]]-ROUNDDOWN(pairs[[#This Row],[ Az]],0),1)</f>
        <v>0</v>
      </c>
      <c r="H429" s="232">
        <f>ROUND(pairs[[#This Row],[ Back]]-ROUNDDOWN(pairs[[#This Row],[ Back]],0),1)</f>
        <v>0.4</v>
      </c>
      <c r="I429" s="232">
        <f>IF( OR( OR(pairs[[#This Row],[Az*]]=0, pairs[[#This Row],[Back*]]=0), OR(pairs[[#This Row],[Az*]]=1, pairs[[#This Row],[Back*]]=1)), 1, 0)</f>
        <v>1</v>
      </c>
      <c r="J429" s="232">
        <f>IF(OR(pairs[[#This Row],[Az*]]=0.5,pairs[[#This Row],[Back*]]=0.5),1,0)</f>
        <v>0</v>
      </c>
      <c r="K429" s="232"/>
      <c r="L429" s="232"/>
    </row>
    <row r="430" spans="1:12">
      <c r="A430" s="231" t="s">
        <v>235</v>
      </c>
      <c r="B430" s="231" t="s">
        <v>207</v>
      </c>
      <c r="C430" s="232"/>
      <c r="D430" s="232">
        <v>120.43</v>
      </c>
      <c r="E430" s="233">
        <v>0.53820800000000002</v>
      </c>
      <c r="F430" s="234">
        <f>pairs[[#This Row],[ Dist]]*5280</f>
        <v>2841.7382400000001</v>
      </c>
      <c r="G430" s="232">
        <f>ROUND(pairs[[#This Row],[ Az]]-ROUNDDOWN(pairs[[#This Row],[ Az]],0),1)</f>
        <v>0</v>
      </c>
      <c r="H430" s="232">
        <f>ROUND(pairs[[#This Row],[ Back]]-ROUNDDOWN(pairs[[#This Row],[ Back]],0),1)</f>
        <v>0.4</v>
      </c>
      <c r="I430" s="232">
        <f>IF( OR( OR(pairs[[#This Row],[Az*]]=0, pairs[[#This Row],[Back*]]=0), OR(pairs[[#This Row],[Az*]]=1, pairs[[#This Row],[Back*]]=1)), 1, 0)</f>
        <v>1</v>
      </c>
      <c r="J430" s="232">
        <f>IF(OR(pairs[[#This Row],[Az*]]=0.5,pairs[[#This Row],[Back*]]=0.5),1,0)</f>
        <v>0</v>
      </c>
      <c r="K430" s="232"/>
      <c r="L430" s="232"/>
    </row>
    <row r="431" spans="1:12">
      <c r="A431" s="231" t="s">
        <v>235</v>
      </c>
      <c r="B431" s="231" t="s">
        <v>206</v>
      </c>
      <c r="C431" s="232"/>
      <c r="D431" s="232">
        <v>31.69</v>
      </c>
      <c r="E431" s="233">
        <v>0.57761300000000004</v>
      </c>
      <c r="F431" s="234">
        <f>pairs[[#This Row],[ Dist]]*5280</f>
        <v>3049.79664</v>
      </c>
      <c r="G431" s="232">
        <f>ROUND(pairs[[#This Row],[ Az]]-ROUNDDOWN(pairs[[#This Row],[ Az]],0),1)</f>
        <v>0</v>
      </c>
      <c r="H431" s="232">
        <f>ROUND(pairs[[#This Row],[ Back]]-ROUNDDOWN(pairs[[#This Row],[ Back]],0),1)</f>
        <v>0.7</v>
      </c>
      <c r="I431" s="232">
        <f>IF( OR( OR(pairs[[#This Row],[Az*]]=0, pairs[[#This Row],[Back*]]=0), OR(pairs[[#This Row],[Az*]]=1, pairs[[#This Row],[Back*]]=1)), 1, 0)</f>
        <v>1</v>
      </c>
      <c r="J431" s="232">
        <f>IF(OR(pairs[[#This Row],[Az*]]=0.5,pairs[[#This Row],[Back*]]=0.5),1,0)</f>
        <v>0</v>
      </c>
      <c r="K431" s="232"/>
      <c r="L431" s="232"/>
    </row>
    <row r="432" spans="1:12">
      <c r="A432" s="231" t="s">
        <v>235</v>
      </c>
      <c r="B432" s="231" t="s">
        <v>205</v>
      </c>
      <c r="C432" s="232"/>
      <c r="D432" s="232">
        <v>75.66</v>
      </c>
      <c r="E432" s="233">
        <v>0.374807</v>
      </c>
      <c r="F432" s="234">
        <f>pairs[[#This Row],[ Dist]]*5280</f>
        <v>1978.9809600000001</v>
      </c>
      <c r="G432" s="232">
        <f>ROUND(pairs[[#This Row],[ Az]]-ROUNDDOWN(pairs[[#This Row],[ Az]],0),1)</f>
        <v>0</v>
      </c>
      <c r="H432" s="232">
        <f>ROUND(pairs[[#This Row],[ Back]]-ROUNDDOWN(pairs[[#This Row],[ Back]],0),1)</f>
        <v>0.7</v>
      </c>
      <c r="I432" s="232">
        <f>IF( OR( OR(pairs[[#This Row],[Az*]]=0, pairs[[#This Row],[Back*]]=0), OR(pairs[[#This Row],[Az*]]=1, pairs[[#This Row],[Back*]]=1)), 1, 0)</f>
        <v>1</v>
      </c>
      <c r="J432" s="232">
        <f>IF(OR(pairs[[#This Row],[Az*]]=0.5,pairs[[#This Row],[Back*]]=0.5),1,0)</f>
        <v>0</v>
      </c>
      <c r="K432" s="232"/>
      <c r="L432" s="232"/>
    </row>
    <row r="433" spans="1:12" ht="14.1">
      <c r="A433" s="206" t="s">
        <v>236</v>
      </c>
      <c r="B433" s="206" t="s">
        <v>217</v>
      </c>
      <c r="C433" s="235"/>
      <c r="D433" s="235">
        <v>35.49</v>
      </c>
      <c r="E433" s="236">
        <v>1.0143390000000001</v>
      </c>
      <c r="F433" s="237">
        <f>pairs[[#This Row],[ Dist]]*5280</f>
        <v>5355.7099200000002</v>
      </c>
      <c r="G433" s="235">
        <f>ROUND(pairs[[#This Row],[ Az]]-ROUNDDOWN(pairs[[#This Row],[ Az]],0),1)</f>
        <v>0</v>
      </c>
      <c r="H433" s="235">
        <f>ROUND(pairs[[#This Row],[ Back]]-ROUNDDOWN(pairs[[#This Row],[ Back]],0),1)</f>
        <v>0.5</v>
      </c>
      <c r="I433" s="235">
        <f>IF( OR( OR(pairs[[#This Row],[Az*]]=0, pairs[[#This Row],[Back*]]=0), OR(pairs[[#This Row],[Az*]]=1, pairs[[#This Row],[Back*]]=1)), 1, 0)</f>
        <v>1</v>
      </c>
      <c r="J433" s="235">
        <f>IF(OR(pairs[[#This Row],[Az*]]=0.5,pairs[[#This Row],[Back*]]=0.5),1,0)</f>
        <v>1</v>
      </c>
      <c r="K433" s="232"/>
      <c r="L433" s="232"/>
    </row>
    <row r="434" spans="1:12">
      <c r="A434" s="231" t="s">
        <v>236</v>
      </c>
      <c r="B434" s="231" t="s">
        <v>196</v>
      </c>
      <c r="C434" s="232"/>
      <c r="D434" s="232">
        <v>37.89</v>
      </c>
      <c r="E434" s="233">
        <v>0.95902299999999996</v>
      </c>
      <c r="F434" s="234">
        <f>pairs[[#This Row],[ Dist]]*5280</f>
        <v>5063.6414399999994</v>
      </c>
      <c r="G434" s="232">
        <f>ROUND(pairs[[#This Row],[ Az]]-ROUNDDOWN(pairs[[#This Row],[ Az]],0),1)</f>
        <v>0</v>
      </c>
      <c r="H434" s="232">
        <f>ROUND(pairs[[#This Row],[ Back]]-ROUNDDOWN(pairs[[#This Row],[ Back]],0),1)</f>
        <v>0.9</v>
      </c>
      <c r="I434" s="232">
        <f>IF( OR( OR(pairs[[#This Row],[Az*]]=0, pairs[[#This Row],[Back*]]=0), OR(pairs[[#This Row],[Az*]]=1, pairs[[#This Row],[Back*]]=1)), 1, 0)</f>
        <v>1</v>
      </c>
      <c r="J434" s="232">
        <f>IF(OR(pairs[[#This Row],[Az*]]=0.5,pairs[[#This Row],[Back*]]=0.5),1,0)</f>
        <v>0</v>
      </c>
      <c r="K434" s="232"/>
      <c r="L434" s="232"/>
    </row>
    <row r="435" spans="1:12" ht="14.1">
      <c r="A435" s="206" t="s">
        <v>236</v>
      </c>
      <c r="B435" s="206" t="s">
        <v>197</v>
      </c>
      <c r="C435" s="235"/>
      <c r="D435" s="235">
        <v>29.54</v>
      </c>
      <c r="E435" s="236">
        <v>0.87110699999999996</v>
      </c>
      <c r="F435" s="237">
        <f>pairs[[#This Row],[ Dist]]*5280</f>
        <v>4599.4449599999998</v>
      </c>
      <c r="G435" s="235">
        <f>ROUND(pairs[[#This Row],[ Az]]-ROUNDDOWN(pairs[[#This Row],[ Az]],0),1)</f>
        <v>0</v>
      </c>
      <c r="H435" s="235">
        <f>ROUND(pairs[[#This Row],[ Back]]-ROUNDDOWN(pairs[[#This Row],[ Back]],0),1)</f>
        <v>0.5</v>
      </c>
      <c r="I435" s="235">
        <f>IF( OR( OR(pairs[[#This Row],[Az*]]=0, pairs[[#This Row],[Back*]]=0), OR(pairs[[#This Row],[Az*]]=1, pairs[[#This Row],[Back*]]=1)), 1, 0)</f>
        <v>1</v>
      </c>
      <c r="J435" s="235">
        <f>IF(OR(pairs[[#This Row],[Az*]]=0.5,pairs[[#This Row],[Back*]]=0.5),1,0)</f>
        <v>1</v>
      </c>
      <c r="K435" s="232"/>
      <c r="L435" s="232"/>
    </row>
    <row r="436" spans="1:12">
      <c r="A436" s="231" t="s">
        <v>236</v>
      </c>
      <c r="B436" s="231" t="s">
        <v>198</v>
      </c>
      <c r="C436" s="232"/>
      <c r="D436" s="232">
        <v>27.36</v>
      </c>
      <c r="E436" s="233">
        <v>0.93172200000000005</v>
      </c>
      <c r="F436" s="234">
        <f>pairs[[#This Row],[ Dist]]*5280</f>
        <v>4919.4921600000007</v>
      </c>
      <c r="G436" s="232">
        <f>ROUND(pairs[[#This Row],[ Az]]-ROUNDDOWN(pairs[[#This Row],[ Az]],0),1)</f>
        <v>0</v>
      </c>
      <c r="H436" s="232">
        <f>ROUND(pairs[[#This Row],[ Back]]-ROUNDDOWN(pairs[[#This Row],[ Back]],0),1)</f>
        <v>0.4</v>
      </c>
      <c r="I436" s="232">
        <f>IF( OR( OR(pairs[[#This Row],[Az*]]=0, pairs[[#This Row],[Back*]]=0), OR(pairs[[#This Row],[Az*]]=1, pairs[[#This Row],[Back*]]=1)), 1, 0)</f>
        <v>1</v>
      </c>
      <c r="J436" s="232">
        <f>IF(OR(pairs[[#This Row],[Az*]]=0.5,pairs[[#This Row],[Back*]]=0.5),1,0)</f>
        <v>0</v>
      </c>
      <c r="K436" s="232"/>
      <c r="L436" s="232"/>
    </row>
    <row r="437" spans="1:12">
      <c r="A437" s="231" t="s">
        <v>236</v>
      </c>
      <c r="B437" s="231" t="s">
        <v>199</v>
      </c>
      <c r="C437" s="232"/>
      <c r="D437" s="232">
        <v>32.43</v>
      </c>
      <c r="E437" s="233">
        <v>0.98135899999999998</v>
      </c>
      <c r="F437" s="234">
        <f>pairs[[#This Row],[ Dist]]*5280</f>
        <v>5181.5755200000003</v>
      </c>
      <c r="G437" s="232">
        <f>ROUND(pairs[[#This Row],[ Az]]-ROUNDDOWN(pairs[[#This Row],[ Az]],0),1)</f>
        <v>0</v>
      </c>
      <c r="H437" s="232">
        <f>ROUND(pairs[[#This Row],[ Back]]-ROUNDDOWN(pairs[[#This Row],[ Back]],0),1)</f>
        <v>0.4</v>
      </c>
      <c r="I437" s="232">
        <f>IF( OR( OR(pairs[[#This Row],[Az*]]=0, pairs[[#This Row],[Back*]]=0), OR(pairs[[#This Row],[Az*]]=1, pairs[[#This Row],[Back*]]=1)), 1, 0)</f>
        <v>1</v>
      </c>
      <c r="J437" s="232">
        <f>IF(OR(pairs[[#This Row],[Az*]]=0.5,pairs[[#This Row],[Back*]]=0.5),1,0)</f>
        <v>0</v>
      </c>
      <c r="K437" s="232"/>
      <c r="L437" s="232"/>
    </row>
    <row r="438" spans="1:12">
      <c r="A438" s="231" t="s">
        <v>236</v>
      </c>
      <c r="B438" s="231" t="s">
        <v>200</v>
      </c>
      <c r="C438" s="232"/>
      <c r="D438" s="232">
        <v>31.16</v>
      </c>
      <c r="E438" s="233">
        <v>0.96797299999999997</v>
      </c>
      <c r="F438" s="234">
        <f>pairs[[#This Row],[ Dist]]*5280</f>
        <v>5110.8974399999997</v>
      </c>
      <c r="G438" s="232">
        <f>ROUND(pairs[[#This Row],[ Az]]-ROUNDDOWN(pairs[[#This Row],[ Az]],0),1)</f>
        <v>0</v>
      </c>
      <c r="H438" s="232">
        <f>ROUND(pairs[[#This Row],[ Back]]-ROUNDDOWN(pairs[[#This Row],[ Back]],0),1)</f>
        <v>0.2</v>
      </c>
      <c r="I438" s="232">
        <f>IF( OR( OR(pairs[[#This Row],[Az*]]=0, pairs[[#This Row],[Back*]]=0), OR(pairs[[#This Row],[Az*]]=1, pairs[[#This Row],[Back*]]=1)), 1, 0)</f>
        <v>1</v>
      </c>
      <c r="J438" s="232">
        <f>IF(OR(pairs[[#This Row],[Az*]]=0.5,pairs[[#This Row],[Back*]]=0.5),1,0)</f>
        <v>0</v>
      </c>
      <c r="K438" s="232"/>
      <c r="L438" s="232"/>
    </row>
    <row r="439" spans="1:12">
      <c r="A439" s="231" t="s">
        <v>236</v>
      </c>
      <c r="B439" s="231" t="s">
        <v>201</v>
      </c>
      <c r="C439" s="232"/>
      <c r="D439" s="232">
        <v>28.69</v>
      </c>
      <c r="E439" s="233">
        <v>0.94467000000000001</v>
      </c>
      <c r="F439" s="234">
        <f>pairs[[#This Row],[ Dist]]*5280</f>
        <v>4987.8576000000003</v>
      </c>
      <c r="G439" s="232">
        <f>ROUND(pairs[[#This Row],[ Az]]-ROUNDDOWN(pairs[[#This Row],[ Az]],0),1)</f>
        <v>0</v>
      </c>
      <c r="H439" s="232">
        <f>ROUND(pairs[[#This Row],[ Back]]-ROUNDDOWN(pairs[[#This Row],[ Back]],0),1)</f>
        <v>0.7</v>
      </c>
      <c r="I439" s="232">
        <f>IF( OR( OR(pairs[[#This Row],[Az*]]=0, pairs[[#This Row],[Back*]]=0), OR(pairs[[#This Row],[Az*]]=1, pairs[[#This Row],[Back*]]=1)), 1, 0)</f>
        <v>1</v>
      </c>
      <c r="J439" s="232">
        <f>IF(OR(pairs[[#This Row],[Az*]]=0.5,pairs[[#This Row],[Back*]]=0.5),1,0)</f>
        <v>0</v>
      </c>
      <c r="K439" s="232"/>
      <c r="L439" s="232"/>
    </row>
    <row r="440" spans="1:12">
      <c r="A440" s="231" t="s">
        <v>236</v>
      </c>
      <c r="B440" s="231" t="s">
        <v>202</v>
      </c>
      <c r="C440" s="232"/>
      <c r="D440" s="232">
        <v>31.73</v>
      </c>
      <c r="E440" s="233">
        <v>0.89188299999999998</v>
      </c>
      <c r="F440" s="234">
        <f>pairs[[#This Row],[ Dist]]*5280</f>
        <v>4709.1422400000001</v>
      </c>
      <c r="G440" s="232">
        <f>ROUND(pairs[[#This Row],[ Az]]-ROUNDDOWN(pairs[[#This Row],[ Az]],0),1)</f>
        <v>0</v>
      </c>
      <c r="H440" s="232">
        <f>ROUND(pairs[[#This Row],[ Back]]-ROUNDDOWN(pairs[[#This Row],[ Back]],0),1)</f>
        <v>0.7</v>
      </c>
      <c r="I440" s="232">
        <f>IF( OR( OR(pairs[[#This Row],[Az*]]=0, pairs[[#This Row],[Back*]]=0), OR(pairs[[#This Row],[Az*]]=1, pairs[[#This Row],[Back*]]=1)), 1, 0)</f>
        <v>1</v>
      </c>
      <c r="J440" s="232">
        <f>IF(OR(pairs[[#This Row],[Az*]]=0.5,pairs[[#This Row],[Back*]]=0.5),1,0)</f>
        <v>0</v>
      </c>
      <c r="K440" s="232"/>
      <c r="L440" s="232"/>
    </row>
    <row r="441" spans="1:12">
      <c r="A441" s="231" t="s">
        <v>236</v>
      </c>
      <c r="B441" s="231" t="s">
        <v>203</v>
      </c>
      <c r="C441" s="232"/>
      <c r="D441" s="232">
        <v>33.64</v>
      </c>
      <c r="E441" s="233">
        <v>0.91042100000000004</v>
      </c>
      <c r="F441" s="234">
        <f>pairs[[#This Row],[ Dist]]*5280</f>
        <v>4807.0228800000004</v>
      </c>
      <c r="G441" s="232">
        <f>ROUND(pairs[[#This Row],[ Az]]-ROUNDDOWN(pairs[[#This Row],[ Az]],0),1)</f>
        <v>0</v>
      </c>
      <c r="H441" s="232">
        <f>ROUND(pairs[[#This Row],[ Back]]-ROUNDDOWN(pairs[[#This Row],[ Back]],0),1)</f>
        <v>0.6</v>
      </c>
      <c r="I441" s="232">
        <f>IF( OR( OR(pairs[[#This Row],[Az*]]=0, pairs[[#This Row],[Back*]]=0), OR(pairs[[#This Row],[Az*]]=1, pairs[[#This Row],[Back*]]=1)), 1, 0)</f>
        <v>1</v>
      </c>
      <c r="J441" s="232">
        <f>IF(OR(pairs[[#This Row],[Az*]]=0.5,pairs[[#This Row],[Back*]]=0.5),1,0)</f>
        <v>0</v>
      </c>
      <c r="K441" s="232"/>
      <c r="L441" s="232"/>
    </row>
    <row r="442" spans="1:12">
      <c r="A442" s="231" t="s">
        <v>236</v>
      </c>
      <c r="B442" s="231" t="s">
        <v>204</v>
      </c>
      <c r="C442" s="232"/>
      <c r="D442" s="232">
        <v>33.67</v>
      </c>
      <c r="E442" s="233">
        <v>0.94943699999999998</v>
      </c>
      <c r="F442" s="234">
        <f>pairs[[#This Row],[ Dist]]*5280</f>
        <v>5013.02736</v>
      </c>
      <c r="G442" s="232">
        <f>ROUND(pairs[[#This Row],[ Az]]-ROUNDDOWN(pairs[[#This Row],[ Az]],0),1)</f>
        <v>0</v>
      </c>
      <c r="H442" s="232">
        <f>ROUND(pairs[[#This Row],[ Back]]-ROUNDDOWN(pairs[[#This Row],[ Back]],0),1)</f>
        <v>0.7</v>
      </c>
      <c r="I442" s="232">
        <f>IF( OR( OR(pairs[[#This Row],[Az*]]=0, pairs[[#This Row],[Back*]]=0), OR(pairs[[#This Row],[Az*]]=1, pairs[[#This Row],[Back*]]=1)), 1, 0)</f>
        <v>1</v>
      </c>
      <c r="J442" s="232">
        <f>IF(OR(pairs[[#This Row],[Az*]]=0.5,pairs[[#This Row],[Back*]]=0.5),1,0)</f>
        <v>0</v>
      </c>
      <c r="K442" s="232"/>
      <c r="L442" s="232"/>
    </row>
    <row r="443" spans="1:12" ht="14.1">
      <c r="A443" s="206" t="s">
        <v>236</v>
      </c>
      <c r="B443" s="206" t="s">
        <v>214</v>
      </c>
      <c r="C443" s="235"/>
      <c r="D443" s="235">
        <v>6.49</v>
      </c>
      <c r="E443" s="236">
        <v>0.54917400000000005</v>
      </c>
      <c r="F443" s="237">
        <f>pairs[[#This Row],[ Dist]]*5280</f>
        <v>2899.6387200000004</v>
      </c>
      <c r="G443" s="235">
        <f>ROUND(pairs[[#This Row],[ Az]]-ROUNDDOWN(pairs[[#This Row],[ Az]],0),1)</f>
        <v>0</v>
      </c>
      <c r="H443" s="235">
        <f>ROUND(pairs[[#This Row],[ Back]]-ROUNDDOWN(pairs[[#This Row],[ Back]],0),1)</f>
        <v>0.5</v>
      </c>
      <c r="I443" s="235">
        <f>IF( OR( OR(pairs[[#This Row],[Az*]]=0, pairs[[#This Row],[Back*]]=0), OR(pairs[[#This Row],[Az*]]=1, pairs[[#This Row],[Back*]]=1)), 1, 0)</f>
        <v>1</v>
      </c>
      <c r="J443" s="235">
        <f>IF(OR(pairs[[#This Row],[Az*]]=0.5,pairs[[#This Row],[Back*]]=0.5),1,0)</f>
        <v>1</v>
      </c>
      <c r="K443" s="232"/>
      <c r="L443" s="232"/>
    </row>
    <row r="444" spans="1:12">
      <c r="A444" s="231" t="s">
        <v>236</v>
      </c>
      <c r="B444" s="231" t="s">
        <v>213</v>
      </c>
      <c r="C444" s="232"/>
      <c r="D444" s="232">
        <v>10.42</v>
      </c>
      <c r="E444" s="233">
        <v>0.98877899999999996</v>
      </c>
      <c r="F444" s="234">
        <f>pairs[[#This Row],[ Dist]]*5280</f>
        <v>5220.7531199999994</v>
      </c>
      <c r="G444" s="232">
        <f>ROUND(pairs[[#This Row],[ Az]]-ROUNDDOWN(pairs[[#This Row],[ Az]],0),1)</f>
        <v>0</v>
      </c>
      <c r="H444" s="232">
        <f>ROUND(pairs[[#This Row],[ Back]]-ROUNDDOWN(pairs[[#This Row],[ Back]],0),1)</f>
        <v>0.4</v>
      </c>
      <c r="I444" s="232">
        <f>IF( OR( OR(pairs[[#This Row],[Az*]]=0, pairs[[#This Row],[Back*]]=0), OR(pairs[[#This Row],[Az*]]=1, pairs[[#This Row],[Back*]]=1)), 1, 0)</f>
        <v>1</v>
      </c>
      <c r="J444" s="232">
        <f>IF(OR(pairs[[#This Row],[Az*]]=0.5,pairs[[#This Row],[Back*]]=0.5),1,0)</f>
        <v>0</v>
      </c>
      <c r="K444" s="232"/>
      <c r="L444" s="232"/>
    </row>
    <row r="445" spans="1:12">
      <c r="A445" s="231" t="s">
        <v>236</v>
      </c>
      <c r="B445" s="231" t="s">
        <v>212</v>
      </c>
      <c r="C445" s="232"/>
      <c r="D445" s="232">
        <v>0.74</v>
      </c>
      <c r="E445" s="233">
        <v>1.5700460000000001</v>
      </c>
      <c r="F445" s="234">
        <f>pairs[[#This Row],[ Dist]]*5280</f>
        <v>8289.8428800000002</v>
      </c>
      <c r="G445" s="232">
        <f>ROUND(pairs[[#This Row],[ Az]]-ROUNDDOWN(pairs[[#This Row],[ Az]],0),1)</f>
        <v>0</v>
      </c>
      <c r="H445" s="232">
        <f>ROUND(pairs[[#This Row],[ Back]]-ROUNDDOWN(pairs[[#This Row],[ Back]],0),1)</f>
        <v>0.7</v>
      </c>
      <c r="I445" s="232">
        <f>IF( OR( OR(pairs[[#This Row],[Az*]]=0, pairs[[#This Row],[Back*]]=0), OR(pairs[[#This Row],[Az*]]=1, pairs[[#This Row],[Back*]]=1)), 1, 0)</f>
        <v>1</v>
      </c>
      <c r="J445" s="232">
        <f>IF(OR(pairs[[#This Row],[Az*]]=0.5,pairs[[#This Row],[Back*]]=0.5),1,0)</f>
        <v>0</v>
      </c>
      <c r="K445" s="232"/>
      <c r="L445" s="232"/>
    </row>
    <row r="446" spans="1:12">
      <c r="A446" s="231" t="s">
        <v>236</v>
      </c>
      <c r="B446" s="231" t="s">
        <v>211</v>
      </c>
      <c r="C446" s="232"/>
      <c r="D446" s="232">
        <v>18.43</v>
      </c>
      <c r="E446" s="233">
        <v>1.664291</v>
      </c>
      <c r="F446" s="234">
        <f>pairs[[#This Row],[ Dist]]*5280</f>
        <v>8787.4564799999989</v>
      </c>
      <c r="G446" s="232">
        <f>ROUND(pairs[[#This Row],[ Az]]-ROUNDDOWN(pairs[[#This Row],[ Az]],0),1)</f>
        <v>0</v>
      </c>
      <c r="H446" s="232">
        <f>ROUND(pairs[[#This Row],[ Back]]-ROUNDDOWN(pairs[[#This Row],[ Back]],0),1)</f>
        <v>0.4</v>
      </c>
      <c r="I446" s="232">
        <f>IF( OR( OR(pairs[[#This Row],[Az*]]=0, pairs[[#This Row],[Back*]]=0), OR(pairs[[#This Row],[Az*]]=1, pairs[[#This Row],[Back*]]=1)), 1, 0)</f>
        <v>1</v>
      </c>
      <c r="J446" s="232">
        <f>IF(OR(pairs[[#This Row],[Az*]]=0.5,pairs[[#This Row],[Back*]]=0.5),1,0)</f>
        <v>0</v>
      </c>
      <c r="K446" s="232"/>
      <c r="L446" s="232"/>
    </row>
    <row r="447" spans="1:12">
      <c r="A447" s="231" t="s">
        <v>236</v>
      </c>
      <c r="B447" s="231" t="s">
        <v>210</v>
      </c>
      <c r="C447" s="232"/>
      <c r="D447" s="232">
        <v>62.66</v>
      </c>
      <c r="E447" s="233">
        <v>1.1531659999999999</v>
      </c>
      <c r="F447" s="234">
        <f>pairs[[#This Row],[ Dist]]*5280</f>
        <v>6088.7164799999991</v>
      </c>
      <c r="G447" s="232">
        <f>ROUND(pairs[[#This Row],[ Az]]-ROUNDDOWN(pairs[[#This Row],[ Az]],0),1)</f>
        <v>0</v>
      </c>
      <c r="H447" s="232">
        <f>ROUND(pairs[[#This Row],[ Back]]-ROUNDDOWN(pairs[[#This Row],[ Back]],0),1)</f>
        <v>0.7</v>
      </c>
      <c r="I447" s="232">
        <f>IF( OR( OR(pairs[[#This Row],[Az*]]=0, pairs[[#This Row],[Back*]]=0), OR(pairs[[#This Row],[Az*]]=1, pairs[[#This Row],[Back*]]=1)), 1, 0)</f>
        <v>1</v>
      </c>
      <c r="J447" s="232">
        <f>IF(OR(pairs[[#This Row],[Az*]]=0.5,pairs[[#This Row],[Back*]]=0.5),1,0)</f>
        <v>0</v>
      </c>
      <c r="K447" s="232"/>
      <c r="L447" s="232"/>
    </row>
    <row r="448" spans="1:12">
      <c r="A448" s="231" t="s">
        <v>236</v>
      </c>
      <c r="B448" s="231" t="s">
        <v>209</v>
      </c>
      <c r="C448" s="232"/>
      <c r="D448" s="232">
        <v>48.39</v>
      </c>
      <c r="E448" s="233">
        <v>1.8774459999999999</v>
      </c>
      <c r="F448" s="234">
        <f>pairs[[#This Row],[ Dist]]*5280</f>
        <v>9912.9148800000003</v>
      </c>
      <c r="G448" s="232">
        <f>ROUND(pairs[[#This Row],[ Az]]-ROUNDDOWN(pairs[[#This Row],[ Az]],0),1)</f>
        <v>0</v>
      </c>
      <c r="H448" s="232">
        <f>ROUND(pairs[[#This Row],[ Back]]-ROUNDDOWN(pairs[[#This Row],[ Back]],0),1)</f>
        <v>0.4</v>
      </c>
      <c r="I448" s="232">
        <f>IF( OR( OR(pairs[[#This Row],[Az*]]=0, pairs[[#This Row],[Back*]]=0), OR(pairs[[#This Row],[Az*]]=1, pairs[[#This Row],[Back*]]=1)), 1, 0)</f>
        <v>1</v>
      </c>
      <c r="J448" s="232">
        <f>IF(OR(pairs[[#This Row],[Az*]]=0.5,pairs[[#This Row],[Back*]]=0.5),1,0)</f>
        <v>0</v>
      </c>
      <c r="K448" s="232"/>
      <c r="L448" s="232"/>
    </row>
    <row r="449" spans="1:12">
      <c r="A449" s="231" t="s">
        <v>236</v>
      </c>
      <c r="B449" s="231" t="s">
        <v>208</v>
      </c>
      <c r="C449" s="232"/>
      <c r="D449" s="232">
        <v>44.32</v>
      </c>
      <c r="E449" s="233">
        <v>1.467427</v>
      </c>
      <c r="F449" s="234">
        <f>pairs[[#This Row],[ Dist]]*5280</f>
        <v>7748.0145600000005</v>
      </c>
      <c r="G449" s="232">
        <f>ROUND(pairs[[#This Row],[ Az]]-ROUNDDOWN(pairs[[#This Row],[ Az]],0),1)</f>
        <v>0</v>
      </c>
      <c r="H449" s="232">
        <f>ROUND(pairs[[#This Row],[ Back]]-ROUNDDOWN(pairs[[#This Row],[ Back]],0),1)</f>
        <v>0.3</v>
      </c>
      <c r="I449" s="232">
        <f>IF( OR( OR(pairs[[#This Row],[Az*]]=0, pairs[[#This Row],[Back*]]=0), OR(pairs[[#This Row],[Az*]]=1, pairs[[#This Row],[Back*]]=1)), 1, 0)</f>
        <v>1</v>
      </c>
      <c r="J449" s="232">
        <f>IF(OR(pairs[[#This Row],[Az*]]=0.5,pairs[[#This Row],[Back*]]=0.5),1,0)</f>
        <v>0</v>
      </c>
      <c r="K449" s="232"/>
      <c r="L449" s="232"/>
    </row>
    <row r="450" spans="1:12">
      <c r="A450" s="231" t="s">
        <v>236</v>
      </c>
      <c r="B450" s="231" t="s">
        <v>207</v>
      </c>
      <c r="C450" s="232"/>
      <c r="D450" s="232">
        <v>62.57</v>
      </c>
      <c r="E450" s="233">
        <v>0.59275299999999997</v>
      </c>
      <c r="F450" s="234">
        <f>pairs[[#This Row],[ Dist]]*5280</f>
        <v>3129.7358399999998</v>
      </c>
      <c r="G450" s="232">
        <f>ROUND(pairs[[#This Row],[ Az]]-ROUNDDOWN(pairs[[#This Row],[ Az]],0),1)</f>
        <v>0</v>
      </c>
      <c r="H450" s="232">
        <f>ROUND(pairs[[#This Row],[ Back]]-ROUNDDOWN(pairs[[#This Row],[ Back]],0),1)</f>
        <v>0.6</v>
      </c>
      <c r="I450" s="232">
        <f>IF( OR( OR(pairs[[#This Row],[Az*]]=0, pairs[[#This Row],[Back*]]=0), OR(pairs[[#This Row],[Az*]]=1, pairs[[#This Row],[Back*]]=1)), 1, 0)</f>
        <v>1</v>
      </c>
      <c r="J450" s="232">
        <f>IF(OR(pairs[[#This Row],[Az*]]=0.5,pairs[[#This Row],[Back*]]=0.5),1,0)</f>
        <v>0</v>
      </c>
      <c r="K450" s="232"/>
      <c r="L450" s="232"/>
    </row>
    <row r="451" spans="1:12">
      <c r="A451" s="231" t="s">
        <v>236</v>
      </c>
      <c r="B451" s="231" t="s">
        <v>206</v>
      </c>
      <c r="C451" s="232"/>
      <c r="D451" s="232">
        <v>19.41</v>
      </c>
      <c r="E451" s="233">
        <v>1.0996600000000001</v>
      </c>
      <c r="F451" s="234">
        <f>pairs[[#This Row],[ Dist]]*5280</f>
        <v>5806.2048000000004</v>
      </c>
      <c r="G451" s="232">
        <f>ROUND(pairs[[#This Row],[ Az]]-ROUNDDOWN(pairs[[#This Row],[ Az]],0),1)</f>
        <v>0</v>
      </c>
      <c r="H451" s="232">
        <f>ROUND(pairs[[#This Row],[ Back]]-ROUNDDOWN(pairs[[#This Row],[ Back]],0),1)</f>
        <v>0.4</v>
      </c>
      <c r="I451" s="232">
        <f>IF( OR( OR(pairs[[#This Row],[Az*]]=0, pairs[[#This Row],[Back*]]=0), OR(pairs[[#This Row],[Az*]]=1, pairs[[#This Row],[Back*]]=1)), 1, 0)</f>
        <v>1</v>
      </c>
      <c r="J451" s="232">
        <f>IF(OR(pairs[[#This Row],[Az*]]=0.5,pairs[[#This Row],[Back*]]=0.5),1,0)</f>
        <v>0</v>
      </c>
      <c r="K451" s="232"/>
      <c r="L451" s="232"/>
    </row>
    <row r="452" spans="1:12">
      <c r="A452" s="231" t="s">
        <v>236</v>
      </c>
      <c r="B452" s="231" t="s">
        <v>205</v>
      </c>
      <c r="C452" s="232"/>
      <c r="D452" s="232">
        <v>33.659999999999997</v>
      </c>
      <c r="E452" s="233">
        <v>0.76710800000000001</v>
      </c>
      <c r="F452" s="234">
        <f>pairs[[#This Row],[ Dist]]*5280</f>
        <v>4050.3302400000002</v>
      </c>
      <c r="G452" s="232">
        <f>ROUND(pairs[[#This Row],[ Az]]-ROUNDDOWN(pairs[[#This Row],[ Az]],0),1)</f>
        <v>0</v>
      </c>
      <c r="H452" s="232">
        <f>ROUND(pairs[[#This Row],[ Back]]-ROUNDDOWN(pairs[[#This Row],[ Back]],0),1)</f>
        <v>0.7</v>
      </c>
      <c r="I452" s="232">
        <f>IF( OR( OR(pairs[[#This Row],[Az*]]=0, pairs[[#This Row],[Back*]]=0), OR(pairs[[#This Row],[Az*]]=1, pairs[[#This Row],[Back*]]=1)), 1, 0)</f>
        <v>1</v>
      </c>
      <c r="J452" s="232">
        <f>IF(OR(pairs[[#This Row],[Az*]]=0.5,pairs[[#This Row],[Back*]]=0.5),1,0)</f>
        <v>0</v>
      </c>
      <c r="K452" s="232"/>
      <c r="L452" s="232"/>
    </row>
    <row r="453" spans="1:12">
      <c r="A453" s="231" t="s">
        <v>225</v>
      </c>
      <c r="B453" s="231" t="s">
        <v>217</v>
      </c>
      <c r="C453" s="232"/>
      <c r="D453" s="232">
        <v>60.25</v>
      </c>
      <c r="E453" s="233">
        <v>7.1999999999999995E-2</v>
      </c>
      <c r="F453" s="234">
        <f>pairs[[#This Row],[ Dist]]*5280</f>
        <v>380.15999999999997</v>
      </c>
      <c r="G453" s="232">
        <f>ROUND(pairs[[#This Row],[ Az]]-ROUNDDOWN(pairs[[#This Row],[ Az]],0),1)</f>
        <v>0</v>
      </c>
      <c r="H453" s="232">
        <f>ROUND(pairs[[#This Row],[ Back]]-ROUNDDOWN(pairs[[#This Row],[ Back]],0),1)</f>
        <v>0.3</v>
      </c>
      <c r="I453" s="232">
        <f>IF( OR( OR(pairs[[#This Row],[Az*]]=0, pairs[[#This Row],[Back*]]=0), OR(pairs[[#This Row],[Az*]]=1, pairs[[#This Row],[Back*]]=1)), 1, 0)</f>
        <v>1</v>
      </c>
      <c r="J453" s="232">
        <f>IF(OR(pairs[[#This Row],[Az*]]=0.5,pairs[[#This Row],[Back*]]=0.5),1,0)</f>
        <v>0</v>
      </c>
      <c r="K453" s="232"/>
      <c r="L453" s="232"/>
    </row>
    <row r="454" spans="1:12" ht="14.1">
      <c r="A454" s="23" t="s">
        <v>225</v>
      </c>
      <c r="B454" s="23" t="s">
        <v>196</v>
      </c>
      <c r="C454" s="229"/>
      <c r="D454" s="229">
        <v>118.02</v>
      </c>
      <c r="E454" s="25">
        <v>7.0916000000000007E-2</v>
      </c>
      <c r="F454" s="230">
        <f>pairs[[#This Row],[ Dist]]*5280</f>
        <v>374.43648000000002</v>
      </c>
      <c r="G454" s="232">
        <f>ROUND(pairs[[#This Row],[ Az]]-ROUNDDOWN(pairs[[#This Row],[ Az]],0),1)</f>
        <v>0</v>
      </c>
      <c r="H454" s="232">
        <f>ROUND(pairs[[#This Row],[ Back]]-ROUNDDOWN(pairs[[#This Row],[ Back]],0),1)</f>
        <v>0</v>
      </c>
      <c r="I454" s="232">
        <f>IF( OR( OR(pairs[[#This Row],[Az*]]=0, pairs[[#This Row],[Back*]]=0), OR(pairs[[#This Row],[Az*]]=1, pairs[[#This Row],[Back*]]=1)), 1, 0)</f>
        <v>1</v>
      </c>
      <c r="J454" s="232">
        <f>IF(OR(pairs[[#This Row],[Az*]]=0.5,pairs[[#This Row],[Back*]]=0.5),1,0)</f>
        <v>0</v>
      </c>
      <c r="K454" s="232"/>
      <c r="L454" s="232"/>
    </row>
    <row r="455" spans="1:12">
      <c r="A455" s="231" t="s">
        <v>225</v>
      </c>
      <c r="B455" s="231" t="s">
        <v>197</v>
      </c>
      <c r="C455" s="232"/>
      <c r="D455" s="232">
        <v>251.59</v>
      </c>
      <c r="E455" s="233">
        <v>0.10216500000000001</v>
      </c>
      <c r="F455" s="234">
        <f>pairs[[#This Row],[ Dist]]*5280</f>
        <v>539.43119999999999</v>
      </c>
      <c r="G455" s="232">
        <f>ROUND(pairs[[#This Row],[ Az]]-ROUNDDOWN(pairs[[#This Row],[ Az]],0),1)</f>
        <v>0</v>
      </c>
      <c r="H455" s="232">
        <f>ROUND(pairs[[#This Row],[ Back]]-ROUNDDOWN(pairs[[#This Row],[ Back]],0),1)</f>
        <v>0.6</v>
      </c>
      <c r="I455" s="232">
        <f>IF( OR( OR(pairs[[#This Row],[Az*]]=0, pairs[[#This Row],[Back*]]=0), OR(pairs[[#This Row],[Az*]]=1, pairs[[#This Row],[Back*]]=1)), 1, 0)</f>
        <v>1</v>
      </c>
      <c r="J455" s="232">
        <f>IF(OR(pairs[[#This Row],[Az*]]=0.5,pairs[[#This Row],[Back*]]=0.5),1,0)</f>
        <v>0</v>
      </c>
      <c r="K455" s="232"/>
      <c r="L455" s="232"/>
    </row>
    <row r="456" spans="1:12">
      <c r="A456" s="231" t="s">
        <v>225</v>
      </c>
      <c r="B456" s="231" t="s">
        <v>198</v>
      </c>
      <c r="C456" s="232"/>
      <c r="D456" s="232">
        <v>290.83</v>
      </c>
      <c r="E456" s="233">
        <v>0.10506500000000001</v>
      </c>
      <c r="F456" s="234">
        <f>pairs[[#This Row],[ Dist]]*5280</f>
        <v>554.7432</v>
      </c>
      <c r="G456" s="232">
        <f>ROUND(pairs[[#This Row],[ Az]]-ROUNDDOWN(pairs[[#This Row],[ Az]],0),1)</f>
        <v>0</v>
      </c>
      <c r="H456" s="232">
        <f>ROUND(pairs[[#This Row],[ Back]]-ROUNDDOWN(pairs[[#This Row],[ Back]],0),1)</f>
        <v>0.8</v>
      </c>
      <c r="I456" s="232">
        <f>IF( OR( OR(pairs[[#This Row],[Az*]]=0, pairs[[#This Row],[Back*]]=0), OR(pairs[[#This Row],[Az*]]=1, pairs[[#This Row],[Back*]]=1)), 1, 0)</f>
        <v>1</v>
      </c>
      <c r="J456" s="232">
        <f>IF(OR(pairs[[#This Row],[Az*]]=0.5,pairs[[#This Row],[Back*]]=0.5),1,0)</f>
        <v>0</v>
      </c>
      <c r="K456" s="232"/>
      <c r="L456" s="232"/>
    </row>
    <row r="457" spans="1:12">
      <c r="A457" s="231" t="s">
        <v>225</v>
      </c>
      <c r="B457" s="231" t="s">
        <v>199</v>
      </c>
      <c r="C457" s="232"/>
      <c r="D457" s="232">
        <v>359.77</v>
      </c>
      <c r="E457" s="233">
        <v>3.8182000000000001E-2</v>
      </c>
      <c r="F457" s="234">
        <f>pairs[[#This Row],[ Dist]]*5280</f>
        <v>201.60096000000001</v>
      </c>
      <c r="G457" s="232">
        <f>ROUND(pairs[[#This Row],[ Az]]-ROUNDDOWN(pairs[[#This Row],[ Az]],0),1)</f>
        <v>0</v>
      </c>
      <c r="H457" s="232">
        <f>ROUND(pairs[[#This Row],[ Back]]-ROUNDDOWN(pairs[[#This Row],[ Back]],0),1)</f>
        <v>0.8</v>
      </c>
      <c r="I457" s="232">
        <f>IF( OR( OR(pairs[[#This Row],[Az*]]=0, pairs[[#This Row],[Back*]]=0), OR(pairs[[#This Row],[Az*]]=1, pairs[[#This Row],[Back*]]=1)), 1, 0)</f>
        <v>1</v>
      </c>
      <c r="J457" s="232">
        <f>IF(OR(pairs[[#This Row],[Az*]]=0.5,pairs[[#This Row],[Back*]]=0.5),1,0)</f>
        <v>0</v>
      </c>
      <c r="K457" s="232"/>
      <c r="L457" s="232"/>
    </row>
    <row r="458" spans="1:12">
      <c r="A458" s="231" t="s">
        <v>225</v>
      </c>
      <c r="B458" s="231" t="s">
        <v>200</v>
      </c>
      <c r="C458" s="232"/>
      <c r="D458" s="232">
        <v>326.16000000000003</v>
      </c>
      <c r="E458" s="233">
        <v>4.6013999999999999E-2</v>
      </c>
      <c r="F458" s="234">
        <f>pairs[[#This Row],[ Dist]]*5280</f>
        <v>242.95391999999998</v>
      </c>
      <c r="G458" s="232">
        <f>ROUND(pairs[[#This Row],[ Az]]-ROUNDDOWN(pairs[[#This Row],[ Az]],0),1)</f>
        <v>0</v>
      </c>
      <c r="H458" s="232">
        <f>ROUND(pairs[[#This Row],[ Back]]-ROUNDDOWN(pairs[[#This Row],[ Back]],0),1)</f>
        <v>0.2</v>
      </c>
      <c r="I458" s="232">
        <f>IF( OR( OR(pairs[[#This Row],[Az*]]=0, pairs[[#This Row],[Back*]]=0), OR(pairs[[#This Row],[Az*]]=1, pairs[[#This Row],[Back*]]=1)), 1, 0)</f>
        <v>1</v>
      </c>
      <c r="J458" s="232">
        <f>IF(OR(pairs[[#This Row],[Az*]]=0.5,pairs[[#This Row],[Back*]]=0.5),1,0)</f>
        <v>0</v>
      </c>
      <c r="K458" s="232"/>
      <c r="L458" s="232"/>
    </row>
    <row r="459" spans="1:12">
      <c r="A459" s="231" t="s">
        <v>225</v>
      </c>
      <c r="B459" s="231" t="s">
        <v>201</v>
      </c>
      <c r="C459" s="232"/>
      <c r="D459" s="232">
        <v>297.87</v>
      </c>
      <c r="E459" s="233">
        <v>8.2516000000000006E-2</v>
      </c>
      <c r="F459" s="234">
        <f>pairs[[#This Row],[ Dist]]*5280</f>
        <v>435.68448000000001</v>
      </c>
      <c r="G459" s="232">
        <f>ROUND(pairs[[#This Row],[ Az]]-ROUNDDOWN(pairs[[#This Row],[ Az]],0),1)</f>
        <v>0</v>
      </c>
      <c r="H459" s="232">
        <f>ROUND(pairs[[#This Row],[ Back]]-ROUNDDOWN(pairs[[#This Row],[ Back]],0),1)</f>
        <v>0.9</v>
      </c>
      <c r="I459" s="232">
        <f>IF( OR( OR(pairs[[#This Row],[Az*]]=0, pairs[[#This Row],[Back*]]=0), OR(pairs[[#This Row],[Az*]]=1, pairs[[#This Row],[Back*]]=1)), 1, 0)</f>
        <v>1</v>
      </c>
      <c r="J459" s="232">
        <f>IF(OR(pairs[[#This Row],[Az*]]=0.5,pairs[[#This Row],[Back*]]=0.5),1,0)</f>
        <v>0</v>
      </c>
      <c r="K459" s="232"/>
      <c r="L459" s="232"/>
    </row>
    <row r="460" spans="1:12">
      <c r="A460" s="231" t="s">
        <v>225</v>
      </c>
      <c r="B460" s="231" t="s">
        <v>202</v>
      </c>
      <c r="C460" s="232"/>
      <c r="D460" s="232">
        <v>241.2</v>
      </c>
      <c r="E460" s="233">
        <v>6.5480999999999998E-2</v>
      </c>
      <c r="F460" s="234">
        <f>pairs[[#This Row],[ Dist]]*5280</f>
        <v>345.73967999999996</v>
      </c>
      <c r="G460" s="232">
        <f>ROUND(pairs[[#This Row],[ Az]]-ROUNDDOWN(pairs[[#This Row],[ Az]],0),1)</f>
        <v>0</v>
      </c>
      <c r="H460" s="232">
        <f>ROUND(pairs[[#This Row],[ Back]]-ROUNDDOWN(pairs[[#This Row],[ Back]],0),1)</f>
        <v>0.2</v>
      </c>
      <c r="I460" s="232">
        <f>IF( OR( OR(pairs[[#This Row],[Az*]]=0, pairs[[#This Row],[Back*]]=0), OR(pairs[[#This Row],[Az*]]=1, pairs[[#This Row],[Back*]]=1)), 1, 0)</f>
        <v>1</v>
      </c>
      <c r="J460" s="232">
        <f>IF(OR(pairs[[#This Row],[Az*]]=0.5,pairs[[#This Row],[Back*]]=0.5),1,0)</f>
        <v>0</v>
      </c>
      <c r="K460" s="232"/>
      <c r="L460" s="232"/>
    </row>
    <row r="461" spans="1:12">
      <c r="A461" s="231" t="s">
        <v>225</v>
      </c>
      <c r="B461" s="231" t="s">
        <v>203</v>
      </c>
      <c r="C461" s="232"/>
      <c r="D461" s="232">
        <v>214.38</v>
      </c>
      <c r="E461" s="233">
        <v>3.9018999999999998E-2</v>
      </c>
      <c r="F461" s="234">
        <f>pairs[[#This Row],[ Dist]]*5280</f>
        <v>206.02032</v>
      </c>
      <c r="G461" s="232">
        <f>ROUND(pairs[[#This Row],[ Az]]-ROUNDDOWN(pairs[[#This Row],[ Az]],0),1)</f>
        <v>0</v>
      </c>
      <c r="H461" s="232">
        <f>ROUND(pairs[[#This Row],[ Back]]-ROUNDDOWN(pairs[[#This Row],[ Back]],0),1)</f>
        <v>0.4</v>
      </c>
      <c r="I461" s="232">
        <f>IF( OR( OR(pairs[[#This Row],[Az*]]=0, pairs[[#This Row],[Back*]]=0), OR(pairs[[#This Row],[Az*]]=1, pairs[[#This Row],[Back*]]=1)), 1, 0)</f>
        <v>1</v>
      </c>
      <c r="J461" s="232">
        <f>IF(OR(pairs[[#This Row],[Az*]]=0.5,pairs[[#This Row],[Back*]]=0.5),1,0)</f>
        <v>0</v>
      </c>
      <c r="K461" s="232"/>
      <c r="L461" s="232"/>
    </row>
    <row r="462" spans="1:12">
      <c r="A462" s="231" t="s">
        <v>225</v>
      </c>
      <c r="B462" s="231" t="s">
        <v>215</v>
      </c>
      <c r="C462" s="232"/>
      <c r="D462" s="232">
        <v>213.68</v>
      </c>
      <c r="E462" s="233">
        <v>0.94943699999999998</v>
      </c>
      <c r="F462" s="234">
        <f>pairs[[#This Row],[ Dist]]*5280</f>
        <v>5013.02736</v>
      </c>
      <c r="G462" s="232">
        <f>ROUND(pairs[[#This Row],[ Az]]-ROUNDDOWN(pairs[[#This Row],[ Az]],0),1)</f>
        <v>0</v>
      </c>
      <c r="H462" s="232">
        <f>ROUND(pairs[[#This Row],[ Back]]-ROUNDDOWN(pairs[[#This Row],[ Back]],0),1)</f>
        <v>0.7</v>
      </c>
      <c r="I462" s="232">
        <f>IF( OR( OR(pairs[[#This Row],[Az*]]=0, pairs[[#This Row],[Back*]]=0), OR(pairs[[#This Row],[Az*]]=1, pairs[[#This Row],[Back*]]=1)), 1, 0)</f>
        <v>1</v>
      </c>
      <c r="J462" s="232">
        <f>IF(OR(pairs[[#This Row],[Az*]]=0.5,pairs[[#This Row],[Back*]]=0.5),1,0)</f>
        <v>0</v>
      </c>
      <c r="K462" s="232"/>
      <c r="L462" s="232"/>
    </row>
    <row r="463" spans="1:12">
      <c r="A463" s="231" t="s">
        <v>225</v>
      </c>
      <c r="B463" s="231" t="s">
        <v>214</v>
      </c>
      <c r="C463" s="232"/>
      <c r="D463" s="232">
        <v>242.24</v>
      </c>
      <c r="E463" s="233">
        <v>0.52482799999999996</v>
      </c>
      <c r="F463" s="234">
        <f>pairs[[#This Row],[ Dist]]*5280</f>
        <v>2771.0918399999996</v>
      </c>
      <c r="G463" s="232">
        <f>ROUND(pairs[[#This Row],[ Az]]-ROUNDDOWN(pairs[[#This Row],[ Az]],0),1)</f>
        <v>0</v>
      </c>
      <c r="H463" s="232">
        <f>ROUND(pairs[[#This Row],[ Back]]-ROUNDDOWN(pairs[[#This Row],[ Back]],0),1)</f>
        <v>0.2</v>
      </c>
      <c r="I463" s="232">
        <f>IF( OR( OR(pairs[[#This Row],[Az*]]=0, pairs[[#This Row],[Back*]]=0), OR(pairs[[#This Row],[Az*]]=1, pairs[[#This Row],[Back*]]=1)), 1, 0)</f>
        <v>1</v>
      </c>
      <c r="J463" s="232">
        <f>IF(OR(pairs[[#This Row],[Az*]]=0.5,pairs[[#This Row],[Back*]]=0.5),1,0)</f>
        <v>0</v>
      </c>
      <c r="K463" s="232"/>
      <c r="L463" s="232"/>
    </row>
    <row r="464" spans="1:12">
      <c r="A464" s="231" t="s">
        <v>225</v>
      </c>
      <c r="B464" s="231" t="s">
        <v>213</v>
      </c>
      <c r="C464" s="232"/>
      <c r="D464" s="232">
        <v>297.68</v>
      </c>
      <c r="E464" s="233">
        <v>0.39265499999999998</v>
      </c>
      <c r="F464" s="234">
        <f>pairs[[#This Row],[ Dist]]*5280</f>
        <v>2073.2183999999997</v>
      </c>
      <c r="G464" s="232">
        <f>ROUND(pairs[[#This Row],[ Az]]-ROUNDDOWN(pairs[[#This Row],[ Az]],0),1)</f>
        <v>0</v>
      </c>
      <c r="H464" s="232">
        <f>ROUND(pairs[[#This Row],[ Back]]-ROUNDDOWN(pairs[[#This Row],[ Back]],0),1)</f>
        <v>0.7</v>
      </c>
      <c r="I464" s="232">
        <f>IF( OR( OR(pairs[[#This Row],[Az*]]=0, pairs[[#This Row],[Back*]]=0), OR(pairs[[#This Row],[Az*]]=1, pairs[[#This Row],[Back*]]=1)), 1, 0)</f>
        <v>1</v>
      </c>
      <c r="J464" s="232">
        <f>IF(OR(pairs[[#This Row],[Az*]]=0.5,pairs[[#This Row],[Back*]]=0.5),1,0)</f>
        <v>0</v>
      </c>
    </row>
    <row r="465" spans="1:10" ht="14.1">
      <c r="A465" s="23" t="s">
        <v>225</v>
      </c>
      <c r="B465" s="23" t="s">
        <v>212</v>
      </c>
      <c r="C465" s="229"/>
      <c r="D465" s="229">
        <v>327.02</v>
      </c>
      <c r="E465" s="25">
        <v>0.92969000000000002</v>
      </c>
      <c r="F465" s="230">
        <f>pairs[[#This Row],[ Dist]]*5280</f>
        <v>4908.7632000000003</v>
      </c>
      <c r="G465" s="232">
        <f>ROUND(pairs[[#This Row],[ Az]]-ROUNDDOWN(pairs[[#This Row],[ Az]],0),1)</f>
        <v>0</v>
      </c>
      <c r="H465" s="232">
        <f>ROUND(pairs[[#This Row],[ Back]]-ROUNDDOWN(pairs[[#This Row],[ Back]],0),1)</f>
        <v>0</v>
      </c>
      <c r="I465" s="232">
        <f>IF( OR( OR(pairs[[#This Row],[Az*]]=0, pairs[[#This Row],[Back*]]=0), OR(pairs[[#This Row],[Az*]]=1, pairs[[#This Row],[Back*]]=1)), 1, 0)</f>
        <v>1</v>
      </c>
      <c r="J465" s="232">
        <f>IF(OR(pairs[[#This Row],[Az*]]=0.5,pairs[[#This Row],[Back*]]=0.5),1,0)</f>
        <v>0</v>
      </c>
    </row>
    <row r="466" spans="1:10" ht="14.1">
      <c r="A466" s="23" t="s">
        <v>225</v>
      </c>
      <c r="B466" s="23" t="s">
        <v>211</v>
      </c>
      <c r="C466" s="229"/>
      <c r="D466" s="229">
        <v>359.99</v>
      </c>
      <c r="E466" s="25">
        <v>0.78875899999999999</v>
      </c>
      <c r="F466" s="230">
        <f>pairs[[#This Row],[ Dist]]*5280</f>
        <v>4164.6475199999995</v>
      </c>
      <c r="G466" s="232">
        <f>ROUND(pairs[[#This Row],[ Az]]-ROUNDDOWN(pairs[[#This Row],[ Az]],0),1)</f>
        <v>0</v>
      </c>
      <c r="H466" s="232">
        <f>ROUND(pairs[[#This Row],[ Back]]-ROUNDDOWN(pairs[[#This Row],[ Back]],0),1)</f>
        <v>1</v>
      </c>
      <c r="I466" s="232">
        <f>IF( OR( OR(pairs[[#This Row],[Az*]]=0, pairs[[#This Row],[Back*]]=0), OR(pairs[[#This Row],[Az*]]=1, pairs[[#This Row],[Back*]]=1)), 1, 0)</f>
        <v>1</v>
      </c>
      <c r="J466" s="232">
        <f>IF(OR(pairs[[#This Row],[Az*]]=0.5,pairs[[#This Row],[Back*]]=0.5),1,0)</f>
        <v>0</v>
      </c>
    </row>
    <row r="467" spans="1:10">
      <c r="A467" s="231" t="s">
        <v>225</v>
      </c>
      <c r="B467" s="231" t="s">
        <v>210</v>
      </c>
      <c r="C467" s="232"/>
      <c r="D467" s="232">
        <v>117.62</v>
      </c>
      <c r="E467" s="233">
        <v>0.56204200000000004</v>
      </c>
      <c r="F467" s="234">
        <f>pairs[[#This Row],[ Dist]]*5280</f>
        <v>2967.58176</v>
      </c>
      <c r="G467" s="232">
        <f>ROUND(pairs[[#This Row],[ Az]]-ROUNDDOWN(pairs[[#This Row],[ Az]],0),1)</f>
        <v>0</v>
      </c>
      <c r="H467" s="232">
        <f>ROUND(pairs[[#This Row],[ Back]]-ROUNDDOWN(pairs[[#This Row],[ Back]],0),1)</f>
        <v>0.6</v>
      </c>
      <c r="I467" s="232">
        <f>IF( OR( OR(pairs[[#This Row],[Az*]]=0, pairs[[#This Row],[Back*]]=0), OR(pairs[[#This Row],[Az*]]=1, pairs[[#This Row],[Back*]]=1)), 1, 0)</f>
        <v>1</v>
      </c>
      <c r="J467" s="232">
        <f>IF(OR(pairs[[#This Row],[Az*]]=0.5,pairs[[#This Row],[Back*]]=0.5),1,0)</f>
        <v>0</v>
      </c>
    </row>
    <row r="468" spans="1:10" ht="14.1">
      <c r="A468" s="206" t="s">
        <v>225</v>
      </c>
      <c r="B468" s="206" t="s">
        <v>209</v>
      </c>
      <c r="C468" s="235"/>
      <c r="D468" s="235">
        <v>62.51</v>
      </c>
      <c r="E468" s="236">
        <v>0.98907699999999998</v>
      </c>
      <c r="F468" s="237">
        <f>pairs[[#This Row],[ Dist]]*5280</f>
        <v>5222.3265599999995</v>
      </c>
      <c r="G468" s="235">
        <f>ROUND(pairs[[#This Row],[ Az]]-ROUNDDOWN(pairs[[#This Row],[ Az]],0),1)</f>
        <v>0</v>
      </c>
      <c r="H468" s="235">
        <f>ROUND(pairs[[#This Row],[ Back]]-ROUNDDOWN(pairs[[#This Row],[ Back]],0),1)</f>
        <v>0.5</v>
      </c>
      <c r="I468" s="235">
        <f>IF( OR( OR(pairs[[#This Row],[Az*]]=0, pairs[[#This Row],[Back*]]=0), OR(pairs[[#This Row],[Az*]]=1, pairs[[#This Row],[Back*]]=1)), 1, 0)</f>
        <v>1</v>
      </c>
      <c r="J468" s="235">
        <f>IF(OR(pairs[[#This Row],[Az*]]=0.5,pairs[[#This Row],[Back*]]=0.5),1,0)</f>
        <v>1</v>
      </c>
    </row>
    <row r="469" spans="1:10" ht="14.1">
      <c r="A469" s="206" t="s">
        <v>225</v>
      </c>
      <c r="B469" s="206" t="s">
        <v>208</v>
      </c>
      <c r="C469" s="235"/>
      <c r="D469" s="235">
        <v>62.49</v>
      </c>
      <c r="E469" s="236">
        <v>0.56240699999999999</v>
      </c>
      <c r="F469" s="237">
        <f>pairs[[#This Row],[ Dist]]*5280</f>
        <v>2969.5089600000001</v>
      </c>
      <c r="G469" s="235">
        <f>ROUND(pairs[[#This Row],[ Az]]-ROUNDDOWN(pairs[[#This Row],[ Az]],0),1)</f>
        <v>0</v>
      </c>
      <c r="H469" s="235">
        <f>ROUND(pairs[[#This Row],[ Back]]-ROUNDDOWN(pairs[[#This Row],[ Back]],0),1)</f>
        <v>0.5</v>
      </c>
      <c r="I469" s="235">
        <f>IF( OR( OR(pairs[[#This Row],[Az*]]=0, pairs[[#This Row],[Back*]]=0), OR(pairs[[#This Row],[Az*]]=1, pairs[[#This Row],[Back*]]=1)), 1, 0)</f>
        <v>1</v>
      </c>
      <c r="J469" s="235">
        <f>IF(OR(pairs[[#This Row],[Az*]]=0.5,pairs[[#This Row],[Back*]]=0.5),1,0)</f>
        <v>1</v>
      </c>
    </row>
    <row r="470" spans="1:10" ht="14.1">
      <c r="A470" s="23" t="s">
        <v>225</v>
      </c>
      <c r="B470" s="23" t="s">
        <v>207</v>
      </c>
      <c r="C470" s="229"/>
      <c r="D470" s="229">
        <v>180.04</v>
      </c>
      <c r="E470" s="25">
        <v>0.51703900000000003</v>
      </c>
      <c r="F470" s="230">
        <f>pairs[[#This Row],[ Dist]]*5280</f>
        <v>2729.9659200000001</v>
      </c>
      <c r="G470" s="232">
        <f>ROUND(pairs[[#This Row],[ Az]]-ROUNDDOWN(pairs[[#This Row],[ Az]],0),1)</f>
        <v>0</v>
      </c>
      <c r="H470" s="232">
        <f>ROUND(pairs[[#This Row],[ Back]]-ROUNDDOWN(pairs[[#This Row],[ Back]],0),1)</f>
        <v>0</v>
      </c>
      <c r="I470" s="232">
        <f>IF( OR( OR(pairs[[#This Row],[Az*]]=0, pairs[[#This Row],[Back*]]=0), OR(pairs[[#This Row],[Az*]]=1, pairs[[#This Row],[Back*]]=1)), 1, 0)</f>
        <v>1</v>
      </c>
      <c r="J470" s="232">
        <f>IF(OR(pairs[[#This Row],[Az*]]=0.5,pairs[[#This Row],[Back*]]=0.5),1,0)</f>
        <v>0</v>
      </c>
    </row>
    <row r="471" spans="1:10">
      <c r="A471" s="231" t="s">
        <v>225</v>
      </c>
      <c r="B471" s="231" t="s">
        <v>206</v>
      </c>
      <c r="C471" s="232"/>
      <c r="D471" s="232">
        <v>326.91000000000003</v>
      </c>
      <c r="E471" s="233">
        <v>0.29487200000000002</v>
      </c>
      <c r="F471" s="234">
        <f>pairs[[#This Row],[ Dist]]*5280</f>
        <v>1556.92416</v>
      </c>
      <c r="G471" s="232">
        <f>ROUND(pairs[[#This Row],[ Az]]-ROUNDDOWN(pairs[[#This Row],[ Az]],0),1)</f>
        <v>0</v>
      </c>
      <c r="H471" s="232">
        <f>ROUND(pairs[[#This Row],[ Back]]-ROUNDDOWN(pairs[[#This Row],[ Back]],0),1)</f>
        <v>0.9</v>
      </c>
      <c r="I471" s="232">
        <f>IF( OR( OR(pairs[[#This Row],[Az*]]=0, pairs[[#This Row],[Back*]]=0), OR(pairs[[#This Row],[Az*]]=1, pairs[[#This Row],[Back*]]=1)), 1, 0)</f>
        <v>1</v>
      </c>
      <c r="J471" s="232">
        <f>IF(OR(pairs[[#This Row],[Az*]]=0.5,pairs[[#This Row],[Back*]]=0.5),1,0)</f>
        <v>0</v>
      </c>
    </row>
    <row r="472" spans="1:10">
      <c r="A472" s="231" t="s">
        <v>225</v>
      </c>
      <c r="B472" s="231" t="s">
        <v>205</v>
      </c>
      <c r="C472" s="232"/>
      <c r="D472" s="232">
        <v>213.75</v>
      </c>
      <c r="E472" s="233">
        <v>0.18232899999999999</v>
      </c>
      <c r="F472" s="234">
        <f>pairs[[#This Row],[ Dist]]*5280</f>
        <v>962.69711999999993</v>
      </c>
      <c r="G472" s="232">
        <f>ROUND(pairs[[#This Row],[ Az]]-ROUNDDOWN(pairs[[#This Row],[ Az]],0),1)</f>
        <v>0</v>
      </c>
      <c r="H472" s="232">
        <f>ROUND(pairs[[#This Row],[ Back]]-ROUNDDOWN(pairs[[#This Row],[ Back]],0),1)</f>
        <v>0.8</v>
      </c>
      <c r="I472" s="232">
        <f>IF( OR( OR(pairs[[#This Row],[Az*]]=0, pairs[[#This Row],[Back*]]=0), OR(pairs[[#This Row],[Az*]]=1, pairs[[#This Row],[Back*]]=1)), 1, 0)</f>
        <v>1</v>
      </c>
      <c r="J472" s="232">
        <f>IF(OR(pairs[[#This Row],[Az*]]=0.5,pairs[[#This Row],[Back*]]=0.5),1,0)</f>
        <v>0</v>
      </c>
    </row>
    <row r="473" spans="1:10">
      <c r="A473" s="231" t="s">
        <v>224</v>
      </c>
      <c r="B473" s="231" t="s">
        <v>217</v>
      </c>
      <c r="C473" s="232"/>
      <c r="D473" s="232">
        <v>51.22</v>
      </c>
      <c r="E473" s="233">
        <v>0.10845200000000001</v>
      </c>
      <c r="F473" s="234">
        <f>pairs[[#This Row],[ Dist]]*5280</f>
        <v>572.62656000000004</v>
      </c>
      <c r="G473" s="232">
        <f>ROUND(pairs[[#This Row],[ Az]]-ROUNDDOWN(pairs[[#This Row],[ Az]],0),1)</f>
        <v>0</v>
      </c>
      <c r="H473" s="232">
        <f>ROUND(pairs[[#This Row],[ Back]]-ROUNDDOWN(pairs[[#This Row],[ Back]],0),1)</f>
        <v>0.2</v>
      </c>
      <c r="I473" s="232">
        <f>IF( OR( OR(pairs[[#This Row],[Az*]]=0, pairs[[#This Row],[Back*]]=0), OR(pairs[[#This Row],[Az*]]=1, pairs[[#This Row],[Back*]]=1)), 1, 0)</f>
        <v>1</v>
      </c>
      <c r="J473" s="232">
        <f>IF(OR(pairs[[#This Row],[Az*]]=0.5,pairs[[#This Row],[Back*]]=0.5),1,0)</f>
        <v>0</v>
      </c>
    </row>
    <row r="474" spans="1:10">
      <c r="A474" s="231" t="s">
        <v>224</v>
      </c>
      <c r="B474" s="231" t="s">
        <v>196</v>
      </c>
      <c r="C474" s="232"/>
      <c r="D474" s="232">
        <v>90.75</v>
      </c>
      <c r="E474" s="233">
        <v>8.4642999999999996E-2</v>
      </c>
      <c r="F474" s="234">
        <f>pairs[[#This Row],[ Dist]]*5280</f>
        <v>446.91503999999998</v>
      </c>
      <c r="G474" s="232">
        <f>ROUND(pairs[[#This Row],[ Az]]-ROUNDDOWN(pairs[[#This Row],[ Az]],0),1)</f>
        <v>0</v>
      </c>
      <c r="H474" s="232">
        <f>ROUND(pairs[[#This Row],[ Back]]-ROUNDDOWN(pairs[[#This Row],[ Back]],0),1)</f>
        <v>0.8</v>
      </c>
      <c r="I474" s="232">
        <f>IF( OR( OR(pairs[[#This Row],[Az*]]=0, pairs[[#This Row],[Back*]]=0), OR(pairs[[#This Row],[Az*]]=1, pairs[[#This Row],[Back*]]=1)), 1, 0)</f>
        <v>1</v>
      </c>
      <c r="J474" s="232">
        <f>IF(OR(pairs[[#This Row],[Az*]]=0.5,pairs[[#This Row],[Back*]]=0.5),1,0)</f>
        <v>0</v>
      </c>
    </row>
    <row r="475" spans="1:10" ht="14.1">
      <c r="A475" s="23" t="s">
        <v>224</v>
      </c>
      <c r="B475" s="23" t="s">
        <v>197</v>
      </c>
      <c r="C475" s="229"/>
      <c r="D475" s="229">
        <v>269.95999999999998</v>
      </c>
      <c r="E475" s="25">
        <v>7.4907000000000001E-2</v>
      </c>
      <c r="F475" s="230">
        <f>pairs[[#This Row],[ Dist]]*5280</f>
        <v>395.50896</v>
      </c>
      <c r="G475" s="232">
        <f>ROUND(pairs[[#This Row],[ Az]]-ROUNDDOWN(pairs[[#This Row],[ Az]],0),1)</f>
        <v>0</v>
      </c>
      <c r="H475" s="232">
        <f>ROUND(pairs[[#This Row],[ Back]]-ROUNDDOWN(pairs[[#This Row],[ Back]],0),1)</f>
        <v>1</v>
      </c>
      <c r="I475" s="232">
        <f>IF( OR( OR(pairs[[#This Row],[Az*]]=0, pairs[[#This Row],[Back*]]=0), OR(pairs[[#This Row],[Az*]]=1, pairs[[#This Row],[Back*]]=1)), 1, 0)</f>
        <v>1</v>
      </c>
      <c r="J475" s="232">
        <f>IF(OR(pairs[[#This Row],[Az*]]=0.5,pairs[[#This Row],[Back*]]=0.5),1,0)</f>
        <v>0</v>
      </c>
    </row>
    <row r="476" spans="1:10">
      <c r="A476" s="231" t="s">
        <v>224</v>
      </c>
      <c r="B476" s="231" t="s">
        <v>198</v>
      </c>
      <c r="C476" s="232"/>
      <c r="D476" s="232">
        <v>312.39999999999998</v>
      </c>
      <c r="E476" s="233">
        <v>0.103149</v>
      </c>
      <c r="F476" s="234">
        <f>pairs[[#This Row],[ Dist]]*5280</f>
        <v>544.62671999999998</v>
      </c>
      <c r="G476" s="232">
        <f>ROUND(pairs[[#This Row],[ Az]]-ROUNDDOWN(pairs[[#This Row],[ Az]],0),1)</f>
        <v>0</v>
      </c>
      <c r="H476" s="232">
        <f>ROUND(pairs[[#This Row],[ Back]]-ROUNDDOWN(pairs[[#This Row],[ Back]],0),1)</f>
        <v>0.4</v>
      </c>
      <c r="I476" s="232">
        <f>IF( OR( OR(pairs[[#This Row],[Az*]]=0, pairs[[#This Row],[Back*]]=0), OR(pairs[[#This Row],[Az*]]=1, pairs[[#This Row],[Back*]]=1)), 1, 0)</f>
        <v>1</v>
      </c>
      <c r="J476" s="232">
        <f>IF(OR(pairs[[#This Row],[Az*]]=0.5,pairs[[#This Row],[Back*]]=0.5),1,0)</f>
        <v>0</v>
      </c>
    </row>
    <row r="477" spans="1:10">
      <c r="A477" s="231" t="s">
        <v>224</v>
      </c>
      <c r="B477" s="231" t="s">
        <v>199</v>
      </c>
      <c r="C477" s="232"/>
      <c r="D477" s="232">
        <v>17.27</v>
      </c>
      <c r="E477" s="233">
        <v>7.3707999999999996E-2</v>
      </c>
      <c r="F477" s="234">
        <f>pairs[[#This Row],[ Dist]]*5280</f>
        <v>389.17823999999996</v>
      </c>
      <c r="G477" s="232">
        <f>ROUND(pairs[[#This Row],[ Az]]-ROUNDDOWN(pairs[[#This Row],[ Az]],0),1)</f>
        <v>0</v>
      </c>
      <c r="H477" s="232">
        <f>ROUND(pairs[[#This Row],[ Back]]-ROUNDDOWN(pairs[[#This Row],[ Back]],0),1)</f>
        <v>0.3</v>
      </c>
      <c r="I477" s="232">
        <f>IF( OR( OR(pairs[[#This Row],[Az*]]=0, pairs[[#This Row],[Back*]]=0), OR(pairs[[#This Row],[Az*]]=1, pairs[[#This Row],[Back*]]=1)), 1, 0)</f>
        <v>1</v>
      </c>
      <c r="J477" s="232">
        <f>IF(OR(pairs[[#This Row],[Az*]]=0.5,pairs[[#This Row],[Back*]]=0.5),1,0)</f>
        <v>0</v>
      </c>
    </row>
    <row r="478" spans="1:10">
      <c r="A478" s="231" t="s">
        <v>224</v>
      </c>
      <c r="B478" s="231" t="s">
        <v>200</v>
      </c>
      <c r="C478" s="232"/>
      <c r="D478" s="232">
        <v>357.08</v>
      </c>
      <c r="E478" s="233">
        <v>7.0515999999999995E-2</v>
      </c>
      <c r="F478" s="234">
        <f>pairs[[#This Row],[ Dist]]*5280</f>
        <v>372.32447999999999</v>
      </c>
      <c r="G478" s="232">
        <f>ROUND(pairs[[#This Row],[ Az]]-ROUNDDOWN(pairs[[#This Row],[ Az]],0),1)</f>
        <v>0</v>
      </c>
      <c r="H478" s="232">
        <f>ROUND(pairs[[#This Row],[ Back]]-ROUNDDOWN(pairs[[#This Row],[ Back]],0),1)</f>
        <v>0.1</v>
      </c>
      <c r="I478" s="232">
        <f>IF( OR( OR(pairs[[#This Row],[Az*]]=0, pairs[[#This Row],[Back*]]=0), OR(pairs[[#This Row],[Az*]]=1, pairs[[#This Row],[Back*]]=1)), 1, 0)</f>
        <v>1</v>
      </c>
      <c r="J478" s="232">
        <f>IF(OR(pairs[[#This Row],[Az*]]=0.5,pairs[[#This Row],[Back*]]=0.5),1,0)</f>
        <v>0</v>
      </c>
    </row>
    <row r="479" spans="1:10">
      <c r="A479" s="231" t="s">
        <v>224</v>
      </c>
      <c r="B479" s="231" t="s">
        <v>201</v>
      </c>
      <c r="C479" s="232"/>
      <c r="D479" s="232">
        <v>324.27</v>
      </c>
      <c r="E479" s="233">
        <v>8.7188000000000002E-2</v>
      </c>
      <c r="F479" s="234">
        <f>pairs[[#This Row],[ Dist]]*5280</f>
        <v>460.35264000000001</v>
      </c>
      <c r="G479" s="232">
        <f>ROUND(pairs[[#This Row],[ Az]]-ROUNDDOWN(pairs[[#This Row],[ Az]],0),1)</f>
        <v>0</v>
      </c>
      <c r="H479" s="232">
        <f>ROUND(pairs[[#This Row],[ Back]]-ROUNDDOWN(pairs[[#This Row],[ Back]],0),1)</f>
        <v>0.3</v>
      </c>
      <c r="I479" s="232">
        <f>IF( OR( OR(pairs[[#This Row],[Az*]]=0, pairs[[#This Row],[Back*]]=0), OR(pairs[[#This Row],[Az*]]=1, pairs[[#This Row],[Back*]]=1)), 1, 0)</f>
        <v>1</v>
      </c>
      <c r="J479" s="232">
        <f>IF(OR(pairs[[#This Row],[Az*]]=0.5,pairs[[#This Row],[Back*]]=0.5),1,0)</f>
        <v>0</v>
      </c>
    </row>
    <row r="480" spans="1:10">
      <c r="A480" s="231" t="s">
        <v>224</v>
      </c>
      <c r="B480" s="231" t="s">
        <v>202</v>
      </c>
      <c r="C480" s="232"/>
      <c r="D480" s="232">
        <v>271.07</v>
      </c>
      <c r="E480" s="233">
        <v>3.5355999999999999E-2</v>
      </c>
      <c r="F480" s="234">
        <f>pairs[[#This Row],[ Dist]]*5280</f>
        <v>186.67967999999999</v>
      </c>
      <c r="G480" s="232">
        <f>ROUND(pairs[[#This Row],[ Az]]-ROUNDDOWN(pairs[[#This Row],[ Az]],0),1)</f>
        <v>0</v>
      </c>
      <c r="H480" s="232">
        <f>ROUND(pairs[[#This Row],[ Back]]-ROUNDDOWN(pairs[[#This Row],[ Back]],0),1)</f>
        <v>0.1</v>
      </c>
      <c r="I480" s="232">
        <f>IF( OR( OR(pairs[[#This Row],[Az*]]=0, pairs[[#This Row],[Back*]]=0), OR(pairs[[#This Row],[Az*]]=1, pairs[[#This Row],[Back*]]=1)), 1, 0)</f>
        <v>1</v>
      </c>
      <c r="J480" s="232">
        <f>IF(OR(pairs[[#This Row],[Az*]]=0.5,pairs[[#This Row],[Back*]]=0.5),1,0)</f>
        <v>0</v>
      </c>
    </row>
    <row r="481" spans="1:10">
      <c r="A481" s="231" t="s">
        <v>224</v>
      </c>
      <c r="B481" s="231" t="s">
        <v>204</v>
      </c>
      <c r="C481" s="232"/>
      <c r="D481" s="232">
        <v>34.380000000000003</v>
      </c>
      <c r="E481" s="233">
        <v>3.9018999999999998E-2</v>
      </c>
      <c r="F481" s="234">
        <f>pairs[[#This Row],[ Dist]]*5280</f>
        <v>206.02032</v>
      </c>
      <c r="G481" s="232">
        <f>ROUND(pairs[[#This Row],[ Az]]-ROUNDDOWN(pairs[[#This Row],[ Az]],0),1)</f>
        <v>0</v>
      </c>
      <c r="H481" s="232">
        <f>ROUND(pairs[[#This Row],[ Back]]-ROUNDDOWN(pairs[[#This Row],[ Back]],0),1)</f>
        <v>0.4</v>
      </c>
      <c r="I481" s="232">
        <f>IF( OR( OR(pairs[[#This Row],[Az*]]=0, pairs[[#This Row],[Back*]]=0), OR(pairs[[#This Row],[Az*]]=1, pairs[[#This Row],[Back*]]=1)), 1, 0)</f>
        <v>1</v>
      </c>
      <c r="J481" s="232">
        <f>IF(OR(pairs[[#This Row],[Az*]]=0.5,pairs[[#This Row],[Back*]]=0.5),1,0)</f>
        <v>0</v>
      </c>
    </row>
    <row r="482" spans="1:10">
      <c r="A482" s="231" t="s">
        <v>224</v>
      </c>
      <c r="B482" s="231" t="s">
        <v>215</v>
      </c>
      <c r="C482" s="232"/>
      <c r="D482" s="232">
        <v>213.65</v>
      </c>
      <c r="E482" s="233">
        <v>0.91042100000000004</v>
      </c>
      <c r="F482" s="234">
        <f>pairs[[#This Row],[ Dist]]*5280</f>
        <v>4807.0228800000004</v>
      </c>
      <c r="G482" s="232">
        <f>ROUND(pairs[[#This Row],[ Az]]-ROUNDDOWN(pairs[[#This Row],[ Az]],0),1)</f>
        <v>0</v>
      </c>
      <c r="H482" s="232">
        <f>ROUND(pairs[[#This Row],[ Back]]-ROUNDDOWN(pairs[[#This Row],[ Back]],0),1)</f>
        <v>0.7</v>
      </c>
      <c r="I482" s="232">
        <f>IF( OR( OR(pairs[[#This Row],[Az*]]=0, pairs[[#This Row],[Back*]]=0), OR(pairs[[#This Row],[Az*]]=1, pairs[[#This Row],[Back*]]=1)), 1, 0)</f>
        <v>1</v>
      </c>
      <c r="J482" s="232">
        <f>IF(OR(pairs[[#This Row],[Az*]]=0.5,pairs[[#This Row],[Back*]]=0.5),1,0)</f>
        <v>0</v>
      </c>
    </row>
    <row r="483" spans="1:10">
      <c r="A483" s="231" t="s">
        <v>224</v>
      </c>
      <c r="B483" s="231" t="s">
        <v>214</v>
      </c>
      <c r="C483" s="232"/>
      <c r="D483" s="232">
        <v>244.37</v>
      </c>
      <c r="E483" s="233">
        <v>0.49067100000000002</v>
      </c>
      <c r="F483" s="234">
        <f>pairs[[#This Row],[ Dist]]*5280</f>
        <v>2590.7428800000002</v>
      </c>
      <c r="G483" s="232">
        <f>ROUND(pairs[[#This Row],[ Az]]-ROUNDDOWN(pairs[[#This Row],[ Az]],0),1)</f>
        <v>0</v>
      </c>
      <c r="H483" s="232">
        <f>ROUND(pairs[[#This Row],[ Back]]-ROUNDDOWN(pairs[[#This Row],[ Back]],0),1)</f>
        <v>0.4</v>
      </c>
      <c r="I483" s="232">
        <f>IF( OR( OR(pairs[[#This Row],[Az*]]=0, pairs[[#This Row],[Back*]]=0), OR(pairs[[#This Row],[Az*]]=1, pairs[[#This Row],[Back*]]=1)), 1, 0)</f>
        <v>1</v>
      </c>
      <c r="J483" s="232">
        <f>IF(OR(pairs[[#This Row],[Az*]]=0.5,pairs[[#This Row],[Back*]]=0.5),1,0)</f>
        <v>0</v>
      </c>
    </row>
    <row r="484" spans="1:10">
      <c r="A484" s="231" t="s">
        <v>224</v>
      </c>
      <c r="B484" s="231" t="s">
        <v>213</v>
      </c>
      <c r="C484" s="232"/>
      <c r="D484" s="232">
        <v>303.38</v>
      </c>
      <c r="E484" s="233">
        <v>0.39002999999999999</v>
      </c>
      <c r="F484" s="234">
        <f>pairs[[#This Row],[ Dist]]*5280</f>
        <v>2059.3584000000001</v>
      </c>
      <c r="G484" s="232">
        <f>ROUND(pairs[[#This Row],[ Az]]-ROUNDDOWN(pairs[[#This Row],[ Az]],0),1)</f>
        <v>0</v>
      </c>
      <c r="H484" s="232">
        <f>ROUND(pairs[[#This Row],[ Back]]-ROUNDDOWN(pairs[[#This Row],[ Back]],0),1)</f>
        <v>0.4</v>
      </c>
      <c r="I484" s="232">
        <f>IF( OR( OR(pairs[[#This Row],[Az*]]=0, pairs[[#This Row],[Back*]]=0), OR(pairs[[#This Row],[Az*]]=1, pairs[[#This Row],[Back*]]=1)), 1, 0)</f>
        <v>1</v>
      </c>
      <c r="J484" s="232">
        <f>IF(OR(pairs[[#This Row],[Az*]]=0.5,pairs[[#This Row],[Back*]]=0.5),1,0)</f>
        <v>0</v>
      </c>
    </row>
    <row r="485" spans="1:10">
      <c r="A485" s="231" t="s">
        <v>224</v>
      </c>
      <c r="B485" s="231" t="s">
        <v>212</v>
      </c>
      <c r="C485" s="232"/>
      <c r="D485" s="232">
        <v>329.2</v>
      </c>
      <c r="E485" s="233">
        <v>0.94539099999999998</v>
      </c>
      <c r="F485" s="234">
        <f>pairs[[#This Row],[ Dist]]*5280</f>
        <v>4991.6644799999995</v>
      </c>
      <c r="G485" s="232">
        <f>ROUND(pairs[[#This Row],[ Az]]-ROUNDDOWN(pairs[[#This Row],[ Az]],0),1)</f>
        <v>0</v>
      </c>
      <c r="H485" s="232">
        <f>ROUND(pairs[[#This Row],[ Back]]-ROUNDDOWN(pairs[[#This Row],[ Back]],0),1)</f>
        <v>0.2</v>
      </c>
      <c r="I485" s="232">
        <f>IF( OR( OR(pairs[[#This Row],[Az*]]=0, pairs[[#This Row],[Back*]]=0), OR(pairs[[#This Row],[Az*]]=1, pairs[[#This Row],[Back*]]=1)), 1, 0)</f>
        <v>1</v>
      </c>
      <c r="J485" s="232">
        <f>IF(OR(pairs[[#This Row],[Az*]]=0.5,pairs[[#This Row],[Back*]]=0.5),1,0)</f>
        <v>0</v>
      </c>
    </row>
    <row r="486" spans="1:10" ht="14.1">
      <c r="A486" s="206" t="s">
        <v>224</v>
      </c>
      <c r="B486" s="206" t="s">
        <v>211</v>
      </c>
      <c r="C486" s="235"/>
      <c r="D486" s="235">
        <v>1.53</v>
      </c>
      <c r="E486" s="236">
        <v>0.82125400000000004</v>
      </c>
      <c r="F486" s="237">
        <f>pairs[[#This Row],[ Dist]]*5280</f>
        <v>4336.2211200000002</v>
      </c>
      <c r="G486" s="235">
        <f>ROUND(pairs[[#This Row],[ Az]]-ROUNDDOWN(pairs[[#This Row],[ Az]],0),1)</f>
        <v>0</v>
      </c>
      <c r="H486" s="235">
        <f>ROUND(pairs[[#This Row],[ Back]]-ROUNDDOWN(pairs[[#This Row],[ Back]],0),1)</f>
        <v>0.5</v>
      </c>
      <c r="I486" s="235">
        <f>IF( OR( OR(pairs[[#This Row],[Az*]]=0, pairs[[#This Row],[Back*]]=0), OR(pairs[[#This Row],[Az*]]=1, pairs[[#This Row],[Back*]]=1)), 1, 0)</f>
        <v>1</v>
      </c>
      <c r="J486" s="235">
        <f>IF(OR(pairs[[#This Row],[Az*]]=0.5,pairs[[#This Row],[Back*]]=0.5),1,0)</f>
        <v>1</v>
      </c>
    </row>
    <row r="487" spans="1:10">
      <c r="A487" s="231" t="s">
        <v>224</v>
      </c>
      <c r="B487" s="231" t="s">
        <v>210</v>
      </c>
      <c r="C487" s="232"/>
      <c r="D487" s="232">
        <v>113.71</v>
      </c>
      <c r="E487" s="233">
        <v>0.56795499999999999</v>
      </c>
      <c r="F487" s="234">
        <f>pairs[[#This Row],[ Dist]]*5280</f>
        <v>2998.8024</v>
      </c>
      <c r="G487" s="232">
        <f>ROUND(pairs[[#This Row],[ Az]]-ROUNDDOWN(pairs[[#This Row],[ Az]],0),1)</f>
        <v>0</v>
      </c>
      <c r="H487" s="232">
        <f>ROUND(pairs[[#This Row],[ Back]]-ROUNDDOWN(pairs[[#This Row],[ Back]],0),1)</f>
        <v>0.7</v>
      </c>
      <c r="I487" s="232">
        <f>IF( OR( OR(pairs[[#This Row],[Az*]]=0, pairs[[#This Row],[Back*]]=0), OR(pairs[[#This Row],[Az*]]=1, pairs[[#This Row],[Back*]]=1)), 1, 0)</f>
        <v>1</v>
      </c>
      <c r="J487" s="232">
        <f>IF(OR(pairs[[#This Row],[Az*]]=0.5,pairs[[#This Row],[Back*]]=0.5),1,0)</f>
        <v>0</v>
      </c>
    </row>
    <row r="488" spans="1:10" ht="14.1">
      <c r="A488" s="206" t="s">
        <v>224</v>
      </c>
      <c r="B488" s="206" t="s">
        <v>209</v>
      </c>
      <c r="C488" s="235"/>
      <c r="D488" s="235">
        <v>61.48</v>
      </c>
      <c r="E488" s="236">
        <v>1.023649</v>
      </c>
      <c r="F488" s="237">
        <f>pairs[[#This Row],[ Dist]]*5280</f>
        <v>5404.86672</v>
      </c>
      <c r="G488" s="235">
        <f>ROUND(pairs[[#This Row],[ Az]]-ROUNDDOWN(pairs[[#This Row],[ Az]],0),1)</f>
        <v>0</v>
      </c>
      <c r="H488" s="235">
        <f>ROUND(pairs[[#This Row],[ Back]]-ROUNDDOWN(pairs[[#This Row],[ Back]],0),1)</f>
        <v>0.5</v>
      </c>
      <c r="I488" s="235">
        <f>IF( OR( OR(pairs[[#This Row],[Az*]]=0, pairs[[#This Row],[Back*]]=0), OR(pairs[[#This Row],[Az*]]=1, pairs[[#This Row],[Back*]]=1)), 1, 0)</f>
        <v>1</v>
      </c>
      <c r="J488" s="235">
        <f>IF(OR(pairs[[#This Row],[Az*]]=0.5,pairs[[#This Row],[Back*]]=0.5),1,0)</f>
        <v>1</v>
      </c>
    </row>
    <row r="489" spans="1:10">
      <c r="A489" s="231" t="s">
        <v>224</v>
      </c>
      <c r="B489" s="231" t="s">
        <v>208</v>
      </c>
      <c r="C489" s="232"/>
      <c r="D489" s="232">
        <v>60.73</v>
      </c>
      <c r="E489" s="233">
        <v>0.59710300000000005</v>
      </c>
      <c r="F489" s="234">
        <f>pairs[[#This Row],[ Dist]]*5280</f>
        <v>3152.7038400000001</v>
      </c>
      <c r="G489" s="232">
        <f>ROUND(pairs[[#This Row],[ Az]]-ROUNDDOWN(pairs[[#This Row],[ Az]],0),1)</f>
        <v>0</v>
      </c>
      <c r="H489" s="232">
        <f>ROUND(pairs[[#This Row],[ Back]]-ROUNDDOWN(pairs[[#This Row],[ Back]],0),1)</f>
        <v>0.7</v>
      </c>
      <c r="I489" s="232">
        <f>IF( OR( OR(pairs[[#This Row],[Az*]]=0, pairs[[#This Row],[Back*]]=0), OR(pairs[[#This Row],[Az*]]=1, pairs[[#This Row],[Back*]]=1)), 1, 0)</f>
        <v>1</v>
      </c>
      <c r="J489" s="232">
        <f>IF(OR(pairs[[#This Row],[Az*]]=0.5,pairs[[#This Row],[Back*]]=0.5),1,0)</f>
        <v>0</v>
      </c>
    </row>
    <row r="490" spans="1:10">
      <c r="A490" s="231" t="s">
        <v>224</v>
      </c>
      <c r="B490" s="231" t="s">
        <v>207</v>
      </c>
      <c r="C490" s="232"/>
      <c r="D490" s="232">
        <v>177.44</v>
      </c>
      <c r="E490" s="233">
        <v>0.48532199999999998</v>
      </c>
      <c r="F490" s="234">
        <f>pairs[[#This Row],[ Dist]]*5280</f>
        <v>2562.5001600000001</v>
      </c>
      <c r="G490" s="232">
        <f>ROUND(pairs[[#This Row],[ Az]]-ROUNDDOWN(pairs[[#This Row],[ Az]],0),1)</f>
        <v>0</v>
      </c>
      <c r="H490" s="232">
        <f>ROUND(pairs[[#This Row],[ Back]]-ROUNDDOWN(pairs[[#This Row],[ Back]],0),1)</f>
        <v>0.4</v>
      </c>
      <c r="I490" s="232">
        <f>IF( OR( OR(pairs[[#This Row],[Az*]]=0, pairs[[#This Row],[Back*]]=0), OR(pairs[[#This Row],[Az*]]=1, pairs[[#This Row],[Back*]]=1)), 1, 0)</f>
        <v>1</v>
      </c>
      <c r="J490" s="232">
        <f>IF(OR(pairs[[#This Row],[Az*]]=0.5,pairs[[#This Row],[Back*]]=0.5),1,0)</f>
        <v>0</v>
      </c>
    </row>
    <row r="491" spans="1:10" ht="14.1">
      <c r="A491" s="206" t="s">
        <v>224</v>
      </c>
      <c r="B491" s="206" t="s">
        <v>206</v>
      </c>
      <c r="C491" s="235"/>
      <c r="D491" s="235">
        <v>333.54</v>
      </c>
      <c r="E491" s="236">
        <v>0.31191000000000002</v>
      </c>
      <c r="F491" s="237">
        <f>pairs[[#This Row],[ Dist]]*5280</f>
        <v>1646.8848</v>
      </c>
      <c r="G491" s="235">
        <f>ROUND(pairs[[#This Row],[ Az]]-ROUNDDOWN(pairs[[#This Row],[ Az]],0),1)</f>
        <v>0</v>
      </c>
      <c r="H491" s="235">
        <f>ROUND(pairs[[#This Row],[ Back]]-ROUNDDOWN(pairs[[#This Row],[ Back]],0),1)</f>
        <v>0.5</v>
      </c>
      <c r="I491" s="235">
        <f>IF( OR( OR(pairs[[#This Row],[Az*]]=0, pairs[[#This Row],[Back*]]=0), OR(pairs[[#This Row],[Az*]]=1, pairs[[#This Row],[Back*]]=1)), 1, 0)</f>
        <v>1</v>
      </c>
      <c r="J491" s="235">
        <f>IF(OR(pairs[[#This Row],[Az*]]=0.5,pairs[[#This Row],[Back*]]=0.5),1,0)</f>
        <v>1</v>
      </c>
    </row>
    <row r="492" spans="1:10">
      <c r="A492" s="231" t="s">
        <v>224</v>
      </c>
      <c r="B492" s="231" t="s">
        <v>205</v>
      </c>
      <c r="C492" s="232"/>
      <c r="D492" s="232">
        <v>213.58</v>
      </c>
      <c r="E492" s="233">
        <v>0.143313</v>
      </c>
      <c r="F492" s="234">
        <f>pairs[[#This Row],[ Dist]]*5280</f>
        <v>756.69263999999998</v>
      </c>
      <c r="G492" s="232">
        <f>ROUND(pairs[[#This Row],[ Az]]-ROUNDDOWN(pairs[[#This Row],[ Az]],0),1)</f>
        <v>0</v>
      </c>
      <c r="H492" s="232">
        <f>ROUND(pairs[[#This Row],[ Back]]-ROUNDDOWN(pairs[[#This Row],[ Back]],0),1)</f>
        <v>0.6</v>
      </c>
      <c r="I492" s="232">
        <f>IF( OR( OR(pairs[[#This Row],[Az*]]=0, pairs[[#This Row],[Back*]]=0), OR(pairs[[#This Row],[Az*]]=1, pairs[[#This Row],[Back*]]=1)), 1, 0)</f>
        <v>1</v>
      </c>
      <c r="J492" s="232">
        <f>IF(OR(pairs[[#This Row],[Az*]]=0.5,pairs[[#This Row],[Back*]]=0.5),1,0)</f>
        <v>0</v>
      </c>
    </row>
    <row r="493" spans="1:10">
      <c r="A493" s="231" t="s">
        <v>223</v>
      </c>
      <c r="B493" s="231" t="s">
        <v>217</v>
      </c>
      <c r="C493" s="232"/>
      <c r="D493" s="232">
        <v>60.7</v>
      </c>
      <c r="E493" s="233">
        <v>0.13747699999999999</v>
      </c>
      <c r="F493" s="234">
        <f>pairs[[#This Row],[ Dist]]*5280</f>
        <v>725.87855999999999</v>
      </c>
      <c r="G493" s="232">
        <f>ROUND(pairs[[#This Row],[ Az]]-ROUNDDOWN(pairs[[#This Row],[ Az]],0),1)</f>
        <v>0</v>
      </c>
      <c r="H493" s="232">
        <f>ROUND(pairs[[#This Row],[ Back]]-ROUNDDOWN(pairs[[#This Row],[ Back]],0),1)</f>
        <v>0.7</v>
      </c>
      <c r="I493" s="232">
        <f>IF( OR( OR(pairs[[#This Row],[Az*]]=0, pairs[[#This Row],[Back*]]=0), OR(pairs[[#This Row],[Az*]]=1, pairs[[#This Row],[Back*]]=1)), 1, 0)</f>
        <v>1</v>
      </c>
      <c r="J493" s="232">
        <f>IF(OR(pairs[[#This Row],[Az*]]=0.5,pairs[[#This Row],[Back*]]=0.5),1,0)</f>
        <v>0</v>
      </c>
    </row>
    <row r="494" spans="1:10">
      <c r="A494" s="231" t="s">
        <v>223</v>
      </c>
      <c r="B494" s="231" t="s">
        <v>196</v>
      </c>
      <c r="C494" s="232"/>
      <c r="D494" s="232">
        <v>90.84</v>
      </c>
      <c r="E494" s="233">
        <v>0.11999899999999999</v>
      </c>
      <c r="F494" s="234">
        <f>pairs[[#This Row],[ Dist]]*5280</f>
        <v>633.59471999999994</v>
      </c>
      <c r="G494" s="232">
        <f>ROUND(pairs[[#This Row],[ Az]]-ROUNDDOWN(pairs[[#This Row],[ Az]],0),1)</f>
        <v>0</v>
      </c>
      <c r="H494" s="232">
        <f>ROUND(pairs[[#This Row],[ Back]]-ROUNDDOWN(pairs[[#This Row],[ Back]],0),1)</f>
        <v>0.8</v>
      </c>
      <c r="I494" s="232">
        <f>IF( OR( OR(pairs[[#This Row],[Az*]]=0, pairs[[#This Row],[Back*]]=0), OR(pairs[[#This Row],[Az*]]=1, pairs[[#This Row],[Back*]]=1)), 1, 0)</f>
        <v>1</v>
      </c>
      <c r="J494" s="232">
        <f>IF(OR(pairs[[#This Row],[Az*]]=0.5,pairs[[#This Row],[Back*]]=0.5),1,0)</f>
        <v>0</v>
      </c>
    </row>
    <row r="495" spans="1:10" ht="14.1">
      <c r="A495" s="23" t="s">
        <v>223</v>
      </c>
      <c r="B495" s="23" t="s">
        <v>197</v>
      </c>
      <c r="C495" s="229"/>
      <c r="D495" s="229">
        <v>268.97000000000003</v>
      </c>
      <c r="E495" s="25">
        <v>3.9563000000000001E-2</v>
      </c>
      <c r="F495" s="230">
        <f>pairs[[#This Row],[ Dist]]*5280</f>
        <v>208.89264</v>
      </c>
      <c r="G495" s="232">
        <f>ROUND(pairs[[#This Row],[ Az]]-ROUNDDOWN(pairs[[#This Row],[ Az]],0),1)</f>
        <v>0</v>
      </c>
      <c r="H495" s="232">
        <f>ROUND(pairs[[#This Row],[ Back]]-ROUNDDOWN(pairs[[#This Row],[ Back]],0),1)</f>
        <v>1</v>
      </c>
      <c r="I495" s="232">
        <f>IF( OR( OR(pairs[[#This Row],[Az*]]=0, pairs[[#This Row],[Back*]]=0), OR(pairs[[#This Row],[Az*]]=1, pairs[[#This Row],[Back*]]=1)), 1, 0)</f>
        <v>1</v>
      </c>
      <c r="J495" s="232">
        <f>IF(OR(pairs[[#This Row],[Az*]]=0.5,pairs[[#This Row],[Back*]]=0.5),1,0)</f>
        <v>0</v>
      </c>
    </row>
    <row r="496" spans="1:10">
      <c r="A496" s="231" t="s">
        <v>223</v>
      </c>
      <c r="B496" s="231" t="s">
        <v>198</v>
      </c>
      <c r="C496" s="232"/>
      <c r="D496" s="232">
        <v>329.36</v>
      </c>
      <c r="E496" s="233">
        <v>8.0082E-2</v>
      </c>
      <c r="F496" s="234">
        <f>pairs[[#This Row],[ Dist]]*5280</f>
        <v>422.83296000000001</v>
      </c>
      <c r="G496" s="232">
        <f>ROUND(pairs[[#This Row],[ Az]]-ROUNDDOWN(pairs[[#This Row],[ Az]],0),1)</f>
        <v>0</v>
      </c>
      <c r="H496" s="232">
        <f>ROUND(pairs[[#This Row],[ Back]]-ROUNDDOWN(pairs[[#This Row],[ Back]],0),1)</f>
        <v>0.4</v>
      </c>
      <c r="I496" s="232">
        <f>IF( OR( OR(pairs[[#This Row],[Az*]]=0, pairs[[#This Row],[Back*]]=0), OR(pairs[[#This Row],[Az*]]=1, pairs[[#This Row],[Back*]]=1)), 1, 0)</f>
        <v>1</v>
      </c>
      <c r="J496" s="232">
        <f>IF(OR(pairs[[#This Row],[Az*]]=0.5,pairs[[#This Row],[Back*]]=0.5),1,0)</f>
        <v>0</v>
      </c>
    </row>
    <row r="497" spans="1:10">
      <c r="A497" s="231" t="s">
        <v>223</v>
      </c>
      <c r="B497" s="231" t="s">
        <v>199</v>
      </c>
      <c r="C497" s="232"/>
      <c r="D497" s="232">
        <v>39.380000000000003</v>
      </c>
      <c r="E497" s="233">
        <v>9.0205999999999995E-2</v>
      </c>
      <c r="F497" s="234">
        <f>pairs[[#This Row],[ Dist]]*5280</f>
        <v>476.28767999999997</v>
      </c>
      <c r="G497" s="232">
        <f>ROUND(pairs[[#This Row],[ Az]]-ROUNDDOWN(pairs[[#This Row],[ Az]],0),1)</f>
        <v>0</v>
      </c>
      <c r="H497" s="232">
        <f>ROUND(pairs[[#This Row],[ Back]]-ROUNDDOWN(pairs[[#This Row],[ Back]],0),1)</f>
        <v>0.4</v>
      </c>
      <c r="I497" s="232">
        <f>IF( OR( OR(pairs[[#This Row],[Az*]]=0, pairs[[#This Row],[Back*]]=0), OR(pairs[[#This Row],[Az*]]=1, pairs[[#This Row],[Back*]]=1)), 1, 0)</f>
        <v>1</v>
      </c>
      <c r="J497" s="232">
        <f>IF(OR(pairs[[#This Row],[Az*]]=0.5,pairs[[#This Row],[Back*]]=0.5),1,0)</f>
        <v>0</v>
      </c>
    </row>
    <row r="498" spans="1:10" ht="14.1">
      <c r="A498" s="206" t="s">
        <v>223</v>
      </c>
      <c r="B498" s="206" t="s">
        <v>200</v>
      </c>
      <c r="C498" s="235"/>
      <c r="D498" s="235">
        <v>24.48</v>
      </c>
      <c r="E498" s="236">
        <v>7.6655000000000001E-2</v>
      </c>
      <c r="F498" s="237">
        <f>pairs[[#This Row],[ Dist]]*5280</f>
        <v>404.73840000000001</v>
      </c>
      <c r="G498" s="235">
        <f>ROUND(pairs[[#This Row],[ Az]]-ROUNDDOWN(pairs[[#This Row],[ Az]],0),1)</f>
        <v>0</v>
      </c>
      <c r="H498" s="235">
        <f>ROUND(pairs[[#This Row],[ Back]]-ROUNDDOWN(pairs[[#This Row],[ Back]],0),1)</f>
        <v>0.5</v>
      </c>
      <c r="I498" s="235">
        <f>IF( OR( OR(pairs[[#This Row],[Az*]]=0, pairs[[#This Row],[Back*]]=0), OR(pairs[[#This Row],[Az*]]=1, pairs[[#This Row],[Back*]]=1)), 1, 0)</f>
        <v>1</v>
      </c>
      <c r="J498" s="235">
        <f>IF(OR(pairs[[#This Row],[Az*]]=0.5,pairs[[#This Row],[Back*]]=0.5),1,0)</f>
        <v>1</v>
      </c>
    </row>
    <row r="499" spans="1:10" ht="14.1">
      <c r="A499" s="206" t="s">
        <v>223</v>
      </c>
      <c r="B499" s="206" t="s">
        <v>201</v>
      </c>
      <c r="C499" s="235"/>
      <c r="D499" s="235">
        <v>347.49</v>
      </c>
      <c r="E499" s="236">
        <v>7.1827000000000002E-2</v>
      </c>
      <c r="F499" s="237">
        <f>pairs[[#This Row],[ Dist]]*5280</f>
        <v>379.24655999999999</v>
      </c>
      <c r="G499" s="235">
        <f>ROUND(pairs[[#This Row],[ Az]]-ROUNDDOWN(pairs[[#This Row],[ Az]],0),1)</f>
        <v>0</v>
      </c>
      <c r="H499" s="235">
        <f>ROUND(pairs[[#This Row],[ Back]]-ROUNDDOWN(pairs[[#This Row],[ Back]],0),1)</f>
        <v>0.5</v>
      </c>
      <c r="I499" s="235">
        <f>IF( OR( OR(pairs[[#This Row],[Az*]]=0, pairs[[#This Row],[Back*]]=0), OR(pairs[[#This Row],[Az*]]=1, pairs[[#This Row],[Back*]]=1)), 1, 0)</f>
        <v>1</v>
      </c>
      <c r="J499" s="235">
        <f>IF(OR(pairs[[#This Row],[Az*]]=0.5,pairs[[#This Row],[Back*]]=0.5),1,0)</f>
        <v>1</v>
      </c>
    </row>
    <row r="500" spans="1:10">
      <c r="A500" s="231" t="s">
        <v>223</v>
      </c>
      <c r="B500" s="231" t="s">
        <v>203</v>
      </c>
      <c r="C500" s="232"/>
      <c r="D500" s="232">
        <v>91.07</v>
      </c>
      <c r="E500" s="233">
        <v>3.5355999999999999E-2</v>
      </c>
      <c r="F500" s="234">
        <f>pairs[[#This Row],[ Dist]]*5280</f>
        <v>186.67967999999999</v>
      </c>
      <c r="G500" s="232">
        <f>ROUND(pairs[[#This Row],[ Az]]-ROUNDDOWN(pairs[[#This Row],[ Az]],0),1)</f>
        <v>0</v>
      </c>
      <c r="H500" s="232">
        <f>ROUND(pairs[[#This Row],[ Back]]-ROUNDDOWN(pairs[[#This Row],[ Back]],0),1)</f>
        <v>0.1</v>
      </c>
      <c r="I500" s="232">
        <f>IF( OR( OR(pairs[[#This Row],[Az*]]=0, pairs[[#This Row],[Back*]]=0), OR(pairs[[#This Row],[Az*]]=1, pairs[[#This Row],[Back*]]=1)), 1, 0)</f>
        <v>1</v>
      </c>
      <c r="J500" s="232">
        <f>IF(OR(pairs[[#This Row],[Az*]]=0.5,pairs[[#This Row],[Back*]]=0.5),1,0)</f>
        <v>0</v>
      </c>
    </row>
    <row r="501" spans="1:10">
      <c r="A501" s="231" t="s">
        <v>223</v>
      </c>
      <c r="B501" s="231" t="s">
        <v>204</v>
      </c>
      <c r="C501" s="232"/>
      <c r="D501" s="232">
        <v>61.2</v>
      </c>
      <c r="E501" s="233">
        <v>6.5480999999999998E-2</v>
      </c>
      <c r="F501" s="234">
        <f>pairs[[#This Row],[ Dist]]*5280</f>
        <v>345.73967999999996</v>
      </c>
      <c r="G501" s="232">
        <f>ROUND(pairs[[#This Row],[ Az]]-ROUNDDOWN(pairs[[#This Row],[ Az]],0),1)</f>
        <v>0</v>
      </c>
      <c r="H501" s="232">
        <f>ROUND(pairs[[#This Row],[ Back]]-ROUNDDOWN(pairs[[#This Row],[ Back]],0),1)</f>
        <v>0.2</v>
      </c>
      <c r="I501" s="232">
        <f>IF( OR( OR(pairs[[#This Row],[Az*]]=0, pairs[[#This Row],[Back*]]=0), OR(pairs[[#This Row],[Az*]]=1, pairs[[#This Row],[Back*]]=1)), 1, 0)</f>
        <v>1</v>
      </c>
      <c r="J501" s="232">
        <f>IF(OR(pairs[[#This Row],[Az*]]=0.5,pairs[[#This Row],[Back*]]=0.5),1,0)</f>
        <v>0</v>
      </c>
    </row>
    <row r="502" spans="1:10">
      <c r="A502" s="231" t="s">
        <v>223</v>
      </c>
      <c r="B502" s="231" t="s">
        <v>215</v>
      </c>
      <c r="C502" s="232"/>
      <c r="D502" s="232">
        <v>211.74</v>
      </c>
      <c r="E502" s="233">
        <v>0.89188299999999998</v>
      </c>
      <c r="F502" s="234">
        <f>pairs[[#This Row],[ Dist]]*5280</f>
        <v>4709.1422400000001</v>
      </c>
      <c r="G502" s="232">
        <f>ROUND(pairs[[#This Row],[ Az]]-ROUNDDOWN(pairs[[#This Row],[ Az]],0),1)</f>
        <v>0</v>
      </c>
      <c r="H502" s="232">
        <f>ROUND(pairs[[#This Row],[ Back]]-ROUNDDOWN(pairs[[#This Row],[ Back]],0),1)</f>
        <v>0.7</v>
      </c>
      <c r="I502" s="232">
        <f>IF( OR( OR(pairs[[#This Row],[Az*]]=0, pairs[[#This Row],[Back*]]=0), OR(pairs[[#This Row],[Az*]]=1, pairs[[#This Row],[Back*]]=1)), 1, 0)</f>
        <v>1</v>
      </c>
      <c r="J502" s="232">
        <f>IF(OR(pairs[[#This Row],[Az*]]=0.5,pairs[[#This Row],[Back*]]=0.5),1,0)</f>
        <v>0</v>
      </c>
    </row>
    <row r="503" spans="1:10">
      <c r="A503" s="231" t="s">
        <v>223</v>
      </c>
      <c r="B503" s="231" t="s">
        <v>214</v>
      </c>
      <c r="C503" s="232"/>
      <c r="D503" s="232">
        <v>242.39</v>
      </c>
      <c r="E503" s="233">
        <v>0.45935900000000002</v>
      </c>
      <c r="F503" s="234">
        <f>pairs[[#This Row],[ Dist]]*5280</f>
        <v>2425.41552</v>
      </c>
      <c r="G503" s="232">
        <f>ROUND(pairs[[#This Row],[ Az]]-ROUNDDOWN(pairs[[#This Row],[ Az]],0),1)</f>
        <v>0</v>
      </c>
      <c r="H503" s="232">
        <f>ROUND(pairs[[#This Row],[ Back]]-ROUNDDOWN(pairs[[#This Row],[ Back]],0),1)</f>
        <v>0.4</v>
      </c>
      <c r="I503" s="232">
        <f>IF( OR( OR(pairs[[#This Row],[Az*]]=0, pairs[[#This Row],[Back*]]=0), OR(pairs[[#This Row],[Az*]]=1, pairs[[#This Row],[Back*]]=1)), 1, 0)</f>
        <v>1</v>
      </c>
      <c r="J503" s="232">
        <f>IF(OR(pairs[[#This Row],[Az*]]=0.5,pairs[[#This Row],[Back*]]=0.5),1,0)</f>
        <v>0</v>
      </c>
    </row>
    <row r="504" spans="1:10">
      <c r="A504" s="231" t="s">
        <v>223</v>
      </c>
      <c r="B504" s="231" t="s">
        <v>213</v>
      </c>
      <c r="C504" s="232"/>
      <c r="D504" s="232">
        <v>306.38</v>
      </c>
      <c r="E504" s="233">
        <v>0.36064299999999999</v>
      </c>
      <c r="F504" s="234">
        <f>pairs[[#This Row],[ Dist]]*5280</f>
        <v>1904.1950400000001</v>
      </c>
      <c r="G504" s="232">
        <f>ROUND(pairs[[#This Row],[ Az]]-ROUNDDOWN(pairs[[#This Row],[ Az]],0),1)</f>
        <v>0</v>
      </c>
      <c r="H504" s="232">
        <f>ROUND(pairs[[#This Row],[ Back]]-ROUNDDOWN(pairs[[#This Row],[ Back]],0),1)</f>
        <v>0.4</v>
      </c>
      <c r="I504" s="232">
        <f>IF( OR( OR(pairs[[#This Row],[Az*]]=0, pairs[[#This Row],[Back*]]=0), OR(pairs[[#This Row],[Az*]]=1, pairs[[#This Row],[Back*]]=1)), 1, 0)</f>
        <v>1</v>
      </c>
      <c r="J504" s="232">
        <f>IF(OR(pairs[[#This Row],[Az*]]=0.5,pairs[[#This Row],[Back*]]=0.5),1,0)</f>
        <v>0</v>
      </c>
    </row>
    <row r="505" spans="1:10">
      <c r="A505" s="231" t="s">
        <v>223</v>
      </c>
      <c r="B505" s="231" t="s">
        <v>212</v>
      </c>
      <c r="C505" s="232"/>
      <c r="D505" s="232">
        <v>331.05</v>
      </c>
      <c r="E505" s="233">
        <v>0.92720599999999997</v>
      </c>
      <c r="F505" s="234">
        <f>pairs[[#This Row],[ Dist]]*5280</f>
        <v>4895.64768</v>
      </c>
      <c r="G505" s="232">
        <f>ROUND(pairs[[#This Row],[ Az]]-ROUNDDOWN(pairs[[#This Row],[ Az]],0),1)</f>
        <v>0</v>
      </c>
      <c r="H505" s="232">
        <f>ROUND(pairs[[#This Row],[ Back]]-ROUNDDOWN(pairs[[#This Row],[ Back]],0),1)</f>
        <v>0.1</v>
      </c>
      <c r="I505" s="232">
        <f>IF( OR( OR(pairs[[#This Row],[Az*]]=0, pairs[[#This Row],[Back*]]=0), OR(pairs[[#This Row],[Az*]]=1, pairs[[#This Row],[Back*]]=1)), 1, 0)</f>
        <v>1</v>
      </c>
      <c r="J505" s="232">
        <f>IF(OR(pairs[[#This Row],[Az*]]=0.5,pairs[[#This Row],[Back*]]=0.5),1,0)</f>
        <v>0</v>
      </c>
    </row>
    <row r="506" spans="1:10" ht="14.1">
      <c r="A506" s="23" t="s">
        <v>223</v>
      </c>
      <c r="B506" s="23" t="s">
        <v>211</v>
      </c>
      <c r="C506" s="229"/>
      <c r="D506" s="229">
        <v>3.99</v>
      </c>
      <c r="E506" s="25">
        <v>0.82229799999999997</v>
      </c>
      <c r="F506" s="230">
        <f>pairs[[#This Row],[ Dist]]*5280</f>
        <v>4341.73344</v>
      </c>
      <c r="G506" s="232">
        <f>ROUND(pairs[[#This Row],[ Az]]-ROUNDDOWN(pairs[[#This Row],[ Az]],0),1)</f>
        <v>0</v>
      </c>
      <c r="H506" s="232">
        <f>ROUND(pairs[[#This Row],[ Back]]-ROUNDDOWN(pairs[[#This Row],[ Back]],0),1)</f>
        <v>1</v>
      </c>
      <c r="I506" s="232">
        <f>IF( OR( OR(pairs[[#This Row],[Az*]]=0, pairs[[#This Row],[Back*]]=0), OR(pairs[[#This Row],[Az*]]=1, pairs[[#This Row],[Back*]]=1)), 1, 0)</f>
        <v>1</v>
      </c>
      <c r="J506" s="232">
        <f>IF(OR(pairs[[#This Row],[Az*]]=0.5,pairs[[#This Row],[Back*]]=0.5),1,0)</f>
        <v>0</v>
      </c>
    </row>
    <row r="507" spans="1:10">
      <c r="A507" s="231" t="s">
        <v>223</v>
      </c>
      <c r="B507" s="231" t="s">
        <v>210</v>
      </c>
      <c r="C507" s="232"/>
      <c r="D507" s="232">
        <v>112.41</v>
      </c>
      <c r="E507" s="233">
        <v>0.60073900000000002</v>
      </c>
      <c r="F507" s="234">
        <f>pairs[[#This Row],[ Dist]]*5280</f>
        <v>3171.9019200000002</v>
      </c>
      <c r="G507" s="232">
        <f>ROUND(pairs[[#This Row],[ Az]]-ROUNDDOWN(pairs[[#This Row],[ Az]],0),1)</f>
        <v>0</v>
      </c>
      <c r="H507" s="232">
        <f>ROUND(pairs[[#This Row],[ Back]]-ROUNDDOWN(pairs[[#This Row],[ Back]],0),1)</f>
        <v>0.4</v>
      </c>
      <c r="I507" s="232">
        <f>IF( OR( OR(pairs[[#This Row],[Az*]]=0, pairs[[#This Row],[Back*]]=0), OR(pairs[[#This Row],[Az*]]=1, pairs[[#This Row],[Back*]]=1)), 1, 0)</f>
        <v>1</v>
      </c>
      <c r="J507" s="232">
        <f>IF(OR(pairs[[#This Row],[Az*]]=0.5,pairs[[#This Row],[Back*]]=0.5),1,0)</f>
        <v>0</v>
      </c>
    </row>
    <row r="508" spans="1:10">
      <c r="A508" s="231" t="s">
        <v>223</v>
      </c>
      <c r="B508" s="231" t="s">
        <v>209</v>
      </c>
      <c r="C508" s="232"/>
      <c r="D508" s="232">
        <v>62.43</v>
      </c>
      <c r="E508" s="233">
        <v>1.0545420000000001</v>
      </c>
      <c r="F508" s="234">
        <f>pairs[[#This Row],[ Dist]]*5280</f>
        <v>5567.9817600000006</v>
      </c>
      <c r="G508" s="232">
        <f>ROUND(pairs[[#This Row],[ Az]]-ROUNDDOWN(pairs[[#This Row],[ Az]],0),1)</f>
        <v>0</v>
      </c>
      <c r="H508" s="232">
        <f>ROUND(pairs[[#This Row],[ Back]]-ROUNDDOWN(pairs[[#This Row],[ Back]],0),1)</f>
        <v>0.4</v>
      </c>
      <c r="I508" s="232">
        <f>IF( OR( OR(pairs[[#This Row],[Az*]]=0, pairs[[#This Row],[Back*]]=0), OR(pairs[[#This Row],[Az*]]=1, pairs[[#This Row],[Back*]]=1)), 1, 0)</f>
        <v>1</v>
      </c>
      <c r="J508" s="232">
        <f>IF(OR(pairs[[#This Row],[Az*]]=0.5,pairs[[#This Row],[Back*]]=0.5),1,0)</f>
        <v>0</v>
      </c>
    </row>
    <row r="509" spans="1:10">
      <c r="A509" s="231" t="s">
        <v>223</v>
      </c>
      <c r="B509" s="231" t="s">
        <v>208</v>
      </c>
      <c r="C509" s="232"/>
      <c r="D509" s="232">
        <v>62.36</v>
      </c>
      <c r="E509" s="233">
        <v>0.62787300000000001</v>
      </c>
      <c r="F509" s="234">
        <f>pairs[[#This Row],[ Dist]]*5280</f>
        <v>3315.1694400000001</v>
      </c>
      <c r="G509" s="232">
        <f>ROUND(pairs[[#This Row],[ Az]]-ROUNDDOWN(pairs[[#This Row],[ Az]],0),1)</f>
        <v>0</v>
      </c>
      <c r="H509" s="232">
        <f>ROUND(pairs[[#This Row],[ Back]]-ROUNDDOWN(pairs[[#This Row],[ Back]],0),1)</f>
        <v>0.4</v>
      </c>
      <c r="I509" s="232">
        <f>IF( OR( OR(pairs[[#This Row],[Az*]]=0, pairs[[#This Row],[Back*]]=0), OR(pairs[[#This Row],[Az*]]=1, pairs[[#This Row],[Back*]]=1)), 1, 0)</f>
        <v>1</v>
      </c>
      <c r="J509" s="232">
        <f>IF(OR(pairs[[#This Row],[Az*]]=0.5,pairs[[#This Row],[Back*]]=0.5),1,0)</f>
        <v>0</v>
      </c>
    </row>
    <row r="510" spans="1:10">
      <c r="A510" s="231" t="s">
        <v>223</v>
      </c>
      <c r="B510" s="231" t="s">
        <v>207</v>
      </c>
      <c r="C510" s="232"/>
      <c r="D510" s="232">
        <v>173.3</v>
      </c>
      <c r="E510" s="233">
        <v>0.48883599999999999</v>
      </c>
      <c r="F510" s="234">
        <f>pairs[[#This Row],[ Dist]]*5280</f>
        <v>2581.0540799999999</v>
      </c>
      <c r="G510" s="232">
        <f>ROUND(pairs[[#This Row],[ Az]]-ROUNDDOWN(pairs[[#This Row],[ Az]],0),1)</f>
        <v>0</v>
      </c>
      <c r="H510" s="232">
        <f>ROUND(pairs[[#This Row],[ Back]]-ROUNDDOWN(pairs[[#This Row],[ Back]],0),1)</f>
        <v>0.3</v>
      </c>
      <c r="I510" s="232">
        <f>IF( OR( OR(pairs[[#This Row],[Az*]]=0, pairs[[#This Row],[Back*]]=0), OR(pairs[[#This Row],[Az*]]=1, pairs[[#This Row],[Back*]]=1)), 1, 0)</f>
        <v>1</v>
      </c>
      <c r="J510" s="232">
        <f>IF(OR(pairs[[#This Row],[Az*]]=0.5,pairs[[#This Row],[Back*]]=0.5),1,0)</f>
        <v>0</v>
      </c>
    </row>
    <row r="511" spans="1:10">
      <c r="A511" s="231" t="s">
        <v>223</v>
      </c>
      <c r="B511" s="231" t="s">
        <v>206</v>
      </c>
      <c r="C511" s="232"/>
      <c r="D511" s="232">
        <v>339.6</v>
      </c>
      <c r="E511" s="233">
        <v>0.29722900000000002</v>
      </c>
      <c r="F511" s="234">
        <f>pairs[[#This Row],[ Dist]]*5280</f>
        <v>1569.3691200000001</v>
      </c>
      <c r="G511" s="232">
        <f>ROUND(pairs[[#This Row],[ Az]]-ROUNDDOWN(pairs[[#This Row],[ Az]],0),1)</f>
        <v>0</v>
      </c>
      <c r="H511" s="232">
        <f>ROUND(pairs[[#This Row],[ Back]]-ROUNDDOWN(pairs[[#This Row],[ Back]],0),1)</f>
        <v>0.6</v>
      </c>
      <c r="I511" s="232">
        <f>IF( OR( OR(pairs[[#This Row],[Az*]]=0, pairs[[#This Row],[Back*]]=0), OR(pairs[[#This Row],[Az*]]=1, pairs[[#This Row],[Back*]]=1)), 1, 0)</f>
        <v>1</v>
      </c>
      <c r="J511" s="232">
        <f>IF(OR(pairs[[#This Row],[Az*]]=0.5,pairs[[#This Row],[Back*]]=0.5),1,0)</f>
        <v>0</v>
      </c>
    </row>
    <row r="512" spans="1:10">
      <c r="A512" s="231" t="s">
        <v>223</v>
      </c>
      <c r="B512" s="231" t="s">
        <v>205</v>
      </c>
      <c r="C512" s="232"/>
      <c r="D512" s="232">
        <v>200.09</v>
      </c>
      <c r="E512" s="233">
        <v>0.12783700000000001</v>
      </c>
      <c r="F512" s="234">
        <f>pairs[[#This Row],[ Dist]]*5280</f>
        <v>674.97936000000004</v>
      </c>
      <c r="G512" s="232">
        <f>ROUND(pairs[[#This Row],[ Az]]-ROUNDDOWN(pairs[[#This Row],[ Az]],0),1)</f>
        <v>0</v>
      </c>
      <c r="H512" s="232">
        <f>ROUND(pairs[[#This Row],[ Back]]-ROUNDDOWN(pairs[[#This Row],[ Back]],0),1)</f>
        <v>0.1</v>
      </c>
      <c r="I512" s="232">
        <f>IF( OR( OR(pairs[[#This Row],[Az*]]=0, pairs[[#This Row],[Back*]]=0), OR(pairs[[#This Row],[Az*]]=1, pairs[[#This Row],[Back*]]=1)), 1, 0)</f>
        <v>1</v>
      </c>
      <c r="J512" s="232">
        <f>IF(OR(pairs[[#This Row],[Az*]]=0.5,pairs[[#This Row],[Back*]]=0.5),1,0)</f>
        <v>0</v>
      </c>
    </row>
    <row r="513" spans="1:10">
      <c r="A513" s="231" t="s">
        <v>222</v>
      </c>
      <c r="B513" s="231" t="s">
        <v>217</v>
      </c>
      <c r="C513" s="232"/>
      <c r="D513" s="232">
        <v>91.21</v>
      </c>
      <c r="E513" s="233">
        <v>0.135487</v>
      </c>
      <c r="F513" s="234">
        <f>pairs[[#This Row],[ Dist]]*5280</f>
        <v>715.37135999999998</v>
      </c>
      <c r="G513" s="232">
        <f>ROUND(pairs[[#This Row],[ Az]]-ROUNDDOWN(pairs[[#This Row],[ Az]],0),1)</f>
        <v>0</v>
      </c>
      <c r="H513" s="232">
        <f>ROUND(pairs[[#This Row],[ Back]]-ROUNDDOWN(pairs[[#This Row],[ Back]],0),1)</f>
        <v>0.2</v>
      </c>
      <c r="I513" s="232">
        <f>IF( OR( OR(pairs[[#This Row],[Az*]]=0, pairs[[#This Row],[Back*]]=0), OR(pairs[[#This Row],[Az*]]=1, pairs[[#This Row],[Back*]]=1)), 1, 0)</f>
        <v>1</v>
      </c>
      <c r="J513" s="232">
        <f>IF(OR(pairs[[#This Row],[Az*]]=0.5,pairs[[#This Row],[Back*]]=0.5),1,0)</f>
        <v>0</v>
      </c>
    </row>
    <row r="514" spans="1:10">
      <c r="A514" s="231" t="s">
        <v>222</v>
      </c>
      <c r="B514" s="231" t="s">
        <v>196</v>
      </c>
      <c r="C514" s="232"/>
      <c r="D514" s="232">
        <v>117.94</v>
      </c>
      <c r="E514" s="233">
        <v>0.15343200000000001</v>
      </c>
      <c r="F514" s="234">
        <f>pairs[[#This Row],[ Dist]]*5280</f>
        <v>810.12096000000008</v>
      </c>
      <c r="G514" s="232">
        <f>ROUND(pairs[[#This Row],[ Az]]-ROUNDDOWN(pairs[[#This Row],[ Az]],0),1)</f>
        <v>0</v>
      </c>
      <c r="H514" s="232">
        <f>ROUND(pairs[[#This Row],[ Back]]-ROUNDDOWN(pairs[[#This Row],[ Back]],0),1)</f>
        <v>0.9</v>
      </c>
      <c r="I514" s="232">
        <f>IF( OR( OR(pairs[[#This Row],[Az*]]=0, pairs[[#This Row],[Back*]]=0), OR(pairs[[#This Row],[Az*]]=1, pairs[[#This Row],[Back*]]=1)), 1, 0)</f>
        <v>1</v>
      </c>
      <c r="J514" s="232">
        <f>IF(OR(pairs[[#This Row],[Az*]]=0.5,pairs[[#This Row],[Back*]]=0.5),1,0)</f>
        <v>0</v>
      </c>
    </row>
    <row r="515" spans="1:10">
      <c r="A515" s="231" t="s">
        <v>222</v>
      </c>
      <c r="B515" s="231" t="s">
        <v>197</v>
      </c>
      <c r="C515" s="232"/>
      <c r="D515" s="232">
        <v>198.71</v>
      </c>
      <c r="E515" s="233">
        <v>7.4789999999999995E-2</v>
      </c>
      <c r="F515" s="234">
        <f>pairs[[#This Row],[ Dist]]*5280</f>
        <v>394.89119999999997</v>
      </c>
      <c r="G515" s="232">
        <f>ROUND(pairs[[#This Row],[ Az]]-ROUNDDOWN(pairs[[#This Row],[ Az]],0),1)</f>
        <v>0</v>
      </c>
      <c r="H515" s="232">
        <f>ROUND(pairs[[#This Row],[ Back]]-ROUNDDOWN(pairs[[#This Row],[ Back]],0),1)</f>
        <v>0.7</v>
      </c>
      <c r="I515" s="232">
        <f>IF( OR( OR(pairs[[#This Row],[Az*]]=0, pairs[[#This Row],[Back*]]=0), OR(pairs[[#This Row],[Az*]]=1, pairs[[#This Row],[Back*]]=1)), 1, 0)</f>
        <v>1</v>
      </c>
      <c r="J515" s="232">
        <f>IF(OR(pairs[[#This Row],[Az*]]=0.5,pairs[[#This Row],[Back*]]=0.5),1,0)</f>
        <v>0</v>
      </c>
    </row>
    <row r="516" spans="1:10">
      <c r="A516" s="231" t="s">
        <v>222</v>
      </c>
      <c r="B516" s="231" t="s">
        <v>198</v>
      </c>
      <c r="C516" s="232"/>
      <c r="D516" s="232">
        <v>267.23</v>
      </c>
      <c r="E516" s="233">
        <v>2.5287E-2</v>
      </c>
      <c r="F516" s="234">
        <f>pairs[[#This Row],[ Dist]]*5280</f>
        <v>133.51536000000002</v>
      </c>
      <c r="G516" s="232">
        <f>ROUND(pairs[[#This Row],[ Az]]-ROUNDDOWN(pairs[[#This Row],[ Az]],0),1)</f>
        <v>0</v>
      </c>
      <c r="H516" s="232">
        <f>ROUND(pairs[[#This Row],[ Back]]-ROUNDDOWN(pairs[[#This Row],[ Back]],0),1)</f>
        <v>0.2</v>
      </c>
      <c r="I516" s="232">
        <f>IF( OR( OR(pairs[[#This Row],[Az*]]=0, pairs[[#This Row],[Back*]]=0), OR(pairs[[#This Row],[Az*]]=1, pairs[[#This Row],[Back*]]=1)), 1, 0)</f>
        <v>1</v>
      </c>
      <c r="J516" s="232">
        <f>IF(OR(pairs[[#This Row],[Az*]]=0.5,pairs[[#This Row],[Back*]]=0.5),1,0)</f>
        <v>0</v>
      </c>
    </row>
    <row r="517" spans="1:10">
      <c r="A517" s="231" t="s">
        <v>222</v>
      </c>
      <c r="B517" s="231" t="s">
        <v>199</v>
      </c>
      <c r="C517" s="232"/>
      <c r="D517" s="232">
        <v>90.31</v>
      </c>
      <c r="E517" s="233">
        <v>7.2791999999999996E-2</v>
      </c>
      <c r="F517" s="234">
        <f>pairs[[#This Row],[ Dist]]*5280</f>
        <v>384.34175999999997</v>
      </c>
      <c r="G517" s="232">
        <f>ROUND(pairs[[#This Row],[ Az]]-ROUNDDOWN(pairs[[#This Row],[ Az]],0),1)</f>
        <v>0</v>
      </c>
      <c r="H517" s="232">
        <f>ROUND(pairs[[#This Row],[ Back]]-ROUNDDOWN(pairs[[#This Row],[ Back]],0),1)</f>
        <v>0.3</v>
      </c>
      <c r="I517" s="232">
        <f>IF( OR( OR(pairs[[#This Row],[Az*]]=0, pairs[[#This Row],[Back*]]=0), OR(pairs[[#This Row],[Az*]]=1, pairs[[#This Row],[Back*]]=1)), 1, 0)</f>
        <v>1</v>
      </c>
      <c r="J517" s="232">
        <f>IF(OR(pairs[[#This Row],[Az*]]=0.5,pairs[[#This Row],[Back*]]=0.5),1,0)</f>
        <v>0</v>
      </c>
    </row>
    <row r="518" spans="1:10">
      <c r="A518" s="231" t="s">
        <v>222</v>
      </c>
      <c r="B518" s="231" t="s">
        <v>200</v>
      </c>
      <c r="C518" s="232"/>
      <c r="D518" s="232">
        <v>90.43</v>
      </c>
      <c r="E518" s="233">
        <v>4.7323999999999998E-2</v>
      </c>
      <c r="F518" s="234">
        <f>pairs[[#This Row],[ Dist]]*5280</f>
        <v>249.87071999999998</v>
      </c>
      <c r="G518" s="232">
        <f>ROUND(pairs[[#This Row],[ Az]]-ROUNDDOWN(pairs[[#This Row],[ Az]],0),1)</f>
        <v>0</v>
      </c>
      <c r="H518" s="232">
        <f>ROUND(pairs[[#This Row],[ Back]]-ROUNDDOWN(pairs[[#This Row],[ Back]],0),1)</f>
        <v>0.4</v>
      </c>
      <c r="I518" s="232">
        <f>IF( OR( OR(pairs[[#This Row],[Az*]]=0, pairs[[#This Row],[Back*]]=0), OR(pairs[[#This Row],[Az*]]=1, pairs[[#This Row],[Back*]]=1)), 1, 0)</f>
        <v>1</v>
      </c>
      <c r="J518" s="232">
        <f>IF(OR(pairs[[#This Row],[Az*]]=0.5,pairs[[#This Row],[Back*]]=0.5),1,0)</f>
        <v>0</v>
      </c>
    </row>
    <row r="519" spans="1:10" ht="14.1">
      <c r="A519" s="206" t="s">
        <v>222</v>
      </c>
      <c r="B519" s="206" t="s">
        <v>202</v>
      </c>
      <c r="C519" s="235"/>
      <c r="D519" s="235">
        <v>167.49</v>
      </c>
      <c r="E519" s="236">
        <v>7.1827000000000002E-2</v>
      </c>
      <c r="F519" s="237">
        <f>pairs[[#This Row],[ Dist]]*5280</f>
        <v>379.24655999999999</v>
      </c>
      <c r="G519" s="235">
        <f>ROUND(pairs[[#This Row],[ Az]]-ROUNDDOWN(pairs[[#This Row],[ Az]],0),1)</f>
        <v>0</v>
      </c>
      <c r="H519" s="235">
        <f>ROUND(pairs[[#This Row],[ Back]]-ROUNDDOWN(pairs[[#This Row],[ Back]],0),1)</f>
        <v>0.5</v>
      </c>
      <c r="I519" s="235">
        <f>IF( OR( OR(pairs[[#This Row],[Az*]]=0, pairs[[#This Row],[Back*]]=0), OR(pairs[[#This Row],[Az*]]=1, pairs[[#This Row],[Back*]]=1)), 1, 0)</f>
        <v>1</v>
      </c>
      <c r="J519" s="235">
        <f>IF(OR(pairs[[#This Row],[Az*]]=0.5,pairs[[#This Row],[Back*]]=0.5),1,0)</f>
        <v>1</v>
      </c>
    </row>
    <row r="520" spans="1:10">
      <c r="A520" s="231" t="s">
        <v>222</v>
      </c>
      <c r="B520" s="231" t="s">
        <v>203</v>
      </c>
      <c r="C520" s="232"/>
      <c r="D520" s="232">
        <v>144.27000000000001</v>
      </c>
      <c r="E520" s="233">
        <v>8.7188000000000002E-2</v>
      </c>
      <c r="F520" s="234">
        <f>pairs[[#This Row],[ Dist]]*5280</f>
        <v>460.35264000000001</v>
      </c>
      <c r="G520" s="232">
        <f>ROUND(pairs[[#This Row],[ Az]]-ROUNDDOWN(pairs[[#This Row],[ Az]],0),1)</f>
        <v>0</v>
      </c>
      <c r="H520" s="232">
        <f>ROUND(pairs[[#This Row],[ Back]]-ROUNDDOWN(pairs[[#This Row],[ Back]],0),1)</f>
        <v>0.3</v>
      </c>
      <c r="I520" s="232">
        <f>IF( OR( OR(pairs[[#This Row],[Az*]]=0, pairs[[#This Row],[Back*]]=0), OR(pairs[[#This Row],[Az*]]=1, pairs[[#This Row],[Back*]]=1)), 1, 0)</f>
        <v>1</v>
      </c>
      <c r="J520" s="232">
        <f>IF(OR(pairs[[#This Row],[Az*]]=0.5,pairs[[#This Row],[Back*]]=0.5),1,0)</f>
        <v>0</v>
      </c>
    </row>
    <row r="521" spans="1:10">
      <c r="A521" s="231" t="s">
        <v>222</v>
      </c>
      <c r="B521" s="231" t="s">
        <v>204</v>
      </c>
      <c r="C521" s="232"/>
      <c r="D521" s="232">
        <v>117.87</v>
      </c>
      <c r="E521" s="233">
        <v>8.2516000000000006E-2</v>
      </c>
      <c r="F521" s="234">
        <f>pairs[[#This Row],[ Dist]]*5280</f>
        <v>435.68448000000001</v>
      </c>
      <c r="G521" s="232">
        <f>ROUND(pairs[[#This Row],[ Az]]-ROUNDDOWN(pairs[[#This Row],[ Az]],0),1)</f>
        <v>0</v>
      </c>
      <c r="H521" s="232">
        <f>ROUND(pairs[[#This Row],[ Back]]-ROUNDDOWN(pairs[[#This Row],[ Back]],0),1)</f>
        <v>0.9</v>
      </c>
      <c r="I521" s="232">
        <f>IF( OR( OR(pairs[[#This Row],[Az*]]=0, pairs[[#This Row],[Back*]]=0), OR(pairs[[#This Row],[Az*]]=1, pairs[[#This Row],[Back*]]=1)), 1, 0)</f>
        <v>1</v>
      </c>
      <c r="J521" s="232">
        <f>IF(OR(pairs[[#This Row],[Az*]]=0.5,pairs[[#This Row],[Back*]]=0.5),1,0)</f>
        <v>0</v>
      </c>
    </row>
    <row r="522" spans="1:10">
      <c r="A522" s="231" t="s">
        <v>222</v>
      </c>
      <c r="B522" s="231" t="s">
        <v>215</v>
      </c>
      <c r="C522" s="232"/>
      <c r="D522" s="232">
        <v>208.69</v>
      </c>
      <c r="E522" s="233">
        <v>0.94467000000000001</v>
      </c>
      <c r="F522" s="234">
        <f>pairs[[#This Row],[ Dist]]*5280</f>
        <v>4987.8576000000003</v>
      </c>
      <c r="G522" s="232">
        <f>ROUND(pairs[[#This Row],[ Az]]-ROUNDDOWN(pairs[[#This Row],[ Az]],0),1)</f>
        <v>0</v>
      </c>
      <c r="H522" s="232">
        <f>ROUND(pairs[[#This Row],[ Back]]-ROUNDDOWN(pairs[[#This Row],[ Back]],0),1)</f>
        <v>0.7</v>
      </c>
      <c r="I522" s="232">
        <f>IF( OR( OR(pairs[[#This Row],[Az*]]=0, pairs[[#This Row],[Back*]]=0), OR(pairs[[#This Row],[Az*]]=1, pairs[[#This Row],[Back*]]=1)), 1, 0)</f>
        <v>1</v>
      </c>
      <c r="J522" s="232">
        <f>IF(OR(pairs[[#This Row],[Az*]]=0.5,pairs[[#This Row],[Back*]]=0.5),1,0)</f>
        <v>0</v>
      </c>
    </row>
    <row r="523" spans="1:10">
      <c r="A523" s="231" t="s">
        <v>222</v>
      </c>
      <c r="B523" s="231" t="s">
        <v>214</v>
      </c>
      <c r="C523" s="232"/>
      <c r="D523" s="232">
        <v>234.14</v>
      </c>
      <c r="E523" s="233">
        <v>0.48307699999999998</v>
      </c>
      <c r="F523" s="234">
        <f>pairs[[#This Row],[ Dist]]*5280</f>
        <v>2550.6465599999997</v>
      </c>
      <c r="G523" s="232">
        <f>ROUND(pairs[[#This Row],[ Az]]-ROUNDDOWN(pairs[[#This Row],[ Az]],0),1)</f>
        <v>0</v>
      </c>
      <c r="H523" s="232">
        <f>ROUND(pairs[[#This Row],[ Back]]-ROUNDDOWN(pairs[[#This Row],[ Back]],0),1)</f>
        <v>0.1</v>
      </c>
      <c r="I523" s="232">
        <f>IF( OR( OR(pairs[[#This Row],[Az*]]=0, pairs[[#This Row],[Back*]]=0), OR(pairs[[#This Row],[Az*]]=1, pairs[[#This Row],[Back*]]=1)), 1, 0)</f>
        <v>1</v>
      </c>
      <c r="J523" s="232">
        <f>IF(OR(pairs[[#This Row],[Az*]]=0.5,pairs[[#This Row],[Back*]]=0.5),1,0)</f>
        <v>0</v>
      </c>
    </row>
    <row r="524" spans="1:10">
      <c r="A524" s="231" t="s">
        <v>222</v>
      </c>
      <c r="B524" s="231" t="s">
        <v>213</v>
      </c>
      <c r="C524" s="232"/>
      <c r="D524" s="232">
        <v>297.63</v>
      </c>
      <c r="E524" s="233">
        <v>0.31014000000000003</v>
      </c>
      <c r="F524" s="234">
        <f>pairs[[#This Row],[ Dist]]*5280</f>
        <v>1637.5392000000002</v>
      </c>
      <c r="G524" s="232">
        <f>ROUND(pairs[[#This Row],[ Az]]-ROUNDDOWN(pairs[[#This Row],[ Az]],0),1)</f>
        <v>0</v>
      </c>
      <c r="H524" s="232">
        <f>ROUND(pairs[[#This Row],[ Back]]-ROUNDDOWN(pairs[[#This Row],[ Back]],0),1)</f>
        <v>0.6</v>
      </c>
      <c r="I524" s="232">
        <f>IF( OR( OR(pairs[[#This Row],[Az*]]=0, pairs[[#This Row],[Back*]]=0), OR(pairs[[#This Row],[Az*]]=1, pairs[[#This Row],[Back*]]=1)), 1, 0)</f>
        <v>1</v>
      </c>
      <c r="J524" s="232">
        <f>IF(OR(pairs[[#This Row],[Az*]]=0.5,pairs[[#This Row],[Back*]]=0.5),1,0)</f>
        <v>0</v>
      </c>
    </row>
    <row r="525" spans="1:10">
      <c r="A525" s="231" t="s">
        <v>222</v>
      </c>
      <c r="B525" s="231" t="s">
        <v>212</v>
      </c>
      <c r="C525" s="232"/>
      <c r="D525" s="232">
        <v>329.7</v>
      </c>
      <c r="E525" s="233">
        <v>0.85855700000000001</v>
      </c>
      <c r="F525" s="234">
        <f>pairs[[#This Row],[ Dist]]*5280</f>
        <v>4533.1809599999997</v>
      </c>
      <c r="G525" s="232">
        <f>ROUND(pairs[[#This Row],[ Az]]-ROUNDDOWN(pairs[[#This Row],[ Az]],0),1)</f>
        <v>0</v>
      </c>
      <c r="H525" s="232">
        <f>ROUND(pairs[[#This Row],[ Back]]-ROUNDDOWN(pairs[[#This Row],[ Back]],0),1)</f>
        <v>0.7</v>
      </c>
      <c r="I525" s="232">
        <f>IF( OR( OR(pairs[[#This Row],[Az*]]=0, pairs[[#This Row],[Back*]]=0), OR(pairs[[#This Row],[Az*]]=1, pairs[[#This Row],[Back*]]=1)), 1, 0)</f>
        <v>1</v>
      </c>
      <c r="J525" s="232">
        <f>IF(OR(pairs[[#This Row],[Az*]]=0.5,pairs[[#This Row],[Back*]]=0.5),1,0)</f>
        <v>0</v>
      </c>
    </row>
    <row r="526" spans="1:10" ht="14.1">
      <c r="A526" s="206" t="s">
        <v>222</v>
      </c>
      <c r="B526" s="206" t="s">
        <v>211</v>
      </c>
      <c r="C526" s="235"/>
      <c r="D526" s="235">
        <v>5.54</v>
      </c>
      <c r="E526" s="236">
        <v>0.75370700000000002</v>
      </c>
      <c r="F526" s="237">
        <f>pairs[[#This Row],[ Dist]]*5280</f>
        <v>3979.57296</v>
      </c>
      <c r="G526" s="235">
        <f>ROUND(pairs[[#This Row],[ Az]]-ROUNDDOWN(pairs[[#This Row],[ Az]],0),1)</f>
        <v>0</v>
      </c>
      <c r="H526" s="235">
        <f>ROUND(pairs[[#This Row],[ Back]]-ROUNDDOWN(pairs[[#This Row],[ Back]],0),1)</f>
        <v>0.5</v>
      </c>
      <c r="I526" s="235">
        <f>IF( OR( OR(pairs[[#This Row],[Az*]]=0, pairs[[#This Row],[Back*]]=0), OR(pairs[[#This Row],[Az*]]=1, pairs[[#This Row],[Back*]]=1)), 1, 0)</f>
        <v>1</v>
      </c>
      <c r="J526" s="235">
        <f>IF(OR(pairs[[#This Row],[Az*]]=0.5,pairs[[#This Row],[Back*]]=0.5),1,0)</f>
        <v>1</v>
      </c>
    </row>
    <row r="527" spans="1:10">
      <c r="A527" s="231" t="s">
        <v>222</v>
      </c>
      <c r="B527" s="231" t="s">
        <v>210</v>
      </c>
      <c r="C527" s="232"/>
      <c r="D527" s="232">
        <v>117.65</v>
      </c>
      <c r="E527" s="233">
        <v>0.64455799999999996</v>
      </c>
      <c r="F527" s="234">
        <f>pairs[[#This Row],[ Dist]]*5280</f>
        <v>3403.2662399999999</v>
      </c>
      <c r="G527" s="232">
        <f>ROUND(pairs[[#This Row],[ Az]]-ROUNDDOWN(pairs[[#This Row],[ Az]],0),1)</f>
        <v>0</v>
      </c>
      <c r="H527" s="232">
        <f>ROUND(pairs[[#This Row],[ Back]]-ROUNDDOWN(pairs[[#This Row],[ Back]],0),1)</f>
        <v>0.7</v>
      </c>
      <c r="I527" s="232">
        <f>IF( OR( OR(pairs[[#This Row],[Az*]]=0, pairs[[#This Row],[Back*]]=0), OR(pairs[[#This Row],[Az*]]=1, pairs[[#This Row],[Back*]]=1)), 1, 0)</f>
        <v>1</v>
      </c>
      <c r="J527" s="232">
        <f>IF(OR(pairs[[#This Row],[Az*]]=0.5,pairs[[#This Row],[Back*]]=0.5),1,0)</f>
        <v>0</v>
      </c>
    </row>
    <row r="528" spans="1:10">
      <c r="A528" s="231" t="s">
        <v>222</v>
      </c>
      <c r="B528" s="231" t="s">
        <v>209</v>
      </c>
      <c r="C528" s="232"/>
      <c r="D528" s="232">
        <v>66.260000000000005</v>
      </c>
      <c r="E528" s="233">
        <v>1.0382100000000001</v>
      </c>
      <c r="F528" s="234">
        <f>pairs[[#This Row],[ Dist]]*5280</f>
        <v>5481.7488000000003</v>
      </c>
      <c r="G528" s="232">
        <f>ROUND(pairs[[#This Row],[ Az]]-ROUNDDOWN(pairs[[#This Row],[ Az]],0),1)</f>
        <v>0</v>
      </c>
      <c r="H528" s="232">
        <f>ROUND(pairs[[#This Row],[ Back]]-ROUNDDOWN(pairs[[#This Row],[ Back]],0),1)</f>
        <v>0.3</v>
      </c>
      <c r="I528" s="232">
        <f>IF( OR( OR(pairs[[#This Row],[Az*]]=0, pairs[[#This Row],[Back*]]=0), OR(pairs[[#This Row],[Az*]]=1, pairs[[#This Row],[Back*]]=1)), 1, 0)</f>
        <v>1</v>
      </c>
      <c r="J528" s="232">
        <f>IF(OR(pairs[[#This Row],[Az*]]=0.5,pairs[[#This Row],[Back*]]=0.5),1,0)</f>
        <v>0</v>
      </c>
    </row>
    <row r="529" spans="1:10">
      <c r="A529" s="231" t="s">
        <v>222</v>
      </c>
      <c r="B529" s="231" t="s">
        <v>208</v>
      </c>
      <c r="C529" s="232"/>
      <c r="D529" s="232">
        <v>68.849999999999994</v>
      </c>
      <c r="E529" s="233">
        <v>0.61306700000000003</v>
      </c>
      <c r="F529" s="234">
        <f>pairs[[#This Row],[ Dist]]*5280</f>
        <v>3236.9937600000003</v>
      </c>
      <c r="G529" s="232">
        <f>ROUND(pairs[[#This Row],[ Az]]-ROUNDDOWN(pairs[[#This Row],[ Az]],0),1)</f>
        <v>0</v>
      </c>
      <c r="H529" s="232">
        <f>ROUND(pairs[[#This Row],[ Back]]-ROUNDDOWN(pairs[[#This Row],[ Back]],0),1)</f>
        <v>0.8</v>
      </c>
      <c r="I529" s="232">
        <f>IF( OR( OR(pairs[[#This Row],[Az*]]=0, pairs[[#This Row],[Back*]]=0), OR(pairs[[#This Row],[Az*]]=1, pairs[[#This Row],[Back*]]=1)), 1, 0)</f>
        <v>1</v>
      </c>
      <c r="J529" s="232">
        <f>IF(OR(pairs[[#This Row],[Az*]]=0.5,pairs[[#This Row],[Back*]]=0.5),1,0)</f>
        <v>0</v>
      </c>
    </row>
    <row r="530" spans="1:10">
      <c r="A530" s="231" t="s">
        <v>222</v>
      </c>
      <c r="B530" s="231" t="s">
        <v>207</v>
      </c>
      <c r="C530" s="232"/>
      <c r="D530" s="232">
        <v>172.55</v>
      </c>
      <c r="E530" s="233">
        <v>0.56034099999999998</v>
      </c>
      <c r="F530" s="234">
        <f>pairs[[#This Row],[ Dist]]*5280</f>
        <v>2958.6004800000001</v>
      </c>
      <c r="G530" s="232">
        <f>ROUND(pairs[[#This Row],[ Az]]-ROUNDDOWN(pairs[[#This Row],[ Az]],0),1)</f>
        <v>0</v>
      </c>
      <c r="H530" s="232">
        <f>ROUND(pairs[[#This Row],[ Back]]-ROUNDDOWN(pairs[[#This Row],[ Back]],0),1)</f>
        <v>0.6</v>
      </c>
      <c r="I530" s="232">
        <f>IF( OR( OR(pairs[[#This Row],[Az*]]=0, pairs[[#This Row],[Back*]]=0), OR(pairs[[#This Row],[Az*]]=1, pairs[[#This Row],[Back*]]=1)), 1, 0)</f>
        <v>1</v>
      </c>
      <c r="J530" s="232">
        <f>IF(OR(pairs[[#This Row],[Az*]]=0.5,pairs[[#This Row],[Back*]]=0.5),1,0)</f>
        <v>0</v>
      </c>
    </row>
    <row r="531" spans="1:10">
      <c r="A531" s="231" t="s">
        <v>222</v>
      </c>
      <c r="B531" s="231" t="s">
        <v>206</v>
      </c>
      <c r="C531" s="232"/>
      <c r="D531" s="232">
        <v>337.1</v>
      </c>
      <c r="E531" s="233">
        <v>0.226297</v>
      </c>
      <c r="F531" s="234">
        <f>pairs[[#This Row],[ Dist]]*5280</f>
        <v>1194.84816</v>
      </c>
      <c r="G531" s="232">
        <f>ROUND(pairs[[#This Row],[ Az]]-ROUNDDOWN(pairs[[#This Row],[ Az]],0),1)</f>
        <v>0</v>
      </c>
      <c r="H531" s="232">
        <f>ROUND(pairs[[#This Row],[ Back]]-ROUNDDOWN(pairs[[#This Row],[ Back]],0),1)</f>
        <v>0.1</v>
      </c>
      <c r="I531" s="232">
        <f>IF( OR( OR(pairs[[#This Row],[Az*]]=0, pairs[[#This Row],[Back*]]=0), OR(pairs[[#This Row],[Az*]]=1, pairs[[#This Row],[Back*]]=1)), 1, 0)</f>
        <v>1</v>
      </c>
      <c r="J531" s="232">
        <f>IF(OR(pairs[[#This Row],[Az*]]=0.5,pairs[[#This Row],[Back*]]=0.5),1,0)</f>
        <v>0</v>
      </c>
    </row>
    <row r="532" spans="1:10" ht="14.1">
      <c r="A532" s="206" t="s">
        <v>222</v>
      </c>
      <c r="B532" s="206" t="s">
        <v>205</v>
      </c>
      <c r="C532" s="235"/>
      <c r="D532" s="235">
        <v>188.48</v>
      </c>
      <c r="E532" s="236">
        <v>0.19228100000000001</v>
      </c>
      <c r="F532" s="237">
        <f>pairs[[#This Row],[ Dist]]*5280</f>
        <v>1015.24368</v>
      </c>
      <c r="G532" s="235">
        <f>ROUND(pairs[[#This Row],[ Az]]-ROUNDDOWN(pairs[[#This Row],[ Az]],0),1)</f>
        <v>0</v>
      </c>
      <c r="H532" s="235">
        <f>ROUND(pairs[[#This Row],[ Back]]-ROUNDDOWN(pairs[[#This Row],[ Back]],0),1)</f>
        <v>0.5</v>
      </c>
      <c r="I532" s="235">
        <f>IF( OR( OR(pairs[[#This Row],[Az*]]=0, pairs[[#This Row],[Back*]]=0), OR(pairs[[#This Row],[Az*]]=1, pairs[[#This Row],[Back*]]=1)), 1, 0)</f>
        <v>1</v>
      </c>
      <c r="J532" s="235">
        <f>IF(OR(pairs[[#This Row],[Az*]]=0.5,pairs[[#This Row],[Back*]]=0.5),1,0)</f>
        <v>1</v>
      </c>
    </row>
    <row r="533" spans="1:10">
      <c r="A533" s="231" t="s">
        <v>221</v>
      </c>
      <c r="B533" s="231" t="s">
        <v>217</v>
      </c>
      <c r="C533" s="232"/>
      <c r="D533" s="232">
        <v>91.62</v>
      </c>
      <c r="E533" s="233">
        <v>8.8169999999999998E-2</v>
      </c>
      <c r="F533" s="234">
        <f>pairs[[#This Row],[ Dist]]*5280</f>
        <v>465.5376</v>
      </c>
      <c r="G533" s="232">
        <f>ROUND(pairs[[#This Row],[ Az]]-ROUNDDOWN(pairs[[#This Row],[ Az]],0),1)</f>
        <v>0</v>
      </c>
      <c r="H533" s="232">
        <f>ROUND(pairs[[#This Row],[ Back]]-ROUNDDOWN(pairs[[#This Row],[ Back]],0),1)</f>
        <v>0.6</v>
      </c>
      <c r="I533" s="232">
        <f>IF( OR( OR(pairs[[#This Row],[Az*]]=0, pairs[[#This Row],[Back*]]=0), OR(pairs[[#This Row],[Az*]]=1, pairs[[#This Row],[Back*]]=1)), 1, 0)</f>
        <v>1</v>
      </c>
      <c r="J533" s="232">
        <f>IF(OR(pairs[[#This Row],[Az*]]=0.5,pairs[[#This Row],[Back*]]=0.5),1,0)</f>
        <v>0</v>
      </c>
    </row>
    <row r="534" spans="1:10" ht="14.1">
      <c r="A534" s="23" t="s">
        <v>221</v>
      </c>
      <c r="B534" s="23" t="s">
        <v>196</v>
      </c>
      <c r="C534" s="229"/>
      <c r="D534" s="229">
        <v>129.04</v>
      </c>
      <c r="E534" s="25">
        <v>0.113582</v>
      </c>
      <c r="F534" s="230">
        <f>pairs[[#This Row],[ Dist]]*5280</f>
        <v>599.71296000000007</v>
      </c>
      <c r="G534" s="232">
        <f>ROUND(pairs[[#This Row],[ Az]]-ROUNDDOWN(pairs[[#This Row],[ Az]],0),1)</f>
        <v>0</v>
      </c>
      <c r="H534" s="232">
        <f>ROUND(pairs[[#This Row],[ Back]]-ROUNDDOWN(pairs[[#This Row],[ Back]],0),1)</f>
        <v>0</v>
      </c>
      <c r="I534" s="232">
        <f>IF( OR( OR(pairs[[#This Row],[Az*]]=0, pairs[[#This Row],[Back*]]=0), OR(pairs[[#This Row],[Az*]]=1, pairs[[#This Row],[Back*]]=1)), 1, 0)</f>
        <v>1</v>
      </c>
      <c r="J534" s="232">
        <f>IF(OR(pairs[[#This Row],[Az*]]=0.5,pairs[[#This Row],[Back*]]=0.5),1,0)</f>
        <v>0</v>
      </c>
    </row>
    <row r="535" spans="1:10">
      <c r="A535" s="231" t="s">
        <v>221</v>
      </c>
      <c r="B535" s="231" t="s">
        <v>197</v>
      </c>
      <c r="C535" s="232"/>
      <c r="D535" s="232">
        <v>225.34</v>
      </c>
      <c r="E535" s="233">
        <v>0.100268</v>
      </c>
      <c r="F535" s="234">
        <f>pairs[[#This Row],[ Dist]]*5280</f>
        <v>529.41503999999998</v>
      </c>
      <c r="G535" s="232">
        <f>ROUND(pairs[[#This Row],[ Az]]-ROUNDDOWN(pairs[[#This Row],[ Az]],0),1)</f>
        <v>0</v>
      </c>
      <c r="H535" s="232">
        <f>ROUND(pairs[[#This Row],[ Back]]-ROUNDDOWN(pairs[[#This Row],[ Back]],0),1)</f>
        <v>0.3</v>
      </c>
      <c r="I535" s="232">
        <f>IF( OR( OR(pairs[[#This Row],[Az*]]=0, pairs[[#This Row],[Back*]]=0), OR(pairs[[#This Row],[Az*]]=1, pairs[[#This Row],[Back*]]=1)), 1, 0)</f>
        <v>1</v>
      </c>
      <c r="J535" s="232">
        <f>IF(OR(pairs[[#This Row],[Az*]]=0.5,pairs[[#This Row],[Back*]]=0.5),1,0)</f>
        <v>0</v>
      </c>
    </row>
    <row r="536" spans="1:10">
      <c r="A536" s="231" t="s">
        <v>221</v>
      </c>
      <c r="B536" s="231" t="s">
        <v>198</v>
      </c>
      <c r="C536" s="232"/>
      <c r="D536" s="232">
        <v>269.32</v>
      </c>
      <c r="E536" s="233">
        <v>7.2584999999999997E-2</v>
      </c>
      <c r="F536" s="234">
        <f>pairs[[#This Row],[ Dist]]*5280</f>
        <v>383.24879999999996</v>
      </c>
      <c r="G536" s="232">
        <f>ROUND(pairs[[#This Row],[ Az]]-ROUNDDOWN(pairs[[#This Row],[ Az]],0),1)</f>
        <v>0</v>
      </c>
      <c r="H536" s="232">
        <f>ROUND(pairs[[#This Row],[ Back]]-ROUNDDOWN(pairs[[#This Row],[ Back]],0),1)</f>
        <v>0.3</v>
      </c>
      <c r="I536" s="232">
        <f>IF( OR( OR(pairs[[#This Row],[Az*]]=0, pairs[[#This Row],[Back*]]=0), OR(pairs[[#This Row],[Az*]]=1, pairs[[#This Row],[Back*]]=1)), 1, 0)</f>
        <v>1</v>
      </c>
      <c r="J536" s="232">
        <f>IF(OR(pairs[[#This Row],[Az*]]=0.5,pairs[[#This Row],[Back*]]=0.5),1,0)</f>
        <v>0</v>
      </c>
    </row>
    <row r="537" spans="1:10">
      <c r="A537" s="231" t="s">
        <v>221</v>
      </c>
      <c r="B537" s="231" t="s">
        <v>199</v>
      </c>
      <c r="C537" s="232"/>
      <c r="D537" s="232">
        <v>90.09</v>
      </c>
      <c r="E537" s="233">
        <v>2.5468999999999999E-2</v>
      </c>
      <c r="F537" s="234">
        <f>pairs[[#This Row],[ Dist]]*5280</f>
        <v>134.47631999999999</v>
      </c>
      <c r="G537" s="232">
        <f>ROUND(pairs[[#This Row],[ Az]]-ROUNDDOWN(pairs[[#This Row],[ Az]],0),1)</f>
        <v>0</v>
      </c>
      <c r="H537" s="232">
        <f>ROUND(pairs[[#This Row],[ Back]]-ROUNDDOWN(pairs[[#This Row],[ Back]],0),1)</f>
        <v>0.1</v>
      </c>
      <c r="I537" s="232">
        <f>IF( OR( OR(pairs[[#This Row],[Az*]]=0, pairs[[#This Row],[Back*]]=0), OR(pairs[[#This Row],[Az*]]=1, pairs[[#This Row],[Back*]]=1)), 1, 0)</f>
        <v>1</v>
      </c>
      <c r="J537" s="232">
        <f>IF(OR(pairs[[#This Row],[Az*]]=0.5,pairs[[#This Row],[Back*]]=0.5),1,0)</f>
        <v>0</v>
      </c>
    </row>
    <row r="538" spans="1:10">
      <c r="A538" s="231" t="s">
        <v>221</v>
      </c>
      <c r="B538" s="231" t="s">
        <v>201</v>
      </c>
      <c r="C538" s="232"/>
      <c r="D538" s="232">
        <v>270.43</v>
      </c>
      <c r="E538" s="233">
        <v>4.7323999999999998E-2</v>
      </c>
      <c r="F538" s="234">
        <f>pairs[[#This Row],[ Dist]]*5280</f>
        <v>249.87071999999998</v>
      </c>
      <c r="G538" s="232">
        <f>ROUND(pairs[[#This Row],[ Az]]-ROUNDDOWN(pairs[[#This Row],[ Az]],0),1)</f>
        <v>0</v>
      </c>
      <c r="H538" s="232">
        <f>ROUND(pairs[[#This Row],[ Back]]-ROUNDDOWN(pairs[[#This Row],[ Back]],0),1)</f>
        <v>0.4</v>
      </c>
      <c r="I538" s="232">
        <f>IF( OR( OR(pairs[[#This Row],[Az*]]=0, pairs[[#This Row],[Back*]]=0), OR(pairs[[#This Row],[Az*]]=1, pairs[[#This Row],[Back*]]=1)), 1, 0)</f>
        <v>1</v>
      </c>
      <c r="J538" s="232">
        <f>IF(OR(pairs[[#This Row],[Az*]]=0.5,pairs[[#This Row],[Back*]]=0.5),1,0)</f>
        <v>0</v>
      </c>
    </row>
    <row r="539" spans="1:10" ht="14.1">
      <c r="A539" s="206" t="s">
        <v>221</v>
      </c>
      <c r="B539" s="206" t="s">
        <v>202</v>
      </c>
      <c r="C539" s="235"/>
      <c r="D539" s="235">
        <v>204.48</v>
      </c>
      <c r="E539" s="236">
        <v>7.6655000000000001E-2</v>
      </c>
      <c r="F539" s="237">
        <f>pairs[[#This Row],[ Dist]]*5280</f>
        <v>404.73840000000001</v>
      </c>
      <c r="G539" s="235">
        <f>ROUND(pairs[[#This Row],[ Az]]-ROUNDDOWN(pairs[[#This Row],[ Az]],0),1)</f>
        <v>0</v>
      </c>
      <c r="H539" s="235">
        <f>ROUND(pairs[[#This Row],[ Back]]-ROUNDDOWN(pairs[[#This Row],[ Back]],0),1)</f>
        <v>0.5</v>
      </c>
      <c r="I539" s="235">
        <f>IF( OR( OR(pairs[[#This Row],[Az*]]=0, pairs[[#This Row],[Back*]]=0), OR(pairs[[#This Row],[Az*]]=1, pairs[[#This Row],[Back*]]=1)), 1, 0)</f>
        <v>1</v>
      </c>
      <c r="J539" s="235">
        <f>IF(OR(pairs[[#This Row],[Az*]]=0.5,pairs[[#This Row],[Back*]]=0.5),1,0)</f>
        <v>1</v>
      </c>
    </row>
    <row r="540" spans="1:10">
      <c r="A540" s="231" t="s">
        <v>221</v>
      </c>
      <c r="B540" s="231" t="s">
        <v>203</v>
      </c>
      <c r="C540" s="232"/>
      <c r="D540" s="232">
        <v>177.08</v>
      </c>
      <c r="E540" s="233">
        <v>7.0515999999999995E-2</v>
      </c>
      <c r="F540" s="234">
        <f>pairs[[#This Row],[ Dist]]*5280</f>
        <v>372.32447999999999</v>
      </c>
      <c r="G540" s="232">
        <f>ROUND(pairs[[#This Row],[ Az]]-ROUNDDOWN(pairs[[#This Row],[ Az]],0),1)</f>
        <v>0</v>
      </c>
      <c r="H540" s="232">
        <f>ROUND(pairs[[#This Row],[ Back]]-ROUNDDOWN(pairs[[#This Row],[ Back]],0),1)</f>
        <v>0.1</v>
      </c>
      <c r="I540" s="232">
        <f>IF( OR( OR(pairs[[#This Row],[Az*]]=0, pairs[[#This Row],[Back*]]=0), OR(pairs[[#This Row],[Az*]]=1, pairs[[#This Row],[Back*]]=1)), 1, 0)</f>
        <v>1</v>
      </c>
      <c r="J540" s="232">
        <f>IF(OR(pairs[[#This Row],[Az*]]=0.5,pairs[[#This Row],[Back*]]=0.5),1,0)</f>
        <v>0</v>
      </c>
    </row>
    <row r="541" spans="1:10">
      <c r="A541" s="231" t="s">
        <v>221</v>
      </c>
      <c r="B541" s="231" t="s">
        <v>204</v>
      </c>
      <c r="C541" s="232"/>
      <c r="D541" s="232">
        <v>146.16</v>
      </c>
      <c r="E541" s="233">
        <v>4.6013999999999999E-2</v>
      </c>
      <c r="F541" s="234">
        <f>pairs[[#This Row],[ Dist]]*5280</f>
        <v>242.95391999999998</v>
      </c>
      <c r="G541" s="232">
        <f>ROUND(pairs[[#This Row],[ Az]]-ROUNDDOWN(pairs[[#This Row],[ Az]],0),1)</f>
        <v>0</v>
      </c>
      <c r="H541" s="232">
        <f>ROUND(pairs[[#This Row],[ Back]]-ROUNDDOWN(pairs[[#This Row],[ Back]],0),1)</f>
        <v>0.2</v>
      </c>
      <c r="I541" s="232">
        <f>IF( OR( OR(pairs[[#This Row],[Az*]]=0, pairs[[#This Row],[Back*]]=0), OR(pairs[[#This Row],[Az*]]=1, pairs[[#This Row],[Back*]]=1)), 1, 0)</f>
        <v>1</v>
      </c>
      <c r="J541" s="232">
        <f>IF(OR(pairs[[#This Row],[Az*]]=0.5,pairs[[#This Row],[Back*]]=0.5),1,0)</f>
        <v>0</v>
      </c>
    </row>
    <row r="542" spans="1:10">
      <c r="A542" s="231" t="s">
        <v>221</v>
      </c>
      <c r="B542" s="231" t="s">
        <v>215</v>
      </c>
      <c r="C542" s="232"/>
      <c r="D542" s="232">
        <v>211.16</v>
      </c>
      <c r="E542" s="233">
        <v>0.96797299999999997</v>
      </c>
      <c r="F542" s="234">
        <f>pairs[[#This Row],[ Dist]]*5280</f>
        <v>5110.8974399999997</v>
      </c>
      <c r="G542" s="232">
        <f>ROUND(pairs[[#This Row],[ Az]]-ROUNDDOWN(pairs[[#This Row],[ Az]],0),1)</f>
        <v>0</v>
      </c>
      <c r="H542" s="232">
        <f>ROUND(pairs[[#This Row],[ Back]]-ROUNDDOWN(pairs[[#This Row],[ Back]],0),1)</f>
        <v>0.2</v>
      </c>
      <c r="I542" s="232">
        <f>IF( OR( OR(pairs[[#This Row],[Az*]]=0, pairs[[#This Row],[Back*]]=0), OR(pairs[[#This Row],[Az*]]=1, pairs[[#This Row],[Back*]]=1)), 1, 0)</f>
        <v>1</v>
      </c>
      <c r="J542" s="232">
        <f>IF(OR(pairs[[#This Row],[Az*]]=0.5,pairs[[#This Row],[Back*]]=0.5),1,0)</f>
        <v>0</v>
      </c>
    </row>
    <row r="543" spans="1:10">
      <c r="A543" s="231" t="s">
        <v>221</v>
      </c>
      <c r="B543" s="231" t="s">
        <v>214</v>
      </c>
      <c r="C543" s="232"/>
      <c r="D543" s="232">
        <v>237.21</v>
      </c>
      <c r="E543" s="233">
        <v>0.52197000000000005</v>
      </c>
      <c r="F543" s="234">
        <f>pairs[[#This Row],[ Dist]]*5280</f>
        <v>2756.0016000000001</v>
      </c>
      <c r="G543" s="232">
        <f>ROUND(pairs[[#This Row],[ Az]]-ROUNDDOWN(pairs[[#This Row],[ Az]],0),1)</f>
        <v>0</v>
      </c>
      <c r="H543" s="232">
        <f>ROUND(pairs[[#This Row],[ Back]]-ROUNDDOWN(pairs[[#This Row],[ Back]],0),1)</f>
        <v>0.2</v>
      </c>
      <c r="I543" s="232">
        <f>IF( OR( OR(pairs[[#This Row],[Az*]]=0, pairs[[#This Row],[Back*]]=0), OR(pairs[[#This Row],[Az*]]=1, pairs[[#This Row],[Back*]]=1)), 1, 0)</f>
        <v>1</v>
      </c>
      <c r="J543" s="232">
        <f>IF(OR(pairs[[#This Row],[Az*]]=0.5,pairs[[#This Row],[Back*]]=0.5),1,0)</f>
        <v>0</v>
      </c>
    </row>
    <row r="544" spans="1:10">
      <c r="A544" s="231" t="s">
        <v>221</v>
      </c>
      <c r="B544" s="231" t="s">
        <v>213</v>
      </c>
      <c r="C544" s="232"/>
      <c r="D544" s="232">
        <v>294.11</v>
      </c>
      <c r="E544" s="233">
        <v>0.35289700000000002</v>
      </c>
      <c r="F544" s="234">
        <f>pairs[[#This Row],[ Dist]]*5280</f>
        <v>1863.2961600000001</v>
      </c>
      <c r="G544" s="232">
        <f>ROUND(pairs[[#This Row],[ Az]]-ROUNDDOWN(pairs[[#This Row],[ Az]],0),1)</f>
        <v>0</v>
      </c>
      <c r="H544" s="232">
        <f>ROUND(pairs[[#This Row],[ Back]]-ROUNDDOWN(pairs[[#This Row],[ Back]],0),1)</f>
        <v>0.1</v>
      </c>
      <c r="I544" s="232">
        <f>IF( OR( OR(pairs[[#This Row],[Az*]]=0, pairs[[#This Row],[Back*]]=0), OR(pairs[[#This Row],[Az*]]=1, pairs[[#This Row],[Back*]]=1)), 1, 0)</f>
        <v>1</v>
      </c>
      <c r="J544" s="232">
        <f>IF(OR(pairs[[#This Row],[Az*]]=0.5,pairs[[#This Row],[Back*]]=0.5),1,0)</f>
        <v>0</v>
      </c>
    </row>
    <row r="545" spans="1:10">
      <c r="A545" s="231" t="s">
        <v>221</v>
      </c>
      <c r="B545" s="231" t="s">
        <v>212</v>
      </c>
      <c r="C545" s="232"/>
      <c r="D545" s="232">
        <v>327.06</v>
      </c>
      <c r="E545" s="233">
        <v>0.88368199999999997</v>
      </c>
      <c r="F545" s="234">
        <f>pairs[[#This Row],[ Dist]]*5280</f>
        <v>4665.8409599999995</v>
      </c>
      <c r="G545" s="232">
        <f>ROUND(pairs[[#This Row],[ Az]]-ROUNDDOWN(pairs[[#This Row],[ Az]],0),1)</f>
        <v>0</v>
      </c>
      <c r="H545" s="232">
        <f>ROUND(pairs[[#This Row],[ Back]]-ROUNDDOWN(pairs[[#This Row],[ Back]],0),1)</f>
        <v>0.1</v>
      </c>
      <c r="I545" s="232">
        <f>IF( OR( OR(pairs[[#This Row],[Az*]]=0, pairs[[#This Row],[Back*]]=0), OR(pairs[[#This Row],[Az*]]=1, pairs[[#This Row],[Back*]]=1)), 1, 0)</f>
        <v>1</v>
      </c>
      <c r="J545" s="232">
        <f>IF(OR(pairs[[#This Row],[Az*]]=0.5,pairs[[#This Row],[Back*]]=0.5),1,0)</f>
        <v>0</v>
      </c>
    </row>
    <row r="546" spans="1:10">
      <c r="A546" s="231" t="s">
        <v>221</v>
      </c>
      <c r="B546" s="231" t="s">
        <v>211</v>
      </c>
      <c r="C546" s="232"/>
      <c r="D546" s="232">
        <v>1.94</v>
      </c>
      <c r="E546" s="233">
        <v>0.75097000000000003</v>
      </c>
      <c r="F546" s="234">
        <f>pairs[[#This Row],[ Dist]]*5280</f>
        <v>3965.1215999999999</v>
      </c>
      <c r="G546" s="232">
        <f>ROUND(pairs[[#This Row],[ Az]]-ROUNDDOWN(pairs[[#This Row],[ Az]],0),1)</f>
        <v>0</v>
      </c>
      <c r="H546" s="232">
        <f>ROUND(pairs[[#This Row],[ Back]]-ROUNDDOWN(pairs[[#This Row],[ Back]],0),1)</f>
        <v>0.9</v>
      </c>
      <c r="I546" s="232">
        <f>IF( OR( OR(pairs[[#This Row],[Az*]]=0, pairs[[#This Row],[Back*]]=0), OR(pairs[[#This Row],[Az*]]=1, pairs[[#This Row],[Back*]]=1)), 1, 0)</f>
        <v>1</v>
      </c>
      <c r="J546" s="232">
        <f>IF(OR(pairs[[#This Row],[Az*]]=0.5,pairs[[#This Row],[Back*]]=0.5),1,0)</f>
        <v>0</v>
      </c>
    </row>
    <row r="547" spans="1:10">
      <c r="A547" s="231" t="s">
        <v>221</v>
      </c>
      <c r="B547" s="231" t="s">
        <v>210</v>
      </c>
      <c r="C547" s="232"/>
      <c r="D547" s="232">
        <v>119.71</v>
      </c>
      <c r="E547" s="233">
        <v>0.60286600000000001</v>
      </c>
      <c r="F547" s="234">
        <f>pairs[[#This Row],[ Dist]]*5280</f>
        <v>3183.1324800000002</v>
      </c>
      <c r="G547" s="232">
        <f>ROUND(pairs[[#This Row],[ Az]]-ROUNDDOWN(pairs[[#This Row],[ Az]],0),1)</f>
        <v>0</v>
      </c>
      <c r="H547" s="232">
        <f>ROUND(pairs[[#This Row],[ Back]]-ROUNDDOWN(pairs[[#This Row],[ Back]],0),1)</f>
        <v>0.7</v>
      </c>
      <c r="I547" s="232">
        <f>IF( OR( OR(pairs[[#This Row],[Az*]]=0, pairs[[#This Row],[Back*]]=0), OR(pairs[[#This Row],[Az*]]=1, pairs[[#This Row],[Back*]]=1)), 1, 0)</f>
        <v>1</v>
      </c>
      <c r="J547" s="232">
        <f>IF(OR(pairs[[#This Row],[Az*]]=0.5,pairs[[#This Row],[Back*]]=0.5),1,0)</f>
        <v>0</v>
      </c>
    </row>
    <row r="548" spans="1:10">
      <c r="A548" s="231" t="s">
        <v>221</v>
      </c>
      <c r="B548" s="231" t="s">
        <v>209</v>
      </c>
      <c r="C548" s="232"/>
      <c r="D548" s="232">
        <v>65.14</v>
      </c>
      <c r="E548" s="233">
        <v>0.99522100000000002</v>
      </c>
      <c r="F548" s="234">
        <f>pairs[[#This Row],[ Dist]]*5280</f>
        <v>5254.7668800000001</v>
      </c>
      <c r="G548" s="232">
        <f>ROUND(pairs[[#This Row],[ Az]]-ROUNDDOWN(pairs[[#This Row],[ Az]],0),1)</f>
        <v>0</v>
      </c>
      <c r="H548" s="232">
        <f>ROUND(pairs[[#This Row],[ Back]]-ROUNDDOWN(pairs[[#This Row],[ Back]],0),1)</f>
        <v>0.1</v>
      </c>
      <c r="I548" s="232">
        <f>IF( OR( OR(pairs[[#This Row],[Az*]]=0, pairs[[#This Row],[Back*]]=0), OR(pairs[[#This Row],[Az*]]=1, pairs[[#This Row],[Back*]]=1)), 1, 0)</f>
        <v>1</v>
      </c>
      <c r="J548" s="232">
        <f>IF(OR(pairs[[#This Row],[Az*]]=0.5,pairs[[#This Row],[Back*]]=0.5),1,0)</f>
        <v>0</v>
      </c>
    </row>
    <row r="549" spans="1:10">
      <c r="A549" s="231" t="s">
        <v>221</v>
      </c>
      <c r="B549" s="231" t="s">
        <v>208</v>
      </c>
      <c r="C549" s="232"/>
      <c r="D549" s="232">
        <v>67.099999999999994</v>
      </c>
      <c r="E549" s="233">
        <v>0.56932400000000005</v>
      </c>
      <c r="F549" s="234">
        <f>pairs[[#This Row],[ Dist]]*5280</f>
        <v>3006.0307200000002</v>
      </c>
      <c r="G549" s="232">
        <f>ROUND(pairs[[#This Row],[ Az]]-ROUNDDOWN(pairs[[#This Row],[ Az]],0),1)</f>
        <v>0</v>
      </c>
      <c r="H549" s="232">
        <f>ROUND(pairs[[#This Row],[ Back]]-ROUNDDOWN(pairs[[#This Row],[ Back]],0),1)</f>
        <v>0.1</v>
      </c>
      <c r="I549" s="232">
        <f>IF( OR( OR(pairs[[#This Row],[Az*]]=0, pairs[[#This Row],[Back*]]=0), OR(pairs[[#This Row],[Az*]]=1, pairs[[#This Row],[Back*]]=1)), 1, 0)</f>
        <v>1</v>
      </c>
      <c r="J549" s="232">
        <f>IF(OR(pairs[[#This Row],[Az*]]=0.5,pairs[[#This Row],[Back*]]=0.5),1,0)</f>
        <v>0</v>
      </c>
    </row>
    <row r="550" spans="1:10">
      <c r="A550" s="231" t="s">
        <v>221</v>
      </c>
      <c r="B550" s="231" t="s">
        <v>207</v>
      </c>
      <c r="C550" s="232"/>
      <c r="D550" s="232">
        <v>177.39</v>
      </c>
      <c r="E550" s="233">
        <v>0.555836</v>
      </c>
      <c r="F550" s="234">
        <f>pairs[[#This Row],[ Dist]]*5280</f>
        <v>2934.8140800000001</v>
      </c>
      <c r="G550" s="232">
        <f>ROUND(pairs[[#This Row],[ Az]]-ROUNDDOWN(pairs[[#This Row],[ Az]],0),1)</f>
        <v>0</v>
      </c>
      <c r="H550" s="232">
        <f>ROUND(pairs[[#This Row],[ Back]]-ROUNDDOWN(pairs[[#This Row],[ Back]],0),1)</f>
        <v>0.4</v>
      </c>
      <c r="I550" s="232">
        <f>IF( OR( OR(pairs[[#This Row],[Az*]]=0, pairs[[#This Row],[Back*]]=0), OR(pairs[[#This Row],[Az*]]=1, pairs[[#This Row],[Back*]]=1)), 1, 0)</f>
        <v>1</v>
      </c>
      <c r="J550" s="232">
        <f>IF(OR(pairs[[#This Row],[Az*]]=0.5,pairs[[#This Row],[Back*]]=0.5),1,0)</f>
        <v>0</v>
      </c>
    </row>
    <row r="551" spans="1:10" ht="14.1">
      <c r="A551" s="23" t="s">
        <v>221</v>
      </c>
      <c r="B551" s="23" t="s">
        <v>206</v>
      </c>
      <c r="C551" s="229"/>
      <c r="D551" s="229">
        <v>327.05</v>
      </c>
      <c r="E551" s="25">
        <v>0.248862</v>
      </c>
      <c r="F551" s="230">
        <f>pairs[[#This Row],[ Dist]]*5280</f>
        <v>1313.99136</v>
      </c>
      <c r="G551" s="232">
        <f>ROUND(pairs[[#This Row],[ Az]]-ROUNDDOWN(pairs[[#This Row],[ Az]],0),1)</f>
        <v>0</v>
      </c>
      <c r="H551" s="232">
        <f>ROUND(pairs[[#This Row],[ Back]]-ROUNDDOWN(pairs[[#This Row],[ Back]],0),1)</f>
        <v>0.1</v>
      </c>
      <c r="I551" s="232">
        <f>IF( OR( OR(pairs[[#This Row],[Az*]]=0, pairs[[#This Row],[Back*]]=0), OR(pairs[[#This Row],[Az*]]=1, pairs[[#This Row],[Back*]]=1)), 1, 0)</f>
        <v>1</v>
      </c>
      <c r="J551" s="232">
        <f>IF(OR(pairs[[#This Row],[Az*]]=0.5,pairs[[#This Row],[Back*]]=0.5),1,0)</f>
        <v>0</v>
      </c>
    </row>
    <row r="552" spans="1:10">
      <c r="A552" s="231" t="s">
        <v>221</v>
      </c>
      <c r="B552" s="231" t="s">
        <v>205</v>
      </c>
      <c r="C552" s="232"/>
      <c r="D552" s="232">
        <v>201.74</v>
      </c>
      <c r="E552" s="233">
        <v>0.204351</v>
      </c>
      <c r="F552" s="234">
        <f>pairs[[#This Row],[ Dist]]*5280</f>
        <v>1078.9732799999999</v>
      </c>
      <c r="G552" s="232">
        <f>ROUND(pairs[[#This Row],[ Az]]-ROUNDDOWN(pairs[[#This Row],[ Az]],0),1)</f>
        <v>0</v>
      </c>
      <c r="H552" s="232">
        <f>ROUND(pairs[[#This Row],[ Back]]-ROUNDDOWN(pairs[[#This Row],[ Back]],0),1)</f>
        <v>0.7</v>
      </c>
      <c r="I552" s="232">
        <f>IF( OR( OR(pairs[[#This Row],[Az*]]=0, pairs[[#This Row],[Back*]]=0), OR(pairs[[#This Row],[Az*]]=1, pairs[[#This Row],[Back*]]=1)), 1, 0)</f>
        <v>1</v>
      </c>
      <c r="J552" s="232">
        <f>IF(OR(pairs[[#This Row],[Az*]]=0.5,pairs[[#This Row],[Back*]]=0.5),1,0)</f>
        <v>0</v>
      </c>
    </row>
    <row r="553" spans="1:10">
      <c r="A553" s="231" t="s">
        <v>220</v>
      </c>
      <c r="B553" s="231" t="s">
        <v>217</v>
      </c>
      <c r="C553" s="232"/>
      <c r="D553" s="232">
        <v>92.25</v>
      </c>
      <c r="E553" s="233">
        <v>6.2714000000000006E-2</v>
      </c>
      <c r="F553" s="234">
        <f>pairs[[#This Row],[ Dist]]*5280</f>
        <v>331.12992000000003</v>
      </c>
      <c r="G553" s="232">
        <f>ROUND(pairs[[#This Row],[ Az]]-ROUNDDOWN(pairs[[#This Row],[ Az]],0),1)</f>
        <v>0</v>
      </c>
      <c r="H553" s="232">
        <f>ROUND(pairs[[#This Row],[ Back]]-ROUNDDOWN(pairs[[#This Row],[ Back]],0),1)</f>
        <v>0.3</v>
      </c>
      <c r="I553" s="232">
        <f>IF( OR( OR(pairs[[#This Row],[Az*]]=0, pairs[[#This Row],[Back*]]=0), OR(pairs[[#This Row],[Az*]]=1, pairs[[#This Row],[Back*]]=1)), 1, 0)</f>
        <v>1</v>
      </c>
      <c r="J553" s="232">
        <f>IF(OR(pairs[[#This Row],[Az*]]=0.5,pairs[[#This Row],[Back*]]=0.5),1,0)</f>
        <v>0</v>
      </c>
    </row>
    <row r="554" spans="1:10">
      <c r="A554" s="231" t="s">
        <v>220</v>
      </c>
      <c r="B554" s="231" t="s">
        <v>196</v>
      </c>
      <c r="C554" s="232"/>
      <c r="D554" s="232">
        <v>138.72</v>
      </c>
      <c r="E554" s="233">
        <v>9.5131999999999994E-2</v>
      </c>
      <c r="F554" s="234">
        <f>pairs[[#This Row],[ Dist]]*5280</f>
        <v>502.29695999999996</v>
      </c>
      <c r="G554" s="232">
        <f>ROUND(pairs[[#This Row],[ Az]]-ROUNDDOWN(pairs[[#This Row],[ Az]],0),1)</f>
        <v>0</v>
      </c>
      <c r="H554" s="232">
        <f>ROUND(pairs[[#This Row],[ Back]]-ROUNDDOWN(pairs[[#This Row],[ Back]],0),1)</f>
        <v>0.7</v>
      </c>
      <c r="I554" s="232">
        <f>IF( OR( OR(pairs[[#This Row],[Az*]]=0, pairs[[#This Row],[Back*]]=0), OR(pairs[[#This Row],[Az*]]=1, pairs[[#This Row],[Back*]]=1)), 1, 0)</f>
        <v>1</v>
      </c>
      <c r="J554" s="232">
        <f>IF(OR(pairs[[#This Row],[Az*]]=0.5,pairs[[#This Row],[Back*]]=0.5),1,0)</f>
        <v>0</v>
      </c>
    </row>
    <row r="555" spans="1:10" ht="14.1">
      <c r="A555" s="23" t="s">
        <v>220</v>
      </c>
      <c r="B555" s="23" t="s">
        <v>197</v>
      </c>
      <c r="C555" s="229"/>
      <c r="D555" s="229">
        <v>233.95</v>
      </c>
      <c r="E555" s="25">
        <v>0.11970600000000001</v>
      </c>
      <c r="F555" s="230">
        <f>pairs[[#This Row],[ Dist]]*5280</f>
        <v>632.04768000000001</v>
      </c>
      <c r="G555" s="232">
        <f>ROUND(pairs[[#This Row],[ Az]]-ROUNDDOWN(pairs[[#This Row],[ Az]],0),1)</f>
        <v>0</v>
      </c>
      <c r="H555" s="232">
        <f>ROUND(pairs[[#This Row],[ Back]]-ROUNDDOWN(pairs[[#This Row],[ Back]],0),1)</f>
        <v>0.9</v>
      </c>
      <c r="I555" s="232">
        <f>IF( OR( OR(pairs[[#This Row],[Az*]]=0, pairs[[#This Row],[Back*]]=0), OR(pairs[[#This Row],[Az*]]=1, pairs[[#This Row],[Back*]]=1)), 1, 0)</f>
        <v>1</v>
      </c>
      <c r="J555" s="232">
        <f>IF(OR(pairs[[#This Row],[Az*]]=0.5,pairs[[#This Row],[Back*]]=0.5),1,0)</f>
        <v>0</v>
      </c>
    </row>
    <row r="556" spans="1:10" ht="14.1">
      <c r="A556" s="206" t="s">
        <v>220</v>
      </c>
      <c r="B556" s="206" t="s">
        <v>198</v>
      </c>
      <c r="C556" s="235"/>
      <c r="D556" s="235">
        <v>269.52</v>
      </c>
      <c r="E556" s="236">
        <v>9.8052E-2</v>
      </c>
      <c r="F556" s="237">
        <f>pairs[[#This Row],[ Dist]]*5280</f>
        <v>517.71456000000001</v>
      </c>
      <c r="G556" s="235">
        <f>ROUND(pairs[[#This Row],[ Az]]-ROUNDDOWN(pairs[[#This Row],[ Az]],0),1)</f>
        <v>0</v>
      </c>
      <c r="H556" s="235">
        <f>ROUND(pairs[[#This Row],[ Back]]-ROUNDDOWN(pairs[[#This Row],[ Back]],0),1)</f>
        <v>0.5</v>
      </c>
      <c r="I556" s="235">
        <f>IF( OR( OR(pairs[[#This Row],[Az*]]=0, pairs[[#This Row],[Back*]]=0), OR(pairs[[#This Row],[Az*]]=1, pairs[[#This Row],[Back*]]=1)), 1, 0)</f>
        <v>1</v>
      </c>
      <c r="J556" s="235">
        <f>IF(OR(pairs[[#This Row],[Az*]]=0.5,pairs[[#This Row],[Back*]]=0.5),1,0)</f>
        <v>1</v>
      </c>
    </row>
    <row r="557" spans="1:10">
      <c r="A557" s="231" t="s">
        <v>220</v>
      </c>
      <c r="B557" s="231" t="s">
        <v>200</v>
      </c>
      <c r="C557" s="232"/>
      <c r="D557" s="232">
        <v>270.08999999999997</v>
      </c>
      <c r="E557" s="233">
        <v>2.5468999999999999E-2</v>
      </c>
      <c r="F557" s="234">
        <f>pairs[[#This Row],[ Dist]]*5280</f>
        <v>134.47631999999999</v>
      </c>
      <c r="G557" s="232">
        <f>ROUND(pairs[[#This Row],[ Az]]-ROUNDDOWN(pairs[[#This Row],[ Az]],0),1)</f>
        <v>0</v>
      </c>
      <c r="H557" s="232">
        <f>ROUND(pairs[[#This Row],[ Back]]-ROUNDDOWN(pairs[[#This Row],[ Back]],0),1)</f>
        <v>0.1</v>
      </c>
      <c r="I557" s="232">
        <f>IF( OR( OR(pairs[[#This Row],[Az*]]=0, pairs[[#This Row],[Back*]]=0), OR(pairs[[#This Row],[Az*]]=1, pairs[[#This Row],[Back*]]=1)), 1, 0)</f>
        <v>1</v>
      </c>
      <c r="J557" s="232">
        <f>IF(OR(pairs[[#This Row],[Az*]]=0.5,pairs[[#This Row],[Back*]]=0.5),1,0)</f>
        <v>0</v>
      </c>
    </row>
    <row r="558" spans="1:10">
      <c r="A558" s="231" t="s">
        <v>220</v>
      </c>
      <c r="B558" s="231" t="s">
        <v>201</v>
      </c>
      <c r="C558" s="232"/>
      <c r="D558" s="232">
        <v>270.31</v>
      </c>
      <c r="E558" s="233">
        <v>7.2791999999999996E-2</v>
      </c>
      <c r="F558" s="234">
        <f>pairs[[#This Row],[ Dist]]*5280</f>
        <v>384.34175999999997</v>
      </c>
      <c r="G558" s="232">
        <f>ROUND(pairs[[#This Row],[ Az]]-ROUNDDOWN(pairs[[#This Row],[ Az]],0),1)</f>
        <v>0</v>
      </c>
      <c r="H558" s="232">
        <f>ROUND(pairs[[#This Row],[ Back]]-ROUNDDOWN(pairs[[#This Row],[ Back]],0),1)</f>
        <v>0.3</v>
      </c>
      <c r="I558" s="232">
        <f>IF( OR( OR(pairs[[#This Row],[Az*]]=0, pairs[[#This Row],[Back*]]=0), OR(pairs[[#This Row],[Az*]]=1, pairs[[#This Row],[Back*]]=1)), 1, 0)</f>
        <v>1</v>
      </c>
      <c r="J558" s="232">
        <f>IF(OR(pairs[[#This Row],[Az*]]=0.5,pairs[[#This Row],[Back*]]=0.5),1,0)</f>
        <v>0</v>
      </c>
    </row>
    <row r="559" spans="1:10">
      <c r="A559" s="231" t="s">
        <v>220</v>
      </c>
      <c r="B559" s="231" t="s">
        <v>202</v>
      </c>
      <c r="C559" s="232"/>
      <c r="D559" s="232">
        <v>219.38</v>
      </c>
      <c r="E559" s="233">
        <v>9.0205999999999995E-2</v>
      </c>
      <c r="F559" s="234">
        <f>pairs[[#This Row],[ Dist]]*5280</f>
        <v>476.28767999999997</v>
      </c>
      <c r="G559" s="232">
        <f>ROUND(pairs[[#This Row],[ Az]]-ROUNDDOWN(pairs[[#This Row],[ Az]],0),1)</f>
        <v>0</v>
      </c>
      <c r="H559" s="232">
        <f>ROUND(pairs[[#This Row],[ Back]]-ROUNDDOWN(pairs[[#This Row],[ Back]],0),1)</f>
        <v>0.4</v>
      </c>
      <c r="I559" s="232">
        <f>IF( OR( OR(pairs[[#This Row],[Az*]]=0, pairs[[#This Row],[Back*]]=0), OR(pairs[[#This Row],[Az*]]=1, pairs[[#This Row],[Back*]]=1)), 1, 0)</f>
        <v>1</v>
      </c>
      <c r="J559" s="232">
        <f>IF(OR(pairs[[#This Row],[Az*]]=0.5,pairs[[#This Row],[Back*]]=0.5),1,0)</f>
        <v>0</v>
      </c>
    </row>
    <row r="560" spans="1:10">
      <c r="A560" s="231" t="s">
        <v>220</v>
      </c>
      <c r="B560" s="231" t="s">
        <v>203</v>
      </c>
      <c r="C560" s="232"/>
      <c r="D560" s="232">
        <v>197.27</v>
      </c>
      <c r="E560" s="233">
        <v>7.3707999999999996E-2</v>
      </c>
      <c r="F560" s="234">
        <f>pairs[[#This Row],[ Dist]]*5280</f>
        <v>389.17823999999996</v>
      </c>
      <c r="G560" s="232">
        <f>ROUND(pairs[[#This Row],[ Az]]-ROUNDDOWN(pairs[[#This Row],[ Az]],0),1)</f>
        <v>0</v>
      </c>
      <c r="H560" s="232">
        <f>ROUND(pairs[[#This Row],[ Back]]-ROUNDDOWN(pairs[[#This Row],[ Back]],0),1)</f>
        <v>0.3</v>
      </c>
      <c r="I560" s="232">
        <f>IF( OR( OR(pairs[[#This Row],[Az*]]=0, pairs[[#This Row],[Back*]]=0), OR(pairs[[#This Row],[Az*]]=1, pairs[[#This Row],[Back*]]=1)), 1, 0)</f>
        <v>1</v>
      </c>
      <c r="J560" s="232">
        <f>IF(OR(pairs[[#This Row],[Az*]]=0.5,pairs[[#This Row],[Back*]]=0.5),1,0)</f>
        <v>0</v>
      </c>
    </row>
    <row r="561" spans="1:10">
      <c r="A561" s="231" t="s">
        <v>220</v>
      </c>
      <c r="B561" s="231" t="s">
        <v>204</v>
      </c>
      <c r="C561" s="232"/>
      <c r="D561" s="232">
        <v>179.77</v>
      </c>
      <c r="E561" s="233">
        <v>3.8182000000000001E-2</v>
      </c>
      <c r="F561" s="234">
        <f>pairs[[#This Row],[ Dist]]*5280</f>
        <v>201.60096000000001</v>
      </c>
      <c r="G561" s="232">
        <f>ROUND(pairs[[#This Row],[ Az]]-ROUNDDOWN(pairs[[#This Row],[ Az]],0),1)</f>
        <v>0</v>
      </c>
      <c r="H561" s="232">
        <f>ROUND(pairs[[#This Row],[ Back]]-ROUNDDOWN(pairs[[#This Row],[ Back]],0),1)</f>
        <v>0.8</v>
      </c>
      <c r="I561" s="232">
        <f>IF( OR( OR(pairs[[#This Row],[Az*]]=0, pairs[[#This Row],[Back*]]=0), OR(pairs[[#This Row],[Az*]]=1, pairs[[#This Row],[Back*]]=1)), 1, 0)</f>
        <v>1</v>
      </c>
      <c r="J561" s="232">
        <f>IF(OR(pairs[[#This Row],[Az*]]=0.5,pairs[[#This Row],[Back*]]=0.5),1,0)</f>
        <v>0</v>
      </c>
    </row>
    <row r="562" spans="1:10">
      <c r="A562" s="231" t="s">
        <v>220</v>
      </c>
      <c r="B562" s="231" t="s">
        <v>215</v>
      </c>
      <c r="C562" s="232"/>
      <c r="D562" s="232">
        <v>212.44</v>
      </c>
      <c r="E562" s="233">
        <v>0.98135899999999998</v>
      </c>
      <c r="F562" s="234">
        <f>pairs[[#This Row],[ Dist]]*5280</f>
        <v>5181.5755200000003</v>
      </c>
      <c r="G562" s="232">
        <f>ROUND(pairs[[#This Row],[ Az]]-ROUNDDOWN(pairs[[#This Row],[ Az]],0),1)</f>
        <v>0</v>
      </c>
      <c r="H562" s="232">
        <f>ROUND(pairs[[#This Row],[ Back]]-ROUNDDOWN(pairs[[#This Row],[ Back]],0),1)</f>
        <v>0.4</v>
      </c>
      <c r="I562" s="232">
        <f>IF( OR( OR(pairs[[#This Row],[Az*]]=0, pairs[[#This Row],[Back*]]=0), OR(pairs[[#This Row],[Az*]]=1, pairs[[#This Row],[Back*]]=1)), 1, 0)</f>
        <v>1</v>
      </c>
      <c r="J562" s="232">
        <f>IF(OR(pairs[[#This Row],[Az*]]=0.5,pairs[[#This Row],[Back*]]=0.5),1,0)</f>
        <v>0</v>
      </c>
    </row>
    <row r="563" spans="1:10">
      <c r="A563" s="231" t="s">
        <v>220</v>
      </c>
      <c r="B563" s="231" t="s">
        <v>214</v>
      </c>
      <c r="C563" s="232"/>
      <c r="D563" s="232">
        <v>238.67</v>
      </c>
      <c r="E563" s="233">
        <v>0.54353499999999999</v>
      </c>
      <c r="F563" s="234">
        <f>pairs[[#This Row],[ Dist]]*5280</f>
        <v>2869.8647999999998</v>
      </c>
      <c r="G563" s="232">
        <f>ROUND(pairs[[#This Row],[ Az]]-ROUNDDOWN(pairs[[#This Row],[ Az]],0),1)</f>
        <v>0</v>
      </c>
      <c r="H563" s="232">
        <f>ROUND(pairs[[#This Row],[ Back]]-ROUNDDOWN(pairs[[#This Row],[ Back]],0),1)</f>
        <v>0.7</v>
      </c>
      <c r="I563" s="232">
        <f>IF( OR( OR(pairs[[#This Row],[Az*]]=0, pairs[[#This Row],[Back*]]=0), OR(pairs[[#This Row],[Az*]]=1, pairs[[#This Row],[Back*]]=1)), 1, 0)</f>
        <v>1</v>
      </c>
      <c r="J563" s="232">
        <f>IF(OR(pairs[[#This Row],[Az*]]=0.5,pairs[[#This Row],[Back*]]=0.5),1,0)</f>
        <v>0</v>
      </c>
    </row>
    <row r="564" spans="1:10" ht="14.1">
      <c r="A564" s="206" t="s">
        <v>220</v>
      </c>
      <c r="B564" s="206" t="s">
        <v>213</v>
      </c>
      <c r="C564" s="235"/>
      <c r="D564" s="235">
        <v>292.52999999999997</v>
      </c>
      <c r="E564" s="236">
        <v>0.376303</v>
      </c>
      <c r="F564" s="237">
        <f>pairs[[#This Row],[ Dist]]*5280</f>
        <v>1986.8798400000001</v>
      </c>
      <c r="G564" s="235">
        <f>ROUND(pairs[[#This Row],[ Az]]-ROUNDDOWN(pairs[[#This Row],[ Az]],0),1)</f>
        <v>0</v>
      </c>
      <c r="H564" s="235">
        <f>ROUND(pairs[[#This Row],[ Back]]-ROUNDDOWN(pairs[[#This Row],[ Back]],0),1)</f>
        <v>0.5</v>
      </c>
      <c r="I564" s="235">
        <f>IF( OR( OR(pairs[[#This Row],[Az*]]=0, pairs[[#This Row],[Back*]]=0), OR(pairs[[#This Row],[Az*]]=1, pairs[[#This Row],[Back*]]=1)), 1, 0)</f>
        <v>1</v>
      </c>
      <c r="J564" s="235">
        <f>IF(OR(pairs[[#This Row],[Az*]]=0.5,pairs[[#This Row],[Back*]]=0.5),1,0)</f>
        <v>1</v>
      </c>
    </row>
    <row r="565" spans="1:10">
      <c r="A565" s="231" t="s">
        <v>220</v>
      </c>
      <c r="B565" s="231" t="s">
        <v>212</v>
      </c>
      <c r="C565" s="232"/>
      <c r="D565" s="232">
        <v>325.7</v>
      </c>
      <c r="E565" s="233">
        <v>0.89781999999999995</v>
      </c>
      <c r="F565" s="234">
        <f>pairs[[#This Row],[ Dist]]*5280</f>
        <v>4740.4895999999999</v>
      </c>
      <c r="G565" s="232">
        <f>ROUND(pairs[[#This Row],[ Az]]-ROUNDDOWN(pairs[[#This Row],[ Az]],0),1)</f>
        <v>0</v>
      </c>
      <c r="H565" s="232">
        <f>ROUND(pairs[[#This Row],[ Back]]-ROUNDDOWN(pairs[[#This Row],[ Back]],0),1)</f>
        <v>0.7</v>
      </c>
      <c r="I565" s="232">
        <f>IF( OR( OR(pairs[[#This Row],[Az*]]=0, pairs[[#This Row],[Back*]]=0), OR(pairs[[#This Row],[Az*]]=1, pairs[[#This Row],[Back*]]=1)), 1, 0)</f>
        <v>1</v>
      </c>
      <c r="J565" s="232">
        <f>IF(OR(pairs[[#This Row],[Az*]]=0.5,pairs[[#This Row],[Back*]]=0.5),1,0)</f>
        <v>0</v>
      </c>
    </row>
    <row r="566" spans="1:10" ht="14.1">
      <c r="A566" s="23" t="s">
        <v>220</v>
      </c>
      <c r="B566" s="23" t="s">
        <v>211</v>
      </c>
      <c r="C566" s="229"/>
      <c r="D566" s="229">
        <v>0</v>
      </c>
      <c r="E566" s="25">
        <v>0.75057700000000005</v>
      </c>
      <c r="F566" s="230">
        <f>pairs[[#This Row],[ Dist]]*5280</f>
        <v>3963.0465600000002</v>
      </c>
      <c r="G566" s="232">
        <f>ROUND(pairs[[#This Row],[ Az]]-ROUNDDOWN(pairs[[#This Row],[ Az]],0),1)</f>
        <v>0</v>
      </c>
      <c r="H566" s="232">
        <f>ROUND(pairs[[#This Row],[ Back]]-ROUNDDOWN(pairs[[#This Row],[ Back]],0),1)</f>
        <v>0</v>
      </c>
      <c r="I566" s="232">
        <f>IF( OR( OR(pairs[[#This Row],[Az*]]=0, pairs[[#This Row],[Back*]]=0), OR(pairs[[#This Row],[Az*]]=1, pairs[[#This Row],[Back*]]=1)), 1, 0)</f>
        <v>1</v>
      </c>
      <c r="J566" s="232">
        <f>IF(OR(pairs[[#This Row],[Az*]]=0.5,pairs[[#This Row],[Back*]]=0.5),1,0)</f>
        <v>0</v>
      </c>
    </row>
    <row r="567" spans="1:10" ht="14.1">
      <c r="A567" s="23" t="s">
        <v>220</v>
      </c>
      <c r="B567" s="23" t="s">
        <v>210</v>
      </c>
      <c r="C567" s="229"/>
      <c r="D567" s="229">
        <v>120.95</v>
      </c>
      <c r="E567" s="25">
        <v>0.58086300000000002</v>
      </c>
      <c r="F567" s="230">
        <f>pairs[[#This Row],[ Dist]]*5280</f>
        <v>3066.9566399999999</v>
      </c>
      <c r="G567" s="232">
        <f>ROUND(pairs[[#This Row],[ Az]]-ROUNDDOWN(pairs[[#This Row],[ Az]],0),1)</f>
        <v>0</v>
      </c>
      <c r="H567" s="232">
        <f>ROUND(pairs[[#This Row],[ Back]]-ROUNDDOWN(pairs[[#This Row],[ Back]],0),1)</f>
        <v>1</v>
      </c>
      <c r="I567" s="232">
        <f>IF( OR( OR(pairs[[#This Row],[Az*]]=0, pairs[[#This Row],[Back*]]=0), OR(pairs[[#This Row],[Az*]]=1, pairs[[#This Row],[Back*]]=1)), 1, 0)</f>
        <v>1</v>
      </c>
      <c r="J567" s="232">
        <f>IF(OR(pairs[[#This Row],[Az*]]=0.5,pairs[[#This Row],[Back*]]=0.5),1,0)</f>
        <v>0</v>
      </c>
    </row>
    <row r="568" spans="1:10" ht="14.1">
      <c r="A568" s="206" t="s">
        <v>220</v>
      </c>
      <c r="B568" s="206" t="s">
        <v>209</v>
      </c>
      <c r="C568" s="235"/>
      <c r="D568" s="235">
        <v>64.510000000000005</v>
      </c>
      <c r="E568" s="236">
        <v>0.97218599999999999</v>
      </c>
      <c r="F568" s="237">
        <f>pairs[[#This Row],[ Dist]]*5280</f>
        <v>5133.1420799999996</v>
      </c>
      <c r="G568" s="235">
        <f>ROUND(pairs[[#This Row],[ Az]]-ROUNDDOWN(pairs[[#This Row],[ Az]],0),1)</f>
        <v>0</v>
      </c>
      <c r="H568" s="235">
        <f>ROUND(pairs[[#This Row],[ Back]]-ROUNDDOWN(pairs[[#This Row],[ Back]],0),1)</f>
        <v>0.5</v>
      </c>
      <c r="I568" s="235">
        <f>IF( OR( OR(pairs[[#This Row],[Az*]]=0, pairs[[#This Row],[Back*]]=0), OR(pairs[[#This Row],[Az*]]=1, pairs[[#This Row],[Back*]]=1)), 1, 0)</f>
        <v>1</v>
      </c>
      <c r="J568" s="235">
        <f>IF(OR(pairs[[#This Row],[Az*]]=0.5,pairs[[#This Row],[Back*]]=0.5),1,0)</f>
        <v>1</v>
      </c>
    </row>
    <row r="569" spans="1:10">
      <c r="A569" s="231" t="s">
        <v>220</v>
      </c>
      <c r="B569" s="231" t="s">
        <v>208</v>
      </c>
      <c r="C569" s="232"/>
      <c r="D569" s="232">
        <v>66.06</v>
      </c>
      <c r="E569" s="233">
        <v>0.54596699999999998</v>
      </c>
      <c r="F569" s="234">
        <f>pairs[[#This Row],[ Dist]]*5280</f>
        <v>2882.7057599999998</v>
      </c>
      <c r="G569" s="232">
        <f>ROUND(pairs[[#This Row],[ Az]]-ROUNDDOWN(pairs[[#This Row],[ Az]],0),1)</f>
        <v>0</v>
      </c>
      <c r="H569" s="232">
        <f>ROUND(pairs[[#This Row],[ Back]]-ROUNDDOWN(pairs[[#This Row],[ Back]],0),1)</f>
        <v>0.1</v>
      </c>
      <c r="I569" s="232">
        <f>IF( OR( OR(pairs[[#This Row],[Az*]]=0, pairs[[#This Row],[Back*]]=0), OR(pairs[[#This Row],[Az*]]=1, pairs[[#This Row],[Back*]]=1)), 1, 0)</f>
        <v>1</v>
      </c>
      <c r="J569" s="232">
        <f>IF(OR(pairs[[#This Row],[Az*]]=0.5,pairs[[#This Row],[Back*]]=0.5),1,0)</f>
        <v>0</v>
      </c>
    </row>
    <row r="570" spans="1:10" ht="14.1">
      <c r="A570" s="23" t="s">
        <v>220</v>
      </c>
      <c r="B570" s="23" t="s">
        <v>207</v>
      </c>
      <c r="C570" s="229"/>
      <c r="D570" s="229">
        <v>180.02</v>
      </c>
      <c r="E570" s="25">
        <v>0.55522099999999996</v>
      </c>
      <c r="F570" s="230">
        <f>pairs[[#This Row],[ Dist]]*5280</f>
        <v>2931.5668799999999</v>
      </c>
      <c r="G570" s="232">
        <f>ROUND(pairs[[#This Row],[ Az]]-ROUNDDOWN(pairs[[#This Row],[ Az]],0),1)</f>
        <v>0</v>
      </c>
      <c r="H570" s="232">
        <f>ROUND(pairs[[#This Row],[ Back]]-ROUNDDOWN(pairs[[#This Row],[ Back]],0),1)</f>
        <v>0</v>
      </c>
      <c r="I570" s="232">
        <f>IF( OR( OR(pairs[[#This Row],[Az*]]=0, pairs[[#This Row],[Back*]]=0), OR(pairs[[#This Row],[Az*]]=1, pairs[[#This Row],[Back*]]=1)), 1, 0)</f>
        <v>1</v>
      </c>
      <c r="J570" s="232">
        <f>IF(OR(pairs[[#This Row],[Az*]]=0.5,pairs[[#This Row],[Back*]]=0.5),1,0)</f>
        <v>0</v>
      </c>
    </row>
    <row r="571" spans="1:10">
      <c r="A571" s="231" t="s">
        <v>220</v>
      </c>
      <c r="B571" s="231" t="s">
        <v>206</v>
      </c>
      <c r="C571" s="232"/>
      <c r="D571" s="232">
        <v>322.39999999999998</v>
      </c>
      <c r="E571" s="233">
        <v>0.26361600000000002</v>
      </c>
      <c r="F571" s="234">
        <f>pairs[[#This Row],[ Dist]]*5280</f>
        <v>1391.89248</v>
      </c>
      <c r="G571" s="232">
        <f>ROUND(pairs[[#This Row],[ Az]]-ROUNDDOWN(pairs[[#This Row],[ Az]],0),1)</f>
        <v>0</v>
      </c>
      <c r="H571" s="232">
        <f>ROUND(pairs[[#This Row],[ Back]]-ROUNDDOWN(pairs[[#This Row],[ Back]],0),1)</f>
        <v>0.4</v>
      </c>
      <c r="I571" s="232">
        <f>IF( OR( OR(pairs[[#This Row],[Az*]]=0, pairs[[#This Row],[Back*]]=0), OR(pairs[[#This Row],[Az*]]=1, pairs[[#This Row],[Back*]]=1)), 1, 0)</f>
        <v>1</v>
      </c>
      <c r="J571" s="232">
        <f>IF(OR(pairs[[#This Row],[Az*]]=0.5,pairs[[#This Row],[Back*]]=0.5),1,0)</f>
        <v>0</v>
      </c>
    </row>
    <row r="572" spans="1:10">
      <c r="A572" s="231" t="s">
        <v>220</v>
      </c>
      <c r="B572" s="231" t="s">
        <v>205</v>
      </c>
      <c r="C572" s="232"/>
      <c r="D572" s="232">
        <v>208.06</v>
      </c>
      <c r="E572" s="233">
        <v>0.21505299999999999</v>
      </c>
      <c r="F572" s="234">
        <f>pairs[[#This Row],[ Dist]]*5280</f>
        <v>1135.47984</v>
      </c>
      <c r="G572" s="232">
        <f>ROUND(pairs[[#This Row],[ Az]]-ROUNDDOWN(pairs[[#This Row],[ Az]],0),1)</f>
        <v>0</v>
      </c>
      <c r="H572" s="232">
        <f>ROUND(pairs[[#This Row],[ Back]]-ROUNDDOWN(pairs[[#This Row],[ Back]],0),1)</f>
        <v>0.1</v>
      </c>
      <c r="I572" s="232">
        <f>IF( OR( OR(pairs[[#This Row],[Az*]]=0, pairs[[#This Row],[Back*]]=0), OR(pairs[[#This Row],[Az*]]=1, pairs[[#This Row],[Back*]]=1)), 1, 0)</f>
        <v>1</v>
      </c>
      <c r="J572" s="232">
        <f>IF(OR(pairs[[#This Row],[Az*]]=0.5,pairs[[#This Row],[Back*]]=0.5),1,0)</f>
        <v>0</v>
      </c>
    </row>
    <row r="573" spans="1:10">
      <c r="A573" s="231" t="s">
        <v>219</v>
      </c>
      <c r="B573" s="231" t="s">
        <v>217</v>
      </c>
      <c r="C573" s="232"/>
      <c r="D573" s="232">
        <v>90.58</v>
      </c>
      <c r="E573" s="233">
        <v>0.160722</v>
      </c>
      <c r="F573" s="234">
        <f>pairs[[#This Row],[ Dist]]*5280</f>
        <v>848.61216000000002</v>
      </c>
      <c r="G573" s="232">
        <f>ROUND(pairs[[#This Row],[ Az]]-ROUNDDOWN(pairs[[#This Row],[ Az]],0),1)</f>
        <v>0</v>
      </c>
      <c r="H573" s="232">
        <f>ROUND(pairs[[#This Row],[ Back]]-ROUNDDOWN(pairs[[#This Row],[ Back]],0),1)</f>
        <v>0.6</v>
      </c>
      <c r="I573" s="232">
        <f>IF( OR( OR(pairs[[#This Row],[Az*]]=0, pairs[[#This Row],[Back*]]=0), OR(pairs[[#This Row],[Az*]]=1, pairs[[#This Row],[Back*]]=1)), 1, 0)</f>
        <v>1</v>
      </c>
      <c r="J573" s="232">
        <f>IF(OR(pairs[[#This Row],[Az*]]=0.5,pairs[[#This Row],[Back*]]=0.5),1,0)</f>
        <v>0</v>
      </c>
    </row>
    <row r="574" spans="1:10">
      <c r="A574" s="231" t="s">
        <v>219</v>
      </c>
      <c r="B574" s="231" t="s">
        <v>196</v>
      </c>
      <c r="C574" s="232"/>
      <c r="D574" s="232">
        <v>113.72</v>
      </c>
      <c r="E574" s="233">
        <v>0.175647</v>
      </c>
      <c r="F574" s="234">
        <f>pairs[[#This Row],[ Dist]]*5280</f>
        <v>927.41615999999999</v>
      </c>
      <c r="G574" s="232">
        <f>ROUND(pairs[[#This Row],[ Az]]-ROUNDDOWN(pairs[[#This Row],[ Az]],0),1)</f>
        <v>0</v>
      </c>
      <c r="H574" s="232">
        <f>ROUND(pairs[[#This Row],[ Back]]-ROUNDDOWN(pairs[[#This Row],[ Back]],0),1)</f>
        <v>0.7</v>
      </c>
      <c r="I574" s="232">
        <f>IF( OR( OR(pairs[[#This Row],[Az*]]=0, pairs[[#This Row],[Back*]]=0), OR(pairs[[#This Row],[Az*]]=1, pairs[[#This Row],[Back*]]=1)), 1, 0)</f>
        <v>1</v>
      </c>
      <c r="J574" s="232">
        <f>IF(OR(pairs[[#This Row],[Az*]]=0.5,pairs[[#This Row],[Back*]]=0.5),1,0)</f>
        <v>0</v>
      </c>
    </row>
    <row r="575" spans="1:10" ht="14.1">
      <c r="A575" s="23" t="s">
        <v>219</v>
      </c>
      <c r="B575" s="23" t="s">
        <v>197</v>
      </c>
      <c r="C575" s="229"/>
      <c r="D575" s="229">
        <v>178.96</v>
      </c>
      <c r="E575" s="25">
        <v>6.9624000000000005E-2</v>
      </c>
      <c r="F575" s="230">
        <f>pairs[[#This Row],[ Dist]]*5280</f>
        <v>367.61472000000003</v>
      </c>
      <c r="G575" s="232">
        <f>ROUND(pairs[[#This Row],[ Az]]-ROUNDDOWN(pairs[[#This Row],[ Az]],0),1)</f>
        <v>0</v>
      </c>
      <c r="H575" s="232">
        <f>ROUND(pairs[[#This Row],[ Back]]-ROUNDDOWN(pairs[[#This Row],[ Back]],0),1)</f>
        <v>1</v>
      </c>
      <c r="I575" s="232">
        <f>IF( OR( OR(pairs[[#This Row],[Az*]]=0, pairs[[#This Row],[Back*]]=0), OR(pairs[[#This Row],[Az*]]=1, pairs[[#This Row],[Back*]]=1)), 1, 0)</f>
        <v>1</v>
      </c>
      <c r="J575" s="232">
        <f>IF(OR(pairs[[#This Row],[Az*]]=0.5,pairs[[#This Row],[Back*]]=0.5),1,0)</f>
        <v>0</v>
      </c>
    </row>
    <row r="576" spans="1:10" ht="14.1">
      <c r="A576" s="206" t="s">
        <v>219</v>
      </c>
      <c r="B576" s="206" t="s">
        <v>199</v>
      </c>
      <c r="C576" s="235"/>
      <c r="D576" s="235">
        <v>89.52</v>
      </c>
      <c r="E576" s="236">
        <v>9.8052E-2</v>
      </c>
      <c r="F576" s="237">
        <f>pairs[[#This Row],[ Dist]]*5280</f>
        <v>517.71456000000001</v>
      </c>
      <c r="G576" s="235">
        <f>ROUND(pairs[[#This Row],[ Az]]-ROUNDDOWN(pairs[[#This Row],[ Az]],0),1)</f>
        <v>0</v>
      </c>
      <c r="H576" s="235">
        <f>ROUND(pairs[[#This Row],[ Back]]-ROUNDDOWN(pairs[[#This Row],[ Back]],0),1)</f>
        <v>0.5</v>
      </c>
      <c r="I576" s="235">
        <f>IF( OR( OR(pairs[[#This Row],[Az*]]=0, pairs[[#This Row],[Back*]]=0), OR(pairs[[#This Row],[Az*]]=1, pairs[[#This Row],[Back*]]=1)), 1, 0)</f>
        <v>1</v>
      </c>
      <c r="J576" s="235">
        <f>IF(OR(pairs[[#This Row],[Az*]]=0.5,pairs[[#This Row],[Back*]]=0.5),1,0)</f>
        <v>1</v>
      </c>
    </row>
    <row r="577" spans="1:10">
      <c r="A577" s="231" t="s">
        <v>219</v>
      </c>
      <c r="B577" s="231" t="s">
        <v>200</v>
      </c>
      <c r="C577" s="232"/>
      <c r="D577" s="232">
        <v>89.32</v>
      </c>
      <c r="E577" s="233">
        <v>7.2584999999999997E-2</v>
      </c>
      <c r="F577" s="234">
        <f>pairs[[#This Row],[ Dist]]*5280</f>
        <v>383.24879999999996</v>
      </c>
      <c r="G577" s="232">
        <f>ROUND(pairs[[#This Row],[ Az]]-ROUNDDOWN(pairs[[#This Row],[ Az]],0),1)</f>
        <v>0</v>
      </c>
      <c r="H577" s="232">
        <f>ROUND(pairs[[#This Row],[ Back]]-ROUNDDOWN(pairs[[#This Row],[ Back]],0),1)</f>
        <v>0.3</v>
      </c>
      <c r="I577" s="232">
        <f>IF( OR( OR(pairs[[#This Row],[Az*]]=0, pairs[[#This Row],[Back*]]=0), OR(pairs[[#This Row],[Az*]]=1, pairs[[#This Row],[Back*]]=1)), 1, 0)</f>
        <v>1</v>
      </c>
      <c r="J577" s="232">
        <f>IF(OR(pairs[[#This Row],[Az*]]=0.5,pairs[[#This Row],[Back*]]=0.5),1,0)</f>
        <v>0</v>
      </c>
    </row>
    <row r="578" spans="1:10">
      <c r="A578" s="231" t="s">
        <v>219</v>
      </c>
      <c r="B578" s="231" t="s">
        <v>201</v>
      </c>
      <c r="C578" s="232"/>
      <c r="D578" s="232">
        <v>87.23</v>
      </c>
      <c r="E578" s="233">
        <v>2.5287E-2</v>
      </c>
      <c r="F578" s="234">
        <f>pairs[[#This Row],[ Dist]]*5280</f>
        <v>133.51536000000002</v>
      </c>
      <c r="G578" s="232">
        <f>ROUND(pairs[[#This Row],[ Az]]-ROUNDDOWN(pairs[[#This Row],[ Az]],0),1)</f>
        <v>0</v>
      </c>
      <c r="H578" s="232">
        <f>ROUND(pairs[[#This Row],[ Back]]-ROUNDDOWN(pairs[[#This Row],[ Back]],0),1)</f>
        <v>0.2</v>
      </c>
      <c r="I578" s="232">
        <f>IF( OR( OR(pairs[[#This Row],[Az*]]=0, pairs[[#This Row],[Back*]]=0), OR(pairs[[#This Row],[Az*]]=1, pairs[[#This Row],[Back*]]=1)), 1, 0)</f>
        <v>1</v>
      </c>
      <c r="J578" s="232">
        <f>IF(OR(pairs[[#This Row],[Az*]]=0.5,pairs[[#This Row],[Back*]]=0.5),1,0)</f>
        <v>0</v>
      </c>
    </row>
    <row r="579" spans="1:10">
      <c r="A579" s="231" t="s">
        <v>219</v>
      </c>
      <c r="B579" s="231" t="s">
        <v>202</v>
      </c>
      <c r="C579" s="232"/>
      <c r="D579" s="232">
        <v>149.36000000000001</v>
      </c>
      <c r="E579" s="233">
        <v>8.0082E-2</v>
      </c>
      <c r="F579" s="234">
        <f>pairs[[#This Row],[ Dist]]*5280</f>
        <v>422.83296000000001</v>
      </c>
      <c r="G579" s="232">
        <f>ROUND(pairs[[#This Row],[ Az]]-ROUNDDOWN(pairs[[#This Row],[ Az]],0),1)</f>
        <v>0</v>
      </c>
      <c r="H579" s="232">
        <f>ROUND(pairs[[#This Row],[ Back]]-ROUNDDOWN(pairs[[#This Row],[ Back]],0),1)</f>
        <v>0.4</v>
      </c>
      <c r="I579" s="232">
        <f>IF( OR( OR(pairs[[#This Row],[Az*]]=0, pairs[[#This Row],[Back*]]=0), OR(pairs[[#This Row],[Az*]]=1, pairs[[#This Row],[Back*]]=1)), 1, 0)</f>
        <v>1</v>
      </c>
      <c r="J579" s="232">
        <f>IF(OR(pairs[[#This Row],[Az*]]=0.5,pairs[[#This Row],[Back*]]=0.5),1,0)</f>
        <v>0</v>
      </c>
    </row>
    <row r="580" spans="1:10">
      <c r="A580" s="231" t="s">
        <v>219</v>
      </c>
      <c r="B580" s="231" t="s">
        <v>203</v>
      </c>
      <c r="C580" s="232"/>
      <c r="D580" s="232">
        <v>132.4</v>
      </c>
      <c r="E580" s="233">
        <v>0.103149</v>
      </c>
      <c r="F580" s="234">
        <f>pairs[[#This Row],[ Dist]]*5280</f>
        <v>544.62671999999998</v>
      </c>
      <c r="G580" s="232">
        <f>ROUND(pairs[[#This Row],[ Az]]-ROUNDDOWN(pairs[[#This Row],[ Az]],0),1)</f>
        <v>0</v>
      </c>
      <c r="H580" s="232">
        <f>ROUND(pairs[[#This Row],[ Back]]-ROUNDDOWN(pairs[[#This Row],[ Back]],0),1)</f>
        <v>0.4</v>
      </c>
      <c r="I580" s="232">
        <f>IF( OR( OR(pairs[[#This Row],[Az*]]=0, pairs[[#This Row],[Back*]]=0), OR(pairs[[#This Row],[Az*]]=1, pairs[[#This Row],[Back*]]=1)), 1, 0)</f>
        <v>1</v>
      </c>
      <c r="J580" s="232">
        <f>IF(OR(pairs[[#This Row],[Az*]]=0.5,pairs[[#This Row],[Back*]]=0.5),1,0)</f>
        <v>0</v>
      </c>
    </row>
    <row r="581" spans="1:10">
      <c r="A581" s="231" t="s">
        <v>219</v>
      </c>
      <c r="B581" s="231" t="s">
        <v>204</v>
      </c>
      <c r="C581" s="232"/>
      <c r="D581" s="232">
        <v>110.83</v>
      </c>
      <c r="E581" s="233">
        <v>0.10506500000000001</v>
      </c>
      <c r="F581" s="234">
        <f>pairs[[#This Row],[ Dist]]*5280</f>
        <v>554.7432</v>
      </c>
      <c r="G581" s="232">
        <f>ROUND(pairs[[#This Row],[ Az]]-ROUNDDOWN(pairs[[#This Row],[ Az]],0),1)</f>
        <v>0</v>
      </c>
      <c r="H581" s="232">
        <f>ROUND(pairs[[#This Row],[ Back]]-ROUNDDOWN(pairs[[#This Row],[ Back]],0),1)</f>
        <v>0.8</v>
      </c>
      <c r="I581" s="232">
        <f>IF( OR( OR(pairs[[#This Row],[Az*]]=0, pairs[[#This Row],[Back*]]=0), OR(pairs[[#This Row],[Az*]]=1, pairs[[#This Row],[Back*]]=1)), 1, 0)</f>
        <v>1</v>
      </c>
      <c r="J581" s="232">
        <f>IF(OR(pairs[[#This Row],[Az*]]=0.5,pairs[[#This Row],[Back*]]=0.5),1,0)</f>
        <v>0</v>
      </c>
    </row>
    <row r="582" spans="1:10">
      <c r="A582" s="231" t="s">
        <v>219</v>
      </c>
      <c r="B582" s="231" t="s">
        <v>215</v>
      </c>
      <c r="C582" s="232"/>
      <c r="D582" s="232">
        <v>207.37</v>
      </c>
      <c r="E582" s="233">
        <v>0.93172200000000005</v>
      </c>
      <c r="F582" s="234">
        <f>pairs[[#This Row],[ Dist]]*5280</f>
        <v>4919.4921600000007</v>
      </c>
      <c r="G582" s="232">
        <f>ROUND(pairs[[#This Row],[ Az]]-ROUNDDOWN(pairs[[#This Row],[ Az]],0),1)</f>
        <v>0</v>
      </c>
      <c r="H582" s="232">
        <f>ROUND(pairs[[#This Row],[ Back]]-ROUNDDOWN(pairs[[#This Row],[ Back]],0),1)</f>
        <v>0.4</v>
      </c>
      <c r="I582" s="232">
        <f>IF( OR( OR(pairs[[#This Row],[Az*]]=0, pairs[[#This Row],[Back*]]=0), OR(pairs[[#This Row],[Az*]]=1, pairs[[#This Row],[Back*]]=1)), 1, 0)</f>
        <v>1</v>
      </c>
      <c r="J582" s="232">
        <f>IF(OR(pairs[[#This Row],[Az*]]=0.5,pairs[[#This Row],[Back*]]=0.5),1,0)</f>
        <v>0</v>
      </c>
    </row>
    <row r="583" spans="1:10">
      <c r="A583" s="231" t="s">
        <v>219</v>
      </c>
      <c r="B583" s="231" t="s">
        <v>214</v>
      </c>
      <c r="C583" s="232"/>
      <c r="D583" s="232">
        <v>232.42</v>
      </c>
      <c r="E583" s="233">
        <v>0.46209899999999998</v>
      </c>
      <c r="F583" s="234">
        <f>pairs[[#This Row],[ Dist]]*5280</f>
        <v>2439.8827200000001</v>
      </c>
      <c r="G583" s="232">
        <f>ROUND(pairs[[#This Row],[ Az]]-ROUNDDOWN(pairs[[#This Row],[ Az]],0),1)</f>
        <v>0</v>
      </c>
      <c r="H583" s="232">
        <f>ROUND(pairs[[#This Row],[ Back]]-ROUNDDOWN(pairs[[#This Row],[ Back]],0),1)</f>
        <v>0.4</v>
      </c>
      <c r="I583" s="232">
        <f>IF( OR( OR(pairs[[#This Row],[Az*]]=0, pairs[[#This Row],[Back*]]=0), OR(pairs[[#This Row],[Az*]]=1, pairs[[#This Row],[Back*]]=1)), 1, 0)</f>
        <v>1</v>
      </c>
      <c r="J583" s="232">
        <f>IF(OR(pairs[[#This Row],[Az*]]=0.5,pairs[[#This Row],[Back*]]=0.5),1,0)</f>
        <v>0</v>
      </c>
    </row>
    <row r="584" spans="1:10">
      <c r="A584" s="231" t="s">
        <v>219</v>
      </c>
      <c r="B584" s="231" t="s">
        <v>213</v>
      </c>
      <c r="C584" s="232"/>
      <c r="D584" s="232">
        <v>300.17</v>
      </c>
      <c r="E584" s="233">
        <v>0.28861199999999998</v>
      </c>
      <c r="F584" s="234">
        <f>pairs[[#This Row],[ Dist]]*5280</f>
        <v>1523.8713599999999</v>
      </c>
      <c r="G584" s="232">
        <f>ROUND(pairs[[#This Row],[ Az]]-ROUNDDOWN(pairs[[#This Row],[ Az]],0),1)</f>
        <v>0</v>
      </c>
      <c r="H584" s="232">
        <f>ROUND(pairs[[#This Row],[ Back]]-ROUNDDOWN(pairs[[#This Row],[ Back]],0),1)</f>
        <v>0.2</v>
      </c>
      <c r="I584" s="232">
        <f>IF( OR( OR(pairs[[#This Row],[Az*]]=0, pairs[[#This Row],[Back*]]=0), OR(pairs[[#This Row],[Az*]]=1, pairs[[#This Row],[Back*]]=1)), 1, 0)</f>
        <v>1</v>
      </c>
      <c r="J584" s="232">
        <f>IF(OR(pairs[[#This Row],[Az*]]=0.5,pairs[[#This Row],[Back*]]=0.5),1,0)</f>
        <v>0</v>
      </c>
    </row>
    <row r="585" spans="1:10">
      <c r="A585" s="231" t="s">
        <v>219</v>
      </c>
      <c r="B585" s="231" t="s">
        <v>212</v>
      </c>
      <c r="C585" s="232"/>
      <c r="D585" s="232">
        <v>331.21</v>
      </c>
      <c r="E585" s="233">
        <v>0.847163</v>
      </c>
      <c r="F585" s="234">
        <f>pairs[[#This Row],[ Dist]]*5280</f>
        <v>4473.0206399999997</v>
      </c>
      <c r="G585" s="232">
        <f>ROUND(pairs[[#This Row],[ Az]]-ROUNDDOWN(pairs[[#This Row],[ Az]],0),1)</f>
        <v>0</v>
      </c>
      <c r="H585" s="232">
        <f>ROUND(pairs[[#This Row],[ Back]]-ROUNDDOWN(pairs[[#This Row],[ Back]],0),1)</f>
        <v>0.2</v>
      </c>
      <c r="I585" s="232">
        <f>IF( OR( OR(pairs[[#This Row],[Az*]]=0, pairs[[#This Row],[Back*]]=0), OR(pairs[[#This Row],[Az*]]=1, pairs[[#This Row],[Back*]]=1)), 1, 0)</f>
        <v>1</v>
      </c>
      <c r="J585" s="232">
        <f>IF(OR(pairs[[#This Row],[Az*]]=0.5,pairs[[#This Row],[Back*]]=0.5),1,0)</f>
        <v>0</v>
      </c>
    </row>
    <row r="586" spans="1:10">
      <c r="A586" s="231" t="s">
        <v>219</v>
      </c>
      <c r="B586" s="231" t="s">
        <v>211</v>
      </c>
      <c r="C586" s="232"/>
      <c r="D586" s="232">
        <v>7.44</v>
      </c>
      <c r="E586" s="233">
        <v>0.75777700000000003</v>
      </c>
      <c r="F586" s="234">
        <f>pairs[[#This Row],[ Dist]]*5280</f>
        <v>4001.0625600000003</v>
      </c>
      <c r="G586" s="232">
        <f>ROUND(pairs[[#This Row],[ Az]]-ROUNDDOWN(pairs[[#This Row],[ Az]],0),1)</f>
        <v>0</v>
      </c>
      <c r="H586" s="232">
        <f>ROUND(pairs[[#This Row],[ Back]]-ROUNDDOWN(pairs[[#This Row],[ Back]],0),1)</f>
        <v>0.4</v>
      </c>
      <c r="I586" s="232">
        <f>IF( OR( OR(pairs[[#This Row],[Az*]]=0, pairs[[#This Row],[Back*]]=0), OR(pairs[[#This Row],[Az*]]=1, pairs[[#This Row],[Back*]]=1)), 1, 0)</f>
        <v>1</v>
      </c>
      <c r="J586" s="232">
        <f>IF(OR(pairs[[#This Row],[Az*]]=0.5,pairs[[#This Row],[Back*]]=0.5),1,0)</f>
        <v>0</v>
      </c>
    </row>
    <row r="587" spans="1:10" ht="14.1">
      <c r="A587" s="206" t="s">
        <v>219</v>
      </c>
      <c r="B587" s="206" t="s">
        <v>210</v>
      </c>
      <c r="C587" s="235"/>
      <c r="D587" s="235">
        <v>116.55</v>
      </c>
      <c r="E587" s="236">
        <v>0.66648499999999999</v>
      </c>
      <c r="F587" s="237">
        <f>pairs[[#This Row],[ Dist]]*5280</f>
        <v>3519.0407999999998</v>
      </c>
      <c r="G587" s="235">
        <f>ROUND(pairs[[#This Row],[ Az]]-ROUNDDOWN(pairs[[#This Row],[ Az]],0),1)</f>
        <v>0</v>
      </c>
      <c r="H587" s="235">
        <f>ROUND(pairs[[#This Row],[ Back]]-ROUNDDOWN(pairs[[#This Row],[ Back]],0),1)</f>
        <v>0.5</v>
      </c>
      <c r="I587" s="235">
        <f>IF( OR( OR(pairs[[#This Row],[Az*]]=0, pairs[[#This Row],[Back*]]=0), OR(pairs[[#This Row],[Az*]]=1, pairs[[#This Row],[Back*]]=1)), 1, 0)</f>
        <v>1</v>
      </c>
      <c r="J587" s="235">
        <f>IF(OR(pairs[[#This Row],[Az*]]=0.5,pairs[[#This Row],[Back*]]=0.5),1,0)</f>
        <v>1</v>
      </c>
    </row>
    <row r="588" spans="1:10">
      <c r="A588" s="231" t="s">
        <v>219</v>
      </c>
      <c r="B588" s="231" t="s">
        <v>209</v>
      </c>
      <c r="C588" s="232"/>
      <c r="D588" s="232">
        <v>66.75</v>
      </c>
      <c r="E588" s="233">
        <v>1.061863</v>
      </c>
      <c r="F588" s="234">
        <f>pairs[[#This Row],[ Dist]]*5280</f>
        <v>5606.6366399999997</v>
      </c>
      <c r="G588" s="232">
        <f>ROUND(pairs[[#This Row],[ Az]]-ROUNDDOWN(pairs[[#This Row],[ Az]],0),1)</f>
        <v>0</v>
      </c>
      <c r="H588" s="232">
        <f>ROUND(pairs[[#This Row],[ Back]]-ROUNDDOWN(pairs[[#This Row],[ Back]],0),1)</f>
        <v>0.8</v>
      </c>
      <c r="I588" s="232">
        <f>IF( OR( OR(pairs[[#This Row],[Az*]]=0, pairs[[#This Row],[Back*]]=0), OR(pairs[[#This Row],[Az*]]=1, pairs[[#This Row],[Back*]]=1)), 1, 0)</f>
        <v>1</v>
      </c>
      <c r="J588" s="232">
        <f>IF(OR(pairs[[#This Row],[Az*]]=0.5,pairs[[#This Row],[Back*]]=0.5),1,0)</f>
        <v>0</v>
      </c>
    </row>
    <row r="589" spans="1:10">
      <c r="A589" s="231" t="s">
        <v>219</v>
      </c>
      <c r="B589" s="231" t="s">
        <v>208</v>
      </c>
      <c r="C589" s="232"/>
      <c r="D589" s="232">
        <v>69.569999999999993</v>
      </c>
      <c r="E589" s="233">
        <v>0.63711499999999999</v>
      </c>
      <c r="F589" s="234">
        <f>pairs[[#This Row],[ Dist]]*5280</f>
        <v>3363.9672</v>
      </c>
      <c r="G589" s="232">
        <f>ROUND(pairs[[#This Row],[ Az]]-ROUNDDOWN(pairs[[#This Row],[ Az]],0),1)</f>
        <v>0</v>
      </c>
      <c r="H589" s="232">
        <f>ROUND(pairs[[#This Row],[ Back]]-ROUNDDOWN(pairs[[#This Row],[ Back]],0),1)</f>
        <v>0.6</v>
      </c>
      <c r="I589" s="232">
        <f>IF( OR( OR(pairs[[#This Row],[Az*]]=0, pairs[[#This Row],[Back*]]=0), OR(pairs[[#This Row],[Az*]]=1, pairs[[#This Row],[Back*]]=1)), 1, 0)</f>
        <v>1</v>
      </c>
      <c r="J589" s="232">
        <f>IF(OR(pairs[[#This Row],[Az*]]=0.5,pairs[[#This Row],[Back*]]=0.5),1,0)</f>
        <v>0</v>
      </c>
    </row>
    <row r="590" spans="1:10" ht="14.1">
      <c r="A590" s="23" t="s">
        <v>219</v>
      </c>
      <c r="B590" s="23" t="s">
        <v>207</v>
      </c>
      <c r="C590" s="229"/>
      <c r="D590" s="229">
        <v>169.99</v>
      </c>
      <c r="E590" s="25">
        <v>0.56296500000000005</v>
      </c>
      <c r="F590" s="230">
        <f>pairs[[#This Row],[ Dist]]*5280</f>
        <v>2972.4552000000003</v>
      </c>
      <c r="G590" s="232">
        <f>ROUND(pairs[[#This Row],[ Az]]-ROUNDDOWN(pairs[[#This Row],[ Az]],0),1)</f>
        <v>0</v>
      </c>
      <c r="H590" s="232">
        <f>ROUND(pairs[[#This Row],[ Back]]-ROUNDDOWN(pairs[[#This Row],[ Back]],0),1)</f>
        <v>1</v>
      </c>
      <c r="I590" s="232">
        <f>IF( OR( OR(pairs[[#This Row],[Az*]]=0, pairs[[#This Row],[Back*]]=0), OR(pairs[[#This Row],[Az*]]=1, pairs[[#This Row],[Back*]]=1)), 1, 0)</f>
        <v>1</v>
      </c>
      <c r="J590" s="232">
        <f>IF(OR(pairs[[#This Row],[Az*]]=0.5,pairs[[#This Row],[Back*]]=0.5),1,0)</f>
        <v>0</v>
      </c>
    </row>
    <row r="591" spans="1:10">
      <c r="A591" s="231" t="s">
        <v>219</v>
      </c>
      <c r="B591" s="231" t="s">
        <v>206</v>
      </c>
      <c r="C591" s="232"/>
      <c r="D591" s="232">
        <v>343.33</v>
      </c>
      <c r="E591" s="233">
        <v>0.218887</v>
      </c>
      <c r="F591" s="234">
        <f>pairs[[#This Row],[ Dist]]*5280</f>
        <v>1155.72336</v>
      </c>
      <c r="G591" s="232">
        <f>ROUND(pairs[[#This Row],[ Az]]-ROUNDDOWN(pairs[[#This Row],[ Az]],0),1)</f>
        <v>0</v>
      </c>
      <c r="H591" s="232">
        <f>ROUND(pairs[[#This Row],[ Back]]-ROUNDDOWN(pairs[[#This Row],[ Back]],0),1)</f>
        <v>0.3</v>
      </c>
      <c r="I591" s="232">
        <f>IF( OR( OR(pairs[[#This Row],[Az*]]=0, pairs[[#This Row],[Back*]]=0), OR(pairs[[#This Row],[Az*]]=1, pairs[[#This Row],[Back*]]=1)), 1, 0)</f>
        <v>1</v>
      </c>
      <c r="J591" s="232">
        <f>IF(OR(pairs[[#This Row],[Az*]]=0.5,pairs[[#This Row],[Back*]]=0.5),1,0)</f>
        <v>0</v>
      </c>
    </row>
    <row r="592" spans="1:10">
      <c r="A592" s="231" t="s">
        <v>219</v>
      </c>
      <c r="B592" s="231" t="s">
        <v>205</v>
      </c>
      <c r="C592" s="232"/>
      <c r="D592" s="232">
        <v>180.94</v>
      </c>
      <c r="E592" s="233">
        <v>0.18898200000000001</v>
      </c>
      <c r="F592" s="234">
        <f>pairs[[#This Row],[ Dist]]*5280</f>
        <v>997.82496000000003</v>
      </c>
      <c r="G592" s="232">
        <f>ROUND(pairs[[#This Row],[ Az]]-ROUNDDOWN(pairs[[#This Row],[ Az]],0),1)</f>
        <v>0</v>
      </c>
      <c r="H592" s="232">
        <f>ROUND(pairs[[#This Row],[ Back]]-ROUNDDOWN(pairs[[#This Row],[ Back]],0),1)</f>
        <v>0.9</v>
      </c>
      <c r="I592" s="232">
        <f>IF( OR( OR(pairs[[#This Row],[Az*]]=0, pairs[[#This Row],[Back*]]=0), OR(pairs[[#This Row],[Az*]]=1, pairs[[#This Row],[Back*]]=1)), 1, 0)</f>
        <v>1</v>
      </c>
      <c r="J592" s="232">
        <f>IF(OR(pairs[[#This Row],[Az*]]=0.5,pairs[[#This Row],[Back*]]=0.5),1,0)</f>
        <v>0</v>
      </c>
    </row>
    <row r="593" spans="1:10">
      <c r="A593" s="231" t="s">
        <v>218</v>
      </c>
      <c r="B593" s="231" t="s">
        <v>217</v>
      </c>
      <c r="C593" s="232"/>
      <c r="D593" s="232">
        <v>66.91</v>
      </c>
      <c r="E593" s="233">
        <v>0.17333899999999999</v>
      </c>
      <c r="F593" s="234">
        <f>pairs[[#This Row],[ Dist]]*5280</f>
        <v>915.22991999999999</v>
      </c>
      <c r="G593" s="232">
        <f>ROUND(pairs[[#This Row],[ Az]]-ROUNDDOWN(pairs[[#This Row],[ Az]],0),1)</f>
        <v>0</v>
      </c>
      <c r="H593" s="232">
        <f>ROUND(pairs[[#This Row],[ Back]]-ROUNDDOWN(pairs[[#This Row],[ Back]],0),1)</f>
        <v>0.9</v>
      </c>
      <c r="I593" s="232">
        <f>IF( OR( OR(pairs[[#This Row],[Az*]]=0, pairs[[#This Row],[Back*]]=0), OR(pairs[[#This Row],[Az*]]=1, pairs[[#This Row],[Back*]]=1)), 1, 0)</f>
        <v>1</v>
      </c>
      <c r="J593" s="232">
        <f>IF(OR(pairs[[#This Row],[Az*]]=0.5,pairs[[#This Row],[Back*]]=0.5),1,0)</f>
        <v>0</v>
      </c>
    </row>
    <row r="594" spans="1:10">
      <c r="A594" s="231" t="s">
        <v>218</v>
      </c>
      <c r="B594" s="231" t="s">
        <v>196</v>
      </c>
      <c r="C594" s="232"/>
      <c r="D594" s="232">
        <v>90.38</v>
      </c>
      <c r="E594" s="233">
        <v>0.15954499999999999</v>
      </c>
      <c r="F594" s="234">
        <f>pairs[[#This Row],[ Dist]]*5280</f>
        <v>842.39760000000001</v>
      </c>
      <c r="G594" s="232">
        <f>ROUND(pairs[[#This Row],[ Az]]-ROUNDDOWN(pairs[[#This Row],[ Az]],0),1)</f>
        <v>0</v>
      </c>
      <c r="H594" s="232">
        <f>ROUND(pairs[[#This Row],[ Back]]-ROUNDDOWN(pairs[[#This Row],[ Back]],0),1)</f>
        <v>0.4</v>
      </c>
      <c r="I594" s="232">
        <f>IF( OR( OR(pairs[[#This Row],[Az*]]=0, pairs[[#This Row],[Back*]]=0), OR(pairs[[#This Row],[Az*]]=1, pairs[[#This Row],[Back*]]=1)), 1, 0)</f>
        <v>1</v>
      </c>
      <c r="J594" s="232">
        <f>IF(OR(pairs[[#This Row],[Az*]]=0.5,pairs[[#This Row],[Back*]]=0.5),1,0)</f>
        <v>0</v>
      </c>
    </row>
    <row r="595" spans="1:10" ht="14.1">
      <c r="A595" s="23" t="s">
        <v>218</v>
      </c>
      <c r="B595" s="23" t="s">
        <v>198</v>
      </c>
      <c r="C595" s="229"/>
      <c r="D595" s="229">
        <v>358.96</v>
      </c>
      <c r="E595" s="25">
        <v>6.9624000000000005E-2</v>
      </c>
      <c r="F595" s="230">
        <f>pairs[[#This Row],[ Dist]]*5280</f>
        <v>367.61472000000003</v>
      </c>
      <c r="G595" s="232">
        <f>ROUND(pairs[[#This Row],[ Az]]-ROUNDDOWN(pairs[[#This Row],[ Az]],0),1)</f>
        <v>0</v>
      </c>
      <c r="H595" s="232">
        <f>ROUND(pairs[[#This Row],[ Back]]-ROUNDDOWN(pairs[[#This Row],[ Back]],0),1)</f>
        <v>1</v>
      </c>
      <c r="I595" s="232">
        <f>IF( OR( OR(pairs[[#This Row],[Az*]]=0, pairs[[#This Row],[Back*]]=0), OR(pairs[[#This Row],[Az*]]=1, pairs[[#This Row],[Back*]]=1)), 1, 0)</f>
        <v>1</v>
      </c>
      <c r="J595" s="232">
        <f>IF(OR(pairs[[#This Row],[Az*]]=0.5,pairs[[#This Row],[Back*]]=0.5),1,0)</f>
        <v>0</v>
      </c>
    </row>
    <row r="596" spans="1:10" ht="14.1">
      <c r="A596" s="23" t="s">
        <v>218</v>
      </c>
      <c r="B596" s="23" t="s">
        <v>199</v>
      </c>
      <c r="C596" s="229"/>
      <c r="D596" s="229">
        <v>53.95</v>
      </c>
      <c r="E596" s="25">
        <v>0.11970600000000001</v>
      </c>
      <c r="F596" s="230">
        <f>pairs[[#This Row],[ Dist]]*5280</f>
        <v>632.04768000000001</v>
      </c>
      <c r="G596" s="232">
        <f>ROUND(pairs[[#This Row],[ Az]]-ROUNDDOWN(pairs[[#This Row],[ Az]],0),1)</f>
        <v>0</v>
      </c>
      <c r="H596" s="232">
        <f>ROUND(pairs[[#This Row],[ Back]]-ROUNDDOWN(pairs[[#This Row],[ Back]],0),1)</f>
        <v>1</v>
      </c>
      <c r="I596" s="232">
        <f>IF( OR( OR(pairs[[#This Row],[Az*]]=0, pairs[[#This Row],[Back*]]=0), OR(pairs[[#This Row],[Az*]]=1, pairs[[#This Row],[Back*]]=1)), 1, 0)</f>
        <v>1</v>
      </c>
      <c r="J596" s="232">
        <f>IF(OR(pairs[[#This Row],[Az*]]=0.5,pairs[[#This Row],[Back*]]=0.5),1,0)</f>
        <v>0</v>
      </c>
    </row>
    <row r="597" spans="1:10">
      <c r="A597" s="231" t="s">
        <v>218</v>
      </c>
      <c r="B597" s="231" t="s">
        <v>200</v>
      </c>
      <c r="C597" s="232"/>
      <c r="D597" s="232">
        <v>45.34</v>
      </c>
      <c r="E597" s="233">
        <v>0.100268</v>
      </c>
      <c r="F597" s="234">
        <f>pairs[[#This Row],[ Dist]]*5280</f>
        <v>529.41503999999998</v>
      </c>
      <c r="G597" s="232">
        <f>ROUND(pairs[[#This Row],[ Az]]-ROUNDDOWN(pairs[[#This Row],[ Az]],0),1)</f>
        <v>0</v>
      </c>
      <c r="H597" s="232">
        <f>ROUND(pairs[[#This Row],[ Back]]-ROUNDDOWN(pairs[[#This Row],[ Back]],0),1)</f>
        <v>0.3</v>
      </c>
      <c r="I597" s="232">
        <f>IF( OR( OR(pairs[[#This Row],[Az*]]=0, pairs[[#This Row],[Back*]]=0), OR(pairs[[#This Row],[Az*]]=1, pairs[[#This Row],[Back*]]=1)), 1, 0)</f>
        <v>1</v>
      </c>
      <c r="J597" s="232">
        <f>IF(OR(pairs[[#This Row],[Az*]]=0.5,pairs[[#This Row],[Back*]]=0.5),1,0)</f>
        <v>0</v>
      </c>
    </row>
    <row r="598" spans="1:10">
      <c r="A598" s="231" t="s">
        <v>218</v>
      </c>
      <c r="B598" s="231" t="s">
        <v>201</v>
      </c>
      <c r="C598" s="232"/>
      <c r="D598" s="232">
        <v>18.71</v>
      </c>
      <c r="E598" s="233">
        <v>7.4789999999999995E-2</v>
      </c>
      <c r="F598" s="234">
        <f>pairs[[#This Row],[ Dist]]*5280</f>
        <v>394.89119999999997</v>
      </c>
      <c r="G598" s="232">
        <f>ROUND(pairs[[#This Row],[ Az]]-ROUNDDOWN(pairs[[#This Row],[ Az]],0),1)</f>
        <v>0</v>
      </c>
      <c r="H598" s="232">
        <f>ROUND(pairs[[#This Row],[ Back]]-ROUNDDOWN(pairs[[#This Row],[ Back]],0),1)</f>
        <v>0.7</v>
      </c>
      <c r="I598" s="232">
        <f>IF( OR( OR(pairs[[#This Row],[Az*]]=0, pairs[[#This Row],[Back*]]=0), OR(pairs[[#This Row],[Az*]]=1, pairs[[#This Row],[Back*]]=1)), 1, 0)</f>
        <v>1</v>
      </c>
      <c r="J598" s="232">
        <f>IF(OR(pairs[[#This Row],[Az*]]=0.5,pairs[[#This Row],[Back*]]=0.5),1,0)</f>
        <v>0</v>
      </c>
    </row>
    <row r="599" spans="1:10" ht="14.1">
      <c r="A599" s="23" t="s">
        <v>218</v>
      </c>
      <c r="B599" s="23" t="s">
        <v>202</v>
      </c>
      <c r="C599" s="229"/>
      <c r="D599" s="229">
        <v>88.97</v>
      </c>
      <c r="E599" s="25">
        <v>3.9563000000000001E-2</v>
      </c>
      <c r="F599" s="230">
        <f>pairs[[#This Row],[ Dist]]*5280</f>
        <v>208.89264</v>
      </c>
      <c r="G599" s="232">
        <f>ROUND(pairs[[#This Row],[ Az]]-ROUNDDOWN(pairs[[#This Row],[ Az]],0),1)</f>
        <v>0</v>
      </c>
      <c r="H599" s="232">
        <f>ROUND(pairs[[#This Row],[ Back]]-ROUNDDOWN(pairs[[#This Row],[ Back]],0),1)</f>
        <v>1</v>
      </c>
      <c r="I599" s="232">
        <f>IF( OR( OR(pairs[[#This Row],[Az*]]=0, pairs[[#This Row],[Back*]]=0), OR(pairs[[#This Row],[Az*]]=1, pairs[[#This Row],[Back*]]=1)), 1, 0)</f>
        <v>1</v>
      </c>
      <c r="J599" s="232">
        <f>IF(OR(pairs[[#This Row],[Az*]]=0.5,pairs[[#This Row],[Back*]]=0.5),1,0)</f>
        <v>0</v>
      </c>
    </row>
    <row r="600" spans="1:10" ht="14.1">
      <c r="A600" s="23" t="s">
        <v>218</v>
      </c>
      <c r="B600" s="23" t="s">
        <v>203</v>
      </c>
      <c r="C600" s="229"/>
      <c r="D600" s="229">
        <v>89.96</v>
      </c>
      <c r="E600" s="25">
        <v>7.4907000000000001E-2</v>
      </c>
      <c r="F600" s="230">
        <f>pairs[[#This Row],[ Dist]]*5280</f>
        <v>395.50896</v>
      </c>
      <c r="G600" s="232">
        <f>ROUND(pairs[[#This Row],[ Az]]-ROUNDDOWN(pairs[[#This Row],[ Az]],0),1)</f>
        <v>0</v>
      </c>
      <c r="H600" s="232">
        <f>ROUND(pairs[[#This Row],[ Back]]-ROUNDDOWN(pairs[[#This Row],[ Back]],0),1)</f>
        <v>1</v>
      </c>
      <c r="I600" s="232">
        <f>IF( OR( OR(pairs[[#This Row],[Az*]]=0, pairs[[#This Row],[Back*]]=0), OR(pairs[[#This Row],[Az*]]=1, pairs[[#This Row],[Back*]]=1)), 1, 0)</f>
        <v>1</v>
      </c>
      <c r="J600" s="232">
        <f>IF(OR(pairs[[#This Row],[Az*]]=0.5,pairs[[#This Row],[Back*]]=0.5),1,0)</f>
        <v>0</v>
      </c>
    </row>
    <row r="601" spans="1:10">
      <c r="A601" s="231" t="s">
        <v>218</v>
      </c>
      <c r="B601" s="231" t="s">
        <v>204</v>
      </c>
      <c r="C601" s="232"/>
      <c r="D601" s="232">
        <v>71.59</v>
      </c>
      <c r="E601" s="233">
        <v>0.10216500000000001</v>
      </c>
      <c r="F601" s="234">
        <f>pairs[[#This Row],[ Dist]]*5280</f>
        <v>539.43119999999999</v>
      </c>
      <c r="G601" s="232">
        <f>ROUND(pairs[[#This Row],[ Az]]-ROUNDDOWN(pairs[[#This Row],[ Az]],0),1)</f>
        <v>0</v>
      </c>
      <c r="H601" s="232">
        <f>ROUND(pairs[[#This Row],[ Back]]-ROUNDDOWN(pairs[[#This Row],[ Back]],0),1)</f>
        <v>0.6</v>
      </c>
      <c r="I601" s="232">
        <f>IF( OR( OR(pairs[[#This Row],[Az*]]=0, pairs[[#This Row],[Back*]]=0), OR(pairs[[#This Row],[Az*]]=1, pairs[[#This Row],[Back*]]=1)), 1, 0)</f>
        <v>1</v>
      </c>
      <c r="J601" s="232">
        <f>IF(OR(pairs[[#This Row],[Az*]]=0.5,pairs[[#This Row],[Back*]]=0.5),1,0)</f>
        <v>0</v>
      </c>
    </row>
    <row r="602" spans="1:10" ht="14.1">
      <c r="A602" s="206" t="s">
        <v>218</v>
      </c>
      <c r="B602" s="206" t="s">
        <v>215</v>
      </c>
      <c r="C602" s="235"/>
      <c r="D602" s="235">
        <v>209.55</v>
      </c>
      <c r="E602" s="236">
        <v>0.87110699999999996</v>
      </c>
      <c r="F602" s="237">
        <f>pairs[[#This Row],[ Dist]]*5280</f>
        <v>4599.4449599999998</v>
      </c>
      <c r="G602" s="235">
        <f>ROUND(pairs[[#This Row],[ Az]]-ROUNDDOWN(pairs[[#This Row],[ Az]],0),1)</f>
        <v>0</v>
      </c>
      <c r="H602" s="235">
        <f>ROUND(pairs[[#This Row],[ Back]]-ROUNDDOWN(pairs[[#This Row],[ Back]],0),1)</f>
        <v>0.6</v>
      </c>
      <c r="I602" s="235">
        <f>IF( OR( OR(pairs[[#This Row],[Az*]]=0, pairs[[#This Row],[Back*]]=0), OR(pairs[[#This Row],[Az*]]=1, pairs[[#This Row],[Back*]]=1)), 1, 0)</f>
        <v>1</v>
      </c>
      <c r="J602" s="235">
        <f>IF(OR(pairs[[#This Row],[Az*]]=0.5,pairs[[#This Row],[Back*]]=0.5),1,0)</f>
        <v>0</v>
      </c>
    </row>
    <row r="603" spans="1:10" ht="14.1">
      <c r="A603" s="23" t="s">
        <v>218</v>
      </c>
      <c r="B603" s="23" t="s">
        <v>214</v>
      </c>
      <c r="C603" s="229"/>
      <c r="D603" s="229">
        <v>240</v>
      </c>
      <c r="E603" s="25">
        <v>0.42434699999999997</v>
      </c>
      <c r="F603" s="230">
        <f>pairs[[#This Row],[ Dist]]*5280</f>
        <v>2240.5521599999997</v>
      </c>
      <c r="G603" s="232">
        <f>ROUND(pairs[[#This Row],[ Az]]-ROUNDDOWN(pairs[[#This Row],[ Az]],0),1)</f>
        <v>0</v>
      </c>
      <c r="H603" s="232">
        <f>ROUND(pairs[[#This Row],[ Back]]-ROUNDDOWN(pairs[[#This Row],[ Back]],0),1)</f>
        <v>0</v>
      </c>
      <c r="I603" s="232">
        <f>IF( OR( OR(pairs[[#This Row],[Az*]]=0, pairs[[#This Row],[Back*]]=0), OR(pairs[[#This Row],[Az*]]=1, pairs[[#This Row],[Back*]]=1)), 1, 0)</f>
        <v>1</v>
      </c>
      <c r="J603" s="232">
        <f>IF(OR(pairs[[#This Row],[Az*]]=0.5,pairs[[#This Row],[Back*]]=0.5),1,0)</f>
        <v>0</v>
      </c>
    </row>
    <row r="604" spans="1:10">
      <c r="A604" s="231" t="s">
        <v>218</v>
      </c>
      <c r="B604" s="231" t="s">
        <v>213</v>
      </c>
      <c r="C604" s="232"/>
      <c r="D604" s="232">
        <v>310.56</v>
      </c>
      <c r="E604" s="233">
        <v>0.33009699999999997</v>
      </c>
      <c r="F604" s="234">
        <f>pairs[[#This Row],[ Dist]]*5280</f>
        <v>1742.9121599999999</v>
      </c>
      <c r="G604" s="232">
        <f>ROUND(pairs[[#This Row],[ Az]]-ROUNDDOWN(pairs[[#This Row],[ Az]],0),1)</f>
        <v>0</v>
      </c>
      <c r="H604" s="232">
        <f>ROUND(pairs[[#This Row],[ Back]]-ROUNDDOWN(pairs[[#This Row],[ Back]],0),1)</f>
        <v>0.6</v>
      </c>
      <c r="I604" s="232">
        <f>IF( OR( OR(pairs[[#This Row],[Az*]]=0, pairs[[#This Row],[Back*]]=0), OR(pairs[[#This Row],[Az*]]=1, pairs[[#This Row],[Back*]]=1)), 1, 0)</f>
        <v>1</v>
      </c>
      <c r="J604" s="232">
        <f>IF(OR(pairs[[#This Row],[Az*]]=0.5,pairs[[#This Row],[Back*]]=0.5),1,0)</f>
        <v>0</v>
      </c>
    </row>
    <row r="605" spans="1:10">
      <c r="A605" s="231" t="s">
        <v>218</v>
      </c>
      <c r="B605" s="231" t="s">
        <v>212</v>
      </c>
      <c r="C605" s="232"/>
      <c r="D605" s="232">
        <v>333.26</v>
      </c>
      <c r="E605" s="233">
        <v>0.90935600000000005</v>
      </c>
      <c r="F605" s="234">
        <f>pairs[[#This Row],[ Dist]]*5280</f>
        <v>4801.3996800000004</v>
      </c>
      <c r="G605" s="232">
        <f>ROUND(pairs[[#This Row],[ Az]]-ROUNDDOWN(pairs[[#This Row],[ Az]],0),1)</f>
        <v>0</v>
      </c>
      <c r="H605" s="232">
        <f>ROUND(pairs[[#This Row],[ Back]]-ROUNDDOWN(pairs[[#This Row],[ Back]],0),1)</f>
        <v>0.3</v>
      </c>
      <c r="I605" s="232">
        <f>IF( OR( OR(pairs[[#This Row],[Az*]]=0, pairs[[#This Row],[Back*]]=0), OR(pairs[[#This Row],[Az*]]=1, pairs[[#This Row],[Back*]]=1)), 1, 0)</f>
        <v>1</v>
      </c>
      <c r="J605" s="232">
        <f>IF(OR(pairs[[#This Row],[Az*]]=0.5,pairs[[#This Row],[Back*]]=0.5),1,0)</f>
        <v>0</v>
      </c>
    </row>
    <row r="606" spans="1:10">
      <c r="A606" s="231" t="s">
        <v>218</v>
      </c>
      <c r="B606" s="231" t="s">
        <v>211</v>
      </c>
      <c r="C606" s="232"/>
      <c r="D606" s="232">
        <v>6.72</v>
      </c>
      <c r="E606" s="233">
        <v>0.82670500000000002</v>
      </c>
      <c r="F606" s="234">
        <f>pairs[[#This Row],[ Dist]]*5280</f>
        <v>4365.0024000000003</v>
      </c>
      <c r="G606" s="232">
        <f>ROUND(pairs[[#This Row],[ Az]]-ROUNDDOWN(pairs[[#This Row],[ Az]],0),1)</f>
        <v>0</v>
      </c>
      <c r="H606" s="232">
        <f>ROUND(pairs[[#This Row],[ Back]]-ROUNDDOWN(pairs[[#This Row],[ Back]],0),1)</f>
        <v>0.7</v>
      </c>
      <c r="I606" s="232">
        <f>IF( OR( OR(pairs[[#This Row],[Az*]]=0, pairs[[#This Row],[Back*]]=0), OR(pairs[[#This Row],[Az*]]=1, pairs[[#This Row],[Back*]]=1)), 1, 0)</f>
        <v>1</v>
      </c>
      <c r="J606" s="232">
        <f>IF(OR(pairs[[#This Row],[Az*]]=0.5,pairs[[#This Row],[Back*]]=0.5),1,0)</f>
        <v>0</v>
      </c>
    </row>
    <row r="607" spans="1:10" ht="14.1">
      <c r="A607" s="23" t="s">
        <v>218</v>
      </c>
      <c r="B607" s="23" t="s">
        <v>210</v>
      </c>
      <c r="C607" s="229"/>
      <c r="D607" s="229">
        <v>110.99</v>
      </c>
      <c r="E607" s="25">
        <v>0.63722900000000005</v>
      </c>
      <c r="F607" s="230">
        <f>pairs[[#This Row],[ Dist]]*5280</f>
        <v>3364.5691200000001</v>
      </c>
      <c r="G607" s="232">
        <f>ROUND(pairs[[#This Row],[ Az]]-ROUNDDOWN(pairs[[#This Row],[ Az]],0),1)</f>
        <v>0</v>
      </c>
      <c r="H607" s="232">
        <f>ROUND(pairs[[#This Row],[ Back]]-ROUNDDOWN(pairs[[#This Row],[ Back]],0),1)</f>
        <v>1</v>
      </c>
      <c r="I607" s="232">
        <f>IF( OR( OR(pairs[[#This Row],[Az*]]=0, pairs[[#This Row],[Back*]]=0), OR(pairs[[#This Row],[Az*]]=1, pairs[[#This Row],[Back*]]=1)), 1, 0)</f>
        <v>1</v>
      </c>
      <c r="J607" s="232">
        <f>IF(OR(pairs[[#This Row],[Az*]]=0.5,pairs[[#This Row],[Back*]]=0.5),1,0)</f>
        <v>0</v>
      </c>
    </row>
    <row r="608" spans="1:10">
      <c r="A608" s="231" t="s">
        <v>218</v>
      </c>
      <c r="B608" s="231" t="s">
        <v>209</v>
      </c>
      <c r="C608" s="232"/>
      <c r="D608" s="232">
        <v>63.36</v>
      </c>
      <c r="E608" s="233">
        <v>1.0900829999999999</v>
      </c>
      <c r="F608" s="234">
        <f>pairs[[#This Row],[ Dist]]*5280</f>
        <v>5755.6382399999993</v>
      </c>
      <c r="G608" s="232">
        <f>ROUND(pairs[[#This Row],[ Az]]-ROUNDDOWN(pairs[[#This Row],[ Az]],0),1)</f>
        <v>0</v>
      </c>
      <c r="H608" s="232">
        <f>ROUND(pairs[[#This Row],[ Back]]-ROUNDDOWN(pairs[[#This Row],[ Back]],0),1)</f>
        <v>0.4</v>
      </c>
      <c r="I608" s="232">
        <f>IF( OR( OR(pairs[[#This Row],[Az*]]=0, pairs[[#This Row],[Back*]]=0), OR(pairs[[#This Row],[Az*]]=1, pairs[[#This Row],[Back*]]=1)), 1, 0)</f>
        <v>1</v>
      </c>
      <c r="J608" s="232">
        <f>IF(OR(pairs[[#This Row],[Az*]]=0.5,pairs[[#This Row],[Back*]]=0.5),1,0)</f>
        <v>0</v>
      </c>
    </row>
    <row r="609" spans="1:10">
      <c r="A609" s="231" t="s">
        <v>218</v>
      </c>
      <c r="B609" s="231" t="s">
        <v>208</v>
      </c>
      <c r="C609" s="232"/>
      <c r="D609" s="232">
        <v>63.89</v>
      </c>
      <c r="E609" s="233">
        <v>0.66348499999999999</v>
      </c>
      <c r="F609" s="234">
        <f>pairs[[#This Row],[ Dist]]*5280</f>
        <v>3503.2008000000001</v>
      </c>
      <c r="G609" s="232">
        <f>ROUND(pairs[[#This Row],[ Az]]-ROUNDDOWN(pairs[[#This Row],[ Az]],0),1)</f>
        <v>0</v>
      </c>
      <c r="H609" s="232">
        <f>ROUND(pairs[[#This Row],[ Back]]-ROUNDDOWN(pairs[[#This Row],[ Back]],0),1)</f>
        <v>0.9</v>
      </c>
      <c r="I609" s="232">
        <f>IF( OR( OR(pairs[[#This Row],[Az*]]=0, pairs[[#This Row],[Back*]]=0), OR(pairs[[#This Row],[Az*]]=1, pairs[[#This Row],[Back*]]=1)), 1, 0)</f>
        <v>1</v>
      </c>
      <c r="J609" s="232">
        <f>IF(OR(pairs[[#This Row],[Az*]]=0.5,pairs[[#This Row],[Back*]]=0.5),1,0)</f>
        <v>0</v>
      </c>
    </row>
    <row r="610" spans="1:10">
      <c r="A610" s="231" t="s">
        <v>218</v>
      </c>
      <c r="B610" s="231" t="s">
        <v>207</v>
      </c>
      <c r="C610" s="232"/>
      <c r="D610" s="232">
        <v>168.73</v>
      </c>
      <c r="E610" s="233">
        <v>0.49431199999999997</v>
      </c>
      <c r="F610" s="234">
        <f>pairs[[#This Row],[ Dist]]*5280</f>
        <v>2609.9673599999996</v>
      </c>
      <c r="G610" s="232">
        <f>ROUND(pairs[[#This Row],[ Az]]-ROUNDDOWN(pairs[[#This Row],[ Az]],0),1)</f>
        <v>0</v>
      </c>
      <c r="H610" s="232">
        <f>ROUND(pairs[[#This Row],[ Back]]-ROUNDDOWN(pairs[[#This Row],[ Back]],0),1)</f>
        <v>0.7</v>
      </c>
      <c r="I610" s="232">
        <f>IF( OR( OR(pairs[[#This Row],[Az*]]=0, pairs[[#This Row],[Back*]]=0), OR(pairs[[#This Row],[Az*]]=1, pairs[[#This Row],[Back*]]=1)), 1, 0)</f>
        <v>1</v>
      </c>
      <c r="J610" s="232">
        <f>IF(OR(pairs[[#This Row],[Az*]]=0.5,pairs[[#This Row],[Back*]]=0.5),1,0)</f>
        <v>0</v>
      </c>
    </row>
    <row r="611" spans="1:10">
      <c r="A611" s="231" t="s">
        <v>218</v>
      </c>
      <c r="B611" s="231" t="s">
        <v>206</v>
      </c>
      <c r="C611" s="232"/>
      <c r="D611" s="232">
        <v>347.08</v>
      </c>
      <c r="E611" s="233">
        <v>0.28655000000000003</v>
      </c>
      <c r="F611" s="234">
        <f>pairs[[#This Row],[ Dist]]*5280</f>
        <v>1512.9840000000002</v>
      </c>
      <c r="G611" s="232">
        <f>ROUND(pairs[[#This Row],[ Az]]-ROUNDDOWN(pairs[[#This Row],[ Az]],0),1)</f>
        <v>0</v>
      </c>
      <c r="H611" s="232">
        <f>ROUND(pairs[[#This Row],[ Back]]-ROUNDDOWN(pairs[[#This Row],[ Back]],0),1)</f>
        <v>0.1</v>
      </c>
      <c r="I611" s="232">
        <f>IF( OR( OR(pairs[[#This Row],[Az*]]=0, pairs[[#This Row],[Back*]]=0), OR(pairs[[#This Row],[Az*]]=1, pairs[[#This Row],[Back*]]=1)), 1, 0)</f>
        <v>1</v>
      </c>
      <c r="J611" s="232">
        <f>IF(OR(pairs[[#This Row],[Az*]]=0.5,pairs[[#This Row],[Back*]]=0.5),1,0)</f>
        <v>0</v>
      </c>
    </row>
    <row r="612" spans="1:10">
      <c r="A612" s="231" t="s">
        <v>218</v>
      </c>
      <c r="B612" s="231" t="s">
        <v>205</v>
      </c>
      <c r="C612" s="232"/>
      <c r="D612" s="232">
        <v>182.09</v>
      </c>
      <c r="E612" s="233">
        <v>0.119423</v>
      </c>
      <c r="F612" s="234">
        <f>pairs[[#This Row],[ Dist]]*5280</f>
        <v>630.55344000000002</v>
      </c>
      <c r="G612" s="232">
        <f>ROUND(pairs[[#This Row],[ Az]]-ROUNDDOWN(pairs[[#This Row],[ Az]],0),1)</f>
        <v>0</v>
      </c>
      <c r="H612" s="232">
        <f>ROUND(pairs[[#This Row],[ Back]]-ROUNDDOWN(pairs[[#This Row],[ Back]],0),1)</f>
        <v>0.1</v>
      </c>
      <c r="I612" s="232">
        <f>IF( OR( OR(pairs[[#This Row],[Az*]]=0, pairs[[#This Row],[Back*]]=0), OR(pairs[[#This Row],[Az*]]=1, pairs[[#This Row],[Back*]]=1)), 1, 0)</f>
        <v>1</v>
      </c>
      <c r="J612" s="232">
        <f>IF(OR(pairs[[#This Row],[Az*]]=0.5,pairs[[#This Row],[Back*]]=0.5),1,0)</f>
        <v>0</v>
      </c>
    </row>
    <row r="613" spans="1:10">
      <c r="A613" s="231" t="s">
        <v>216</v>
      </c>
      <c r="B613" s="231" t="s">
        <v>217</v>
      </c>
      <c r="C613" s="232"/>
      <c r="D613" s="232">
        <v>359.92</v>
      </c>
      <c r="E613" s="233">
        <v>6.9038000000000002E-2</v>
      </c>
      <c r="F613" s="234">
        <f>pairs[[#This Row],[ Dist]]*5280</f>
        <v>364.52064000000001</v>
      </c>
      <c r="G613" s="232">
        <f>ROUND(pairs[[#This Row],[ Az]]-ROUNDDOWN(pairs[[#This Row],[ Az]],0),1)</f>
        <v>0</v>
      </c>
      <c r="H613" s="232">
        <f>ROUND(pairs[[#This Row],[ Back]]-ROUNDDOWN(pairs[[#This Row],[ Back]],0),1)</f>
        <v>0.9</v>
      </c>
      <c r="I613" s="232">
        <f>IF( OR( OR(pairs[[#This Row],[Az*]]=0, pairs[[#This Row],[Back*]]=0), OR(pairs[[#This Row],[Az*]]=1, pairs[[#This Row],[Back*]]=1)), 1, 0)</f>
        <v>1</v>
      </c>
      <c r="J613" s="232">
        <f>IF(OR(pairs[[#This Row],[Az*]]=0.5,pairs[[#This Row],[Back*]]=0.5),1,0)</f>
        <v>0</v>
      </c>
    </row>
    <row r="614" spans="1:10">
      <c r="A614" s="231" t="s">
        <v>216</v>
      </c>
      <c r="B614" s="231" t="s">
        <v>197</v>
      </c>
      <c r="C614" s="232"/>
      <c r="D614" s="232">
        <v>270.38</v>
      </c>
      <c r="E614" s="233">
        <v>0.15954499999999999</v>
      </c>
      <c r="F614" s="234">
        <f>pairs[[#This Row],[ Dist]]*5280</f>
        <v>842.39760000000001</v>
      </c>
      <c r="G614" s="232">
        <f>ROUND(pairs[[#This Row],[ Az]]-ROUNDDOWN(pairs[[#This Row],[ Az]],0),1)</f>
        <v>0</v>
      </c>
      <c r="H614" s="232">
        <f>ROUND(pairs[[#This Row],[ Back]]-ROUNDDOWN(pairs[[#This Row],[ Back]],0),1)</f>
        <v>0.4</v>
      </c>
      <c r="I614" s="232">
        <f>IF( OR( OR(pairs[[#This Row],[Az*]]=0, pairs[[#This Row],[Back*]]=0), OR(pairs[[#This Row],[Az*]]=1, pairs[[#This Row],[Back*]]=1)), 1, 0)</f>
        <v>1</v>
      </c>
      <c r="J614" s="232">
        <f>IF(OR(pairs[[#This Row],[Az*]]=0.5,pairs[[#This Row],[Back*]]=0.5),1,0)</f>
        <v>0</v>
      </c>
    </row>
    <row r="615" spans="1:10">
      <c r="A615" s="231" t="s">
        <v>216</v>
      </c>
      <c r="B615" s="231" t="s">
        <v>198</v>
      </c>
      <c r="C615" s="232"/>
      <c r="D615" s="232">
        <v>293.73</v>
      </c>
      <c r="E615" s="233">
        <v>0.175647</v>
      </c>
      <c r="F615" s="234">
        <f>pairs[[#This Row],[ Dist]]*5280</f>
        <v>927.41615999999999</v>
      </c>
      <c r="G615" s="232">
        <f>ROUND(pairs[[#This Row],[ Az]]-ROUNDDOWN(pairs[[#This Row],[ Az]],0),1)</f>
        <v>0</v>
      </c>
      <c r="H615" s="232">
        <f>ROUND(pairs[[#This Row],[ Back]]-ROUNDDOWN(pairs[[#This Row],[ Back]],0),1)</f>
        <v>0.7</v>
      </c>
      <c r="I615" s="232">
        <f>IF( OR( OR(pairs[[#This Row],[Az*]]=0, pairs[[#This Row],[Back*]]=0), OR(pairs[[#This Row],[Az*]]=1, pairs[[#This Row],[Back*]]=1)), 1, 0)</f>
        <v>1</v>
      </c>
      <c r="J615" s="232">
        <f>IF(OR(pairs[[#This Row],[Az*]]=0.5,pairs[[#This Row],[Back*]]=0.5),1,0)</f>
        <v>0</v>
      </c>
    </row>
    <row r="616" spans="1:10">
      <c r="A616" s="231" t="s">
        <v>216</v>
      </c>
      <c r="B616" s="231" t="s">
        <v>199</v>
      </c>
      <c r="C616" s="232"/>
      <c r="D616" s="232">
        <v>318.73</v>
      </c>
      <c r="E616" s="233">
        <v>9.5131999999999994E-2</v>
      </c>
      <c r="F616" s="234">
        <f>pairs[[#This Row],[ Dist]]*5280</f>
        <v>502.29695999999996</v>
      </c>
      <c r="G616" s="232">
        <f>ROUND(pairs[[#This Row],[ Az]]-ROUNDDOWN(pairs[[#This Row],[ Az]],0),1)</f>
        <v>0</v>
      </c>
      <c r="H616" s="232">
        <f>ROUND(pairs[[#This Row],[ Back]]-ROUNDDOWN(pairs[[#This Row],[ Back]],0),1)</f>
        <v>0.7</v>
      </c>
      <c r="I616" s="232">
        <f>IF( OR( OR(pairs[[#This Row],[Az*]]=0, pairs[[#This Row],[Back*]]=0), OR(pairs[[#This Row],[Az*]]=1, pairs[[#This Row],[Back*]]=1)), 1, 0)</f>
        <v>1</v>
      </c>
      <c r="J616" s="232">
        <f>IF(OR(pairs[[#This Row],[Az*]]=0.5,pairs[[#This Row],[Back*]]=0.5),1,0)</f>
        <v>0</v>
      </c>
    </row>
    <row r="617" spans="1:10" ht="14.1">
      <c r="A617" s="23" t="s">
        <v>216</v>
      </c>
      <c r="B617" s="23" t="s">
        <v>200</v>
      </c>
      <c r="C617" s="229"/>
      <c r="D617" s="229">
        <v>309.04000000000002</v>
      </c>
      <c r="E617" s="25">
        <v>0.113582</v>
      </c>
      <c r="F617" s="230">
        <f>pairs[[#This Row],[ Dist]]*5280</f>
        <v>599.71296000000007</v>
      </c>
      <c r="G617" s="232">
        <f>ROUND(pairs[[#This Row],[ Az]]-ROUNDDOWN(pairs[[#This Row],[ Az]],0),1)</f>
        <v>0</v>
      </c>
      <c r="H617" s="232">
        <f>ROUND(pairs[[#This Row],[ Back]]-ROUNDDOWN(pairs[[#This Row],[ Back]],0),1)</f>
        <v>0</v>
      </c>
      <c r="I617" s="232">
        <f>IF( OR( OR(pairs[[#This Row],[Az*]]=0, pairs[[#This Row],[Back*]]=0), OR(pairs[[#This Row],[Az*]]=1, pairs[[#This Row],[Back*]]=1)), 1, 0)</f>
        <v>1</v>
      </c>
      <c r="J617" s="232">
        <f>IF(OR(pairs[[#This Row],[Az*]]=0.5,pairs[[#This Row],[Back*]]=0.5),1,0)</f>
        <v>0</v>
      </c>
    </row>
    <row r="618" spans="1:10">
      <c r="A618" s="231" t="s">
        <v>216</v>
      </c>
      <c r="B618" s="231" t="s">
        <v>201</v>
      </c>
      <c r="C618" s="232"/>
      <c r="D618" s="232">
        <v>297.94</v>
      </c>
      <c r="E618" s="233">
        <v>0.15343200000000001</v>
      </c>
      <c r="F618" s="234">
        <f>pairs[[#This Row],[ Dist]]*5280</f>
        <v>810.12096000000008</v>
      </c>
      <c r="G618" s="232">
        <f>ROUND(pairs[[#This Row],[ Az]]-ROUNDDOWN(pairs[[#This Row],[ Az]],0),1)</f>
        <v>0</v>
      </c>
      <c r="H618" s="232">
        <f>ROUND(pairs[[#This Row],[ Back]]-ROUNDDOWN(pairs[[#This Row],[ Back]],0),1)</f>
        <v>0.9</v>
      </c>
      <c r="I618" s="232">
        <f>IF( OR( OR(pairs[[#This Row],[Az*]]=0, pairs[[#This Row],[Back*]]=0), OR(pairs[[#This Row],[Az*]]=1, pairs[[#This Row],[Back*]]=1)), 1, 0)</f>
        <v>1</v>
      </c>
      <c r="J618" s="232">
        <f>IF(OR(pairs[[#This Row],[Az*]]=0.5,pairs[[#This Row],[Back*]]=0.5),1,0)</f>
        <v>0</v>
      </c>
    </row>
    <row r="619" spans="1:10">
      <c r="A619" s="231" t="s">
        <v>216</v>
      </c>
      <c r="B619" s="231" t="s">
        <v>202</v>
      </c>
      <c r="C619" s="232"/>
      <c r="D619" s="232">
        <v>270.85000000000002</v>
      </c>
      <c r="E619" s="233">
        <v>0.11999899999999999</v>
      </c>
      <c r="F619" s="234">
        <f>pairs[[#This Row],[ Dist]]*5280</f>
        <v>633.59471999999994</v>
      </c>
      <c r="G619" s="232">
        <f>ROUND(pairs[[#This Row],[ Az]]-ROUNDDOWN(pairs[[#This Row],[ Az]],0),1)</f>
        <v>0</v>
      </c>
      <c r="H619" s="232">
        <f>ROUND(pairs[[#This Row],[ Back]]-ROUNDDOWN(pairs[[#This Row],[ Back]],0),1)</f>
        <v>0.9</v>
      </c>
      <c r="I619" s="232">
        <f>IF( OR( OR(pairs[[#This Row],[Az*]]=0, pairs[[#This Row],[Back*]]=0), OR(pairs[[#This Row],[Az*]]=1, pairs[[#This Row],[Back*]]=1)), 1, 0)</f>
        <v>1</v>
      </c>
      <c r="J619" s="232">
        <f>IF(OR(pairs[[#This Row],[Az*]]=0.5,pairs[[#This Row],[Back*]]=0.5),1,0)</f>
        <v>0</v>
      </c>
    </row>
    <row r="620" spans="1:10">
      <c r="A620" s="231" t="s">
        <v>216</v>
      </c>
      <c r="B620" s="231" t="s">
        <v>203</v>
      </c>
      <c r="C620" s="232"/>
      <c r="D620" s="232">
        <v>270.75</v>
      </c>
      <c r="E620" s="233">
        <v>8.4642999999999996E-2</v>
      </c>
      <c r="F620" s="234">
        <f>pairs[[#This Row],[ Dist]]*5280</f>
        <v>446.91503999999998</v>
      </c>
      <c r="G620" s="232">
        <f>ROUND(pairs[[#This Row],[ Az]]-ROUNDDOWN(pairs[[#This Row],[ Az]],0),1)</f>
        <v>0</v>
      </c>
      <c r="H620" s="232">
        <f>ROUND(pairs[[#This Row],[ Back]]-ROUNDDOWN(pairs[[#This Row],[ Back]],0),1)</f>
        <v>0.8</v>
      </c>
      <c r="I620" s="232">
        <f>IF( OR( OR(pairs[[#This Row],[Az*]]=0, pairs[[#This Row],[Back*]]=0), OR(pairs[[#This Row],[Az*]]=1, pairs[[#This Row],[Back*]]=1)), 1, 0)</f>
        <v>1</v>
      </c>
      <c r="J620" s="232">
        <f>IF(OR(pairs[[#This Row],[Az*]]=0.5,pairs[[#This Row],[Back*]]=0.5),1,0)</f>
        <v>0</v>
      </c>
    </row>
    <row r="621" spans="1:10" ht="14.1">
      <c r="A621" s="23" t="s">
        <v>216</v>
      </c>
      <c r="B621" s="23" t="s">
        <v>204</v>
      </c>
      <c r="C621" s="229"/>
      <c r="D621" s="229">
        <v>298.02</v>
      </c>
      <c r="E621" s="25">
        <v>7.0916000000000007E-2</v>
      </c>
      <c r="F621" s="230">
        <f>pairs[[#This Row],[ Dist]]*5280</f>
        <v>374.43648000000002</v>
      </c>
      <c r="G621" s="232">
        <f>ROUND(pairs[[#This Row],[ Az]]-ROUNDDOWN(pairs[[#This Row],[ Az]],0),1)</f>
        <v>0</v>
      </c>
      <c r="H621" s="232">
        <f>ROUND(pairs[[#This Row],[ Back]]-ROUNDDOWN(pairs[[#This Row],[ Back]],0),1)</f>
        <v>0</v>
      </c>
      <c r="I621" s="232">
        <f>IF( OR( OR(pairs[[#This Row],[Az*]]=0, pairs[[#This Row],[Back*]]=0), OR(pairs[[#This Row],[Az*]]=1, pairs[[#This Row],[Back*]]=1)), 1, 0)</f>
        <v>1</v>
      </c>
      <c r="J621" s="232">
        <f>IF(OR(pairs[[#This Row],[Az*]]=0.5,pairs[[#This Row],[Back*]]=0.5),1,0)</f>
        <v>0</v>
      </c>
    </row>
    <row r="622" spans="1:10">
      <c r="A622" s="231" t="s">
        <v>216</v>
      </c>
      <c r="B622" s="231" t="s">
        <v>215</v>
      </c>
      <c r="C622" s="232"/>
      <c r="D622" s="232">
        <v>217.9</v>
      </c>
      <c r="E622" s="233">
        <v>0.95902299999999996</v>
      </c>
      <c r="F622" s="234">
        <f>pairs[[#This Row],[ Dist]]*5280</f>
        <v>5063.6414399999994</v>
      </c>
      <c r="G622" s="232">
        <f>ROUND(pairs[[#This Row],[ Az]]-ROUNDDOWN(pairs[[#This Row],[ Az]],0),1)</f>
        <v>0</v>
      </c>
      <c r="H622" s="232">
        <f>ROUND(pairs[[#This Row],[ Back]]-ROUNDDOWN(pairs[[#This Row],[ Back]],0),1)</f>
        <v>0.9</v>
      </c>
      <c r="I622" s="232">
        <f>IF( OR( OR(pairs[[#This Row],[Az*]]=0, pairs[[#This Row],[Back*]]=0), OR(pairs[[#This Row],[Az*]]=1, pairs[[#This Row],[Back*]]=1)), 1, 0)</f>
        <v>1</v>
      </c>
      <c r="J622" s="232">
        <f>IF(OR(pairs[[#This Row],[Az*]]=0.5,pairs[[#This Row],[Back*]]=0.5),1,0)</f>
        <v>0</v>
      </c>
    </row>
    <row r="623" spans="1:10">
      <c r="A623" s="231" t="s">
        <v>216</v>
      </c>
      <c r="B623" s="231" t="s">
        <v>214</v>
      </c>
      <c r="C623" s="232"/>
      <c r="D623" s="232">
        <v>248.17</v>
      </c>
      <c r="E623" s="233">
        <v>0.567743</v>
      </c>
      <c r="F623" s="234">
        <f>pairs[[#This Row],[ Dist]]*5280</f>
        <v>2997.6830399999999</v>
      </c>
      <c r="G623" s="232">
        <f>ROUND(pairs[[#This Row],[ Az]]-ROUNDDOWN(pairs[[#This Row],[ Az]],0),1)</f>
        <v>0</v>
      </c>
      <c r="H623" s="232">
        <f>ROUND(pairs[[#This Row],[ Back]]-ROUNDDOWN(pairs[[#This Row],[ Back]],0),1)</f>
        <v>0.2</v>
      </c>
      <c r="I623" s="232">
        <f>IF( OR( OR(pairs[[#This Row],[Az*]]=0, pairs[[#This Row],[Back*]]=0), OR(pairs[[#This Row],[Az*]]=1, pairs[[#This Row],[Back*]]=1)), 1, 0)</f>
        <v>1</v>
      </c>
      <c r="J623" s="232">
        <f>IF(OR(pairs[[#This Row],[Az*]]=0.5,pairs[[#This Row],[Back*]]=0.5),1,0)</f>
        <v>0</v>
      </c>
    </row>
    <row r="624" spans="1:10">
      <c r="A624" s="231" t="s">
        <v>216</v>
      </c>
      <c r="B624" s="231" t="s">
        <v>213</v>
      </c>
      <c r="C624" s="232"/>
      <c r="D624" s="232">
        <v>297.73</v>
      </c>
      <c r="E624" s="233">
        <v>0.46356999999999998</v>
      </c>
      <c r="F624" s="234">
        <f>pairs[[#This Row],[ Dist]]*5280</f>
        <v>2447.6495999999997</v>
      </c>
      <c r="G624" s="232">
        <f>ROUND(pairs[[#This Row],[ Az]]-ROUNDDOWN(pairs[[#This Row],[ Az]],0),1)</f>
        <v>0</v>
      </c>
      <c r="H624" s="232">
        <f>ROUND(pairs[[#This Row],[ Back]]-ROUNDDOWN(pairs[[#This Row],[ Back]],0),1)</f>
        <v>0.7</v>
      </c>
      <c r="I624" s="232">
        <f>IF( OR( OR(pairs[[#This Row],[Az*]]=0, pairs[[#This Row],[Back*]]=0), OR(pairs[[#This Row],[Az*]]=1, pairs[[#This Row],[Back*]]=1)), 1, 0)</f>
        <v>1</v>
      </c>
      <c r="J624" s="232">
        <f>IF(OR(pairs[[#This Row],[Az*]]=0.5,pairs[[#This Row],[Back*]]=0.5),1,0)</f>
        <v>0</v>
      </c>
    </row>
    <row r="625" spans="1:10" ht="14.1">
      <c r="A625" s="23" t="s">
        <v>216</v>
      </c>
      <c r="B625" s="23" t="s">
        <v>212</v>
      </c>
      <c r="C625" s="229"/>
      <c r="D625" s="229">
        <v>325.02999999999997</v>
      </c>
      <c r="E625" s="25">
        <v>0.992317</v>
      </c>
      <c r="F625" s="230">
        <f>pairs[[#This Row],[ Dist]]*5280</f>
        <v>5239.4337599999999</v>
      </c>
      <c r="G625" s="232">
        <f>ROUND(pairs[[#This Row],[ Az]]-ROUNDDOWN(pairs[[#This Row],[ Az]],0),1)</f>
        <v>0</v>
      </c>
      <c r="H625" s="232">
        <f>ROUND(pairs[[#This Row],[ Back]]-ROUNDDOWN(pairs[[#This Row],[ Back]],0),1)</f>
        <v>0</v>
      </c>
      <c r="I625" s="232">
        <f>IF( OR( OR(pairs[[#This Row],[Az*]]=0, pairs[[#This Row],[Back*]]=0), OR(pairs[[#This Row],[Az*]]=1, pairs[[#This Row],[Back*]]=1)), 1, 0)</f>
        <v>1</v>
      </c>
      <c r="J625" s="232">
        <f>IF(OR(pairs[[#This Row],[Az*]]=0.5,pairs[[#This Row],[Back*]]=0.5),1,0)</f>
        <v>0</v>
      </c>
    </row>
    <row r="626" spans="1:10">
      <c r="A626" s="231" t="s">
        <v>216</v>
      </c>
      <c r="B626" s="231" t="s">
        <v>211</v>
      </c>
      <c r="C626" s="232"/>
      <c r="D626" s="232">
        <v>355.64</v>
      </c>
      <c r="E626" s="233">
        <v>0.824465</v>
      </c>
      <c r="F626" s="234">
        <f>pairs[[#This Row],[ Dist]]*5280</f>
        <v>4353.1751999999997</v>
      </c>
      <c r="G626" s="232">
        <f>ROUND(pairs[[#This Row],[ Az]]-ROUNDDOWN(pairs[[#This Row],[ Az]],0),1)</f>
        <v>0</v>
      </c>
      <c r="H626" s="232">
        <f>ROUND(pairs[[#This Row],[ Back]]-ROUNDDOWN(pairs[[#This Row],[ Back]],0),1)</f>
        <v>0.6</v>
      </c>
      <c r="I626" s="232">
        <f>IF( OR( OR(pairs[[#This Row],[Az*]]=0, pairs[[#This Row],[Back*]]=0), OR(pairs[[#This Row],[Az*]]=1, pairs[[#This Row],[Back*]]=1)), 1, 0)</f>
        <v>1</v>
      </c>
      <c r="J626" s="232">
        <f>IF(OR(pairs[[#This Row],[Az*]]=0.5,pairs[[#This Row],[Back*]]=0.5),1,0)</f>
        <v>0</v>
      </c>
    </row>
    <row r="627" spans="1:10">
      <c r="A627" s="231" t="s">
        <v>216</v>
      </c>
      <c r="B627" s="231" t="s">
        <v>210</v>
      </c>
      <c r="C627" s="232"/>
      <c r="D627" s="232">
        <v>117.56</v>
      </c>
      <c r="E627" s="233">
        <v>0.49112800000000001</v>
      </c>
      <c r="F627" s="234">
        <f>pairs[[#This Row],[ Dist]]*5280</f>
        <v>2593.1558399999999</v>
      </c>
      <c r="G627" s="232">
        <f>ROUND(pairs[[#This Row],[ Az]]-ROUNDDOWN(pairs[[#This Row],[ Az]],0),1)</f>
        <v>0</v>
      </c>
      <c r="H627" s="232">
        <f>ROUND(pairs[[#This Row],[ Back]]-ROUNDDOWN(pairs[[#This Row],[ Back]],0),1)</f>
        <v>0.6</v>
      </c>
      <c r="I627" s="232">
        <f>IF( OR( OR(pairs[[#This Row],[Az*]]=0, pairs[[#This Row],[Back*]]=0), OR(pairs[[#This Row],[Az*]]=1, pairs[[#This Row],[Back*]]=1)), 1, 0)</f>
        <v>1</v>
      </c>
      <c r="J627" s="232">
        <f>IF(OR(pairs[[#This Row],[Az*]]=0.5,pairs[[#This Row],[Back*]]=0.5),1,0)</f>
        <v>0</v>
      </c>
    </row>
    <row r="628" spans="1:10" ht="14.1">
      <c r="A628" s="23" t="s">
        <v>216</v>
      </c>
      <c r="B628" s="23" t="s">
        <v>209</v>
      </c>
      <c r="C628" s="229"/>
      <c r="D628" s="229">
        <v>58.98</v>
      </c>
      <c r="E628" s="25">
        <v>0.95070900000000003</v>
      </c>
      <c r="F628" s="230">
        <f>pairs[[#This Row],[ Dist]]*5280</f>
        <v>5019.74352</v>
      </c>
      <c r="G628" s="232">
        <f>ROUND(pairs[[#This Row],[ Az]]-ROUNDDOWN(pairs[[#This Row],[ Az]],0),1)</f>
        <v>0</v>
      </c>
      <c r="H628" s="232">
        <f>ROUND(pairs[[#This Row],[ Back]]-ROUNDDOWN(pairs[[#This Row],[ Back]],0),1)</f>
        <v>1</v>
      </c>
      <c r="I628" s="232">
        <f>IF( OR( OR(pairs[[#This Row],[Az*]]=0, pairs[[#This Row],[Back*]]=0), OR(pairs[[#This Row],[Az*]]=1, pairs[[#This Row],[Back*]]=1)), 1, 0)</f>
        <v>1</v>
      </c>
      <c r="J628" s="232">
        <f>IF(OR(pairs[[#This Row],[Az*]]=0.5,pairs[[#This Row],[Back*]]=0.5),1,0)</f>
        <v>0</v>
      </c>
    </row>
    <row r="629" spans="1:10">
      <c r="A629" s="231" t="s">
        <v>216</v>
      </c>
      <c r="B629" s="231" t="s">
        <v>208</v>
      </c>
      <c r="C629" s="232"/>
      <c r="D629" s="232">
        <v>56.11</v>
      </c>
      <c r="E629" s="233">
        <v>0.52552200000000004</v>
      </c>
      <c r="F629" s="234">
        <f>pairs[[#This Row],[ Dist]]*5280</f>
        <v>2774.7561600000004</v>
      </c>
      <c r="G629" s="232">
        <f>ROUND(pairs[[#This Row],[ Az]]-ROUNDDOWN(pairs[[#This Row],[ Az]],0),1)</f>
        <v>0</v>
      </c>
      <c r="H629" s="232">
        <f>ROUND(pairs[[#This Row],[ Back]]-ROUNDDOWN(pairs[[#This Row],[ Back]],0),1)</f>
        <v>0.1</v>
      </c>
      <c r="I629" s="232">
        <f>IF( OR( OR(pairs[[#This Row],[Az*]]=0, pairs[[#This Row],[Back*]]=0), OR(pairs[[#This Row],[Az*]]=1, pairs[[#This Row],[Back*]]=1)), 1, 0)</f>
        <v>1</v>
      </c>
      <c r="J629" s="232">
        <f>IF(OR(pairs[[#This Row],[Az*]]=0.5,pairs[[#This Row],[Back*]]=0.5),1,0)</f>
        <v>0</v>
      </c>
    </row>
    <row r="630" spans="1:10">
      <c r="A630" s="231" t="s">
        <v>216</v>
      </c>
      <c r="B630" s="231" t="s">
        <v>207</v>
      </c>
      <c r="C630" s="232"/>
      <c r="D630" s="232">
        <v>187.41</v>
      </c>
      <c r="E630" s="233">
        <v>0.48780099999999998</v>
      </c>
      <c r="F630" s="234">
        <f>pairs[[#This Row],[ Dist]]*5280</f>
        <v>2575.5892800000001</v>
      </c>
      <c r="G630" s="232">
        <f>ROUND(pairs[[#This Row],[ Az]]-ROUNDDOWN(pairs[[#This Row],[ Az]],0),1)</f>
        <v>0</v>
      </c>
      <c r="H630" s="232">
        <f>ROUND(pairs[[#This Row],[ Back]]-ROUNDDOWN(pairs[[#This Row],[ Back]],0),1)</f>
        <v>0.4</v>
      </c>
      <c r="I630" s="232">
        <f>IF( OR( OR(pairs[[#This Row],[Az*]]=0, pairs[[#This Row],[Back*]]=0), OR(pairs[[#This Row],[Az*]]=1, pairs[[#This Row],[Back*]]=1)), 1, 0)</f>
        <v>1</v>
      </c>
      <c r="J630" s="232">
        <f>IF(OR(pairs[[#This Row],[Az*]]=0.5,pairs[[#This Row],[Back*]]=0.5),1,0)</f>
        <v>0</v>
      </c>
    </row>
    <row r="631" spans="1:10">
      <c r="A631" s="231" t="s">
        <v>216</v>
      </c>
      <c r="B631" s="231" t="s">
        <v>206</v>
      </c>
      <c r="C631" s="232"/>
      <c r="D631" s="232">
        <v>321.43</v>
      </c>
      <c r="E631" s="233">
        <v>0.35860399999999998</v>
      </c>
      <c r="F631" s="234">
        <f>pairs[[#This Row],[ Dist]]*5280</f>
        <v>1893.4291199999998</v>
      </c>
      <c r="G631" s="232">
        <f>ROUND(pairs[[#This Row],[ Az]]-ROUNDDOWN(pairs[[#This Row],[ Az]],0),1)</f>
        <v>0</v>
      </c>
      <c r="H631" s="232">
        <f>ROUND(pairs[[#This Row],[ Back]]-ROUNDDOWN(pairs[[#This Row],[ Back]],0),1)</f>
        <v>0.4</v>
      </c>
      <c r="I631" s="232">
        <f>IF( OR( OR(pairs[[#This Row],[Az*]]=0, pairs[[#This Row],[Back*]]=0), OR(pairs[[#This Row],[Az*]]=1, pairs[[#This Row],[Back*]]=1)), 1, 0)</f>
        <v>1</v>
      </c>
      <c r="J631" s="232">
        <f>IF(OR(pairs[[#This Row],[Az*]]=0.5,pairs[[#This Row],[Back*]]=0.5),1,0)</f>
        <v>0</v>
      </c>
    </row>
    <row r="632" spans="1:10">
      <c r="A632" s="231" t="s">
        <v>216</v>
      </c>
      <c r="B632" s="231" t="s">
        <v>205</v>
      </c>
      <c r="C632" s="232"/>
      <c r="D632" s="232">
        <v>234.18</v>
      </c>
      <c r="E632" s="233">
        <v>0.202124</v>
      </c>
      <c r="F632" s="234">
        <f>pairs[[#This Row],[ Dist]]*5280</f>
        <v>1067.2147199999999</v>
      </c>
      <c r="G632" s="232">
        <f>ROUND(pairs[[#This Row],[ Az]]-ROUNDDOWN(pairs[[#This Row],[ Az]],0),1)</f>
        <v>0</v>
      </c>
      <c r="H632" s="232">
        <f>ROUND(pairs[[#This Row],[ Back]]-ROUNDDOWN(pairs[[#This Row],[ Back]],0),1)</f>
        <v>0.2</v>
      </c>
      <c r="I632" s="232">
        <f>IF( OR( OR(pairs[[#This Row],[Az*]]=0, pairs[[#This Row],[Back*]]=0), OR(pairs[[#This Row],[Az*]]=1, pairs[[#This Row],[Back*]]=1)), 1, 0)</f>
        <v>1</v>
      </c>
      <c r="J632" s="232">
        <f>IF(OR(pairs[[#This Row],[Az*]]=0.5,pairs[[#This Row],[Back*]]=0.5),1,0)</f>
        <v>0</v>
      </c>
    </row>
    <row r="633" spans="1:10">
      <c r="A633" s="231" t="s">
        <v>195</v>
      </c>
      <c r="B633" s="231" t="s">
        <v>196</v>
      </c>
      <c r="C633" s="232"/>
      <c r="D633" s="232">
        <v>179.92</v>
      </c>
      <c r="E633" s="233">
        <v>6.9038000000000002E-2</v>
      </c>
      <c r="F633" s="234">
        <f>pairs[[#This Row],[ Dist]]*5280</f>
        <v>364.52064000000001</v>
      </c>
      <c r="G633" s="232">
        <f>ROUND(pairs[[#This Row],[ Az]]-ROUNDDOWN(pairs[[#This Row],[ Az]],0),1)</f>
        <v>0</v>
      </c>
      <c r="H633" s="232">
        <f>ROUND(pairs[[#This Row],[ Back]]-ROUNDDOWN(pairs[[#This Row],[ Back]],0),1)</f>
        <v>0.9</v>
      </c>
      <c r="I633" s="232">
        <f>IF( OR( OR(pairs[[#This Row],[Az*]]=0, pairs[[#This Row],[Back*]]=0), OR(pairs[[#This Row],[Az*]]=1, pairs[[#This Row],[Back*]]=1)), 1, 0)</f>
        <v>1</v>
      </c>
      <c r="J633" s="232">
        <f>IF(OR(pairs[[#This Row],[Az*]]=0.5,pairs[[#This Row],[Back*]]=0.5),1,0)</f>
        <v>0</v>
      </c>
    </row>
    <row r="634" spans="1:10">
      <c r="A634" s="231" t="s">
        <v>195</v>
      </c>
      <c r="B634" s="231" t="s">
        <v>197</v>
      </c>
      <c r="C634" s="232"/>
      <c r="D634" s="232">
        <v>246.91</v>
      </c>
      <c r="E634" s="233">
        <v>0.17333899999999999</v>
      </c>
      <c r="F634" s="234">
        <f>pairs[[#This Row],[ Dist]]*5280</f>
        <v>915.22991999999999</v>
      </c>
      <c r="G634" s="232">
        <f>ROUND(pairs[[#This Row],[ Az]]-ROUNDDOWN(pairs[[#This Row],[ Az]],0),1)</f>
        <v>0</v>
      </c>
      <c r="H634" s="232">
        <f>ROUND(pairs[[#This Row],[ Back]]-ROUNDDOWN(pairs[[#This Row],[ Back]],0),1)</f>
        <v>0.9</v>
      </c>
      <c r="I634" s="232">
        <f>IF( OR( OR(pairs[[#This Row],[Az*]]=0, pairs[[#This Row],[Back*]]=0), OR(pairs[[#This Row],[Az*]]=1, pairs[[#This Row],[Back*]]=1)), 1, 0)</f>
        <v>1</v>
      </c>
      <c r="J634" s="232">
        <f>IF(OR(pairs[[#This Row],[Az*]]=0.5,pairs[[#This Row],[Back*]]=0.5),1,0)</f>
        <v>0</v>
      </c>
    </row>
    <row r="635" spans="1:10">
      <c r="A635" s="231" t="s">
        <v>195</v>
      </c>
      <c r="B635" s="231" t="s">
        <v>198</v>
      </c>
      <c r="C635" s="232"/>
      <c r="D635" s="232">
        <v>270.58</v>
      </c>
      <c r="E635" s="233">
        <v>0.160722</v>
      </c>
      <c r="F635" s="234">
        <f>pairs[[#This Row],[ Dist]]*5280</f>
        <v>848.61216000000002</v>
      </c>
      <c r="G635" s="232">
        <f>ROUND(pairs[[#This Row],[ Az]]-ROUNDDOWN(pairs[[#This Row],[ Az]],0),1)</f>
        <v>0</v>
      </c>
      <c r="H635" s="232">
        <f>ROUND(pairs[[#This Row],[ Back]]-ROUNDDOWN(pairs[[#This Row],[ Back]],0),1)</f>
        <v>0.6</v>
      </c>
      <c r="I635" s="232">
        <f>IF( OR( OR(pairs[[#This Row],[Az*]]=0, pairs[[#This Row],[Back*]]=0), OR(pairs[[#This Row],[Az*]]=1, pairs[[#This Row],[Back*]]=1)), 1, 0)</f>
        <v>1</v>
      </c>
      <c r="J635" s="232">
        <f>IF(OR(pairs[[#This Row],[Az*]]=0.5,pairs[[#This Row],[Back*]]=0.5),1,0)</f>
        <v>0</v>
      </c>
    </row>
    <row r="636" spans="1:10">
      <c r="A636" s="231" t="s">
        <v>195</v>
      </c>
      <c r="B636" s="231" t="s">
        <v>199</v>
      </c>
      <c r="C636" s="232"/>
      <c r="D636" s="232">
        <v>272.25</v>
      </c>
      <c r="E636" s="233">
        <v>6.2714000000000006E-2</v>
      </c>
      <c r="F636" s="234">
        <f>pairs[[#This Row],[ Dist]]*5280</f>
        <v>331.12992000000003</v>
      </c>
      <c r="G636" s="232">
        <f>ROUND(pairs[[#This Row],[ Az]]-ROUNDDOWN(pairs[[#This Row],[ Az]],0),1)</f>
        <v>0</v>
      </c>
      <c r="H636" s="232">
        <f>ROUND(pairs[[#This Row],[ Back]]-ROUNDDOWN(pairs[[#This Row],[ Back]],0),1)</f>
        <v>0.3</v>
      </c>
      <c r="I636" s="232">
        <f>IF( OR( OR(pairs[[#This Row],[Az*]]=0, pairs[[#This Row],[Back*]]=0), OR(pairs[[#This Row],[Az*]]=1, pairs[[#This Row],[Back*]]=1)), 1, 0)</f>
        <v>1</v>
      </c>
      <c r="J636" s="232">
        <f>IF(OR(pairs[[#This Row],[Az*]]=0.5,pairs[[#This Row],[Back*]]=0.5),1,0)</f>
        <v>0</v>
      </c>
    </row>
    <row r="637" spans="1:10">
      <c r="A637" s="231" t="s">
        <v>195</v>
      </c>
      <c r="B637" s="231" t="s">
        <v>200</v>
      </c>
      <c r="C637" s="232"/>
      <c r="D637" s="232">
        <v>271.62</v>
      </c>
      <c r="E637" s="233">
        <v>8.8169999999999998E-2</v>
      </c>
      <c r="F637" s="234">
        <f>pairs[[#This Row],[ Dist]]*5280</f>
        <v>465.5376</v>
      </c>
      <c r="G637" s="232">
        <f>ROUND(pairs[[#This Row],[ Az]]-ROUNDDOWN(pairs[[#This Row],[ Az]],0),1)</f>
        <v>0</v>
      </c>
      <c r="H637" s="232">
        <f>ROUND(pairs[[#This Row],[ Back]]-ROUNDDOWN(pairs[[#This Row],[ Back]],0),1)</f>
        <v>0.6</v>
      </c>
      <c r="I637" s="232">
        <f>IF( OR( OR(pairs[[#This Row],[Az*]]=0, pairs[[#This Row],[Back*]]=0), OR(pairs[[#This Row],[Az*]]=1, pairs[[#This Row],[Back*]]=1)), 1, 0)</f>
        <v>1</v>
      </c>
      <c r="J637" s="232">
        <f>IF(OR(pairs[[#This Row],[Az*]]=0.5,pairs[[#This Row],[Back*]]=0.5),1,0)</f>
        <v>0</v>
      </c>
    </row>
    <row r="638" spans="1:10">
      <c r="A638" s="231" t="s">
        <v>195</v>
      </c>
      <c r="B638" s="231" t="s">
        <v>201</v>
      </c>
      <c r="C638" s="232"/>
      <c r="D638" s="232">
        <v>271.20999999999998</v>
      </c>
      <c r="E638" s="233">
        <v>0.135487</v>
      </c>
      <c r="F638" s="234">
        <f>pairs[[#This Row],[ Dist]]*5280</f>
        <v>715.37135999999998</v>
      </c>
      <c r="G638" s="232">
        <f>ROUND(pairs[[#This Row],[ Az]]-ROUNDDOWN(pairs[[#This Row],[ Az]],0),1)</f>
        <v>0</v>
      </c>
      <c r="H638" s="232">
        <f>ROUND(pairs[[#This Row],[ Back]]-ROUNDDOWN(pairs[[#This Row],[ Back]],0),1)</f>
        <v>0.2</v>
      </c>
      <c r="I638" s="232">
        <f>IF( OR( OR(pairs[[#This Row],[Az*]]=0, pairs[[#This Row],[Back*]]=0), OR(pairs[[#This Row],[Az*]]=1, pairs[[#This Row],[Back*]]=1)), 1, 0)</f>
        <v>1</v>
      </c>
      <c r="J638" s="232">
        <f>IF(OR(pairs[[#This Row],[Az*]]=0.5,pairs[[#This Row],[Back*]]=0.5),1,0)</f>
        <v>0</v>
      </c>
    </row>
    <row r="639" spans="1:10">
      <c r="A639" s="231" t="s">
        <v>195</v>
      </c>
      <c r="B639" s="231" t="s">
        <v>202</v>
      </c>
      <c r="C639" s="232"/>
      <c r="D639" s="232">
        <v>240.71</v>
      </c>
      <c r="E639" s="233">
        <v>0.13747699999999999</v>
      </c>
      <c r="F639" s="234">
        <f>pairs[[#This Row],[ Dist]]*5280</f>
        <v>725.87855999999999</v>
      </c>
      <c r="G639" s="232">
        <f>ROUND(pairs[[#This Row],[ Az]]-ROUNDDOWN(pairs[[#This Row],[ Az]],0),1)</f>
        <v>0</v>
      </c>
      <c r="H639" s="232">
        <f>ROUND(pairs[[#This Row],[ Back]]-ROUNDDOWN(pairs[[#This Row],[ Back]],0),1)</f>
        <v>0.7</v>
      </c>
      <c r="I639" s="232">
        <f>IF( OR( OR(pairs[[#This Row],[Az*]]=0, pairs[[#This Row],[Back*]]=0), OR(pairs[[#This Row],[Az*]]=1, pairs[[#This Row],[Back*]]=1)), 1, 0)</f>
        <v>1</v>
      </c>
      <c r="J639" s="232">
        <f>IF(OR(pairs[[#This Row],[Az*]]=0.5,pairs[[#This Row],[Back*]]=0.5),1,0)</f>
        <v>0</v>
      </c>
    </row>
    <row r="640" spans="1:10">
      <c r="A640" s="231" t="s">
        <v>195</v>
      </c>
      <c r="B640" s="231" t="s">
        <v>203</v>
      </c>
      <c r="C640" s="232"/>
      <c r="D640" s="232">
        <v>231.22</v>
      </c>
      <c r="E640" s="233">
        <v>0.10845200000000001</v>
      </c>
      <c r="F640" s="234">
        <f>pairs[[#This Row],[ Dist]]*5280</f>
        <v>572.62656000000004</v>
      </c>
      <c r="G640" s="232">
        <f>ROUND(pairs[[#This Row],[ Az]]-ROUNDDOWN(pairs[[#This Row],[ Az]],0),1)</f>
        <v>0</v>
      </c>
      <c r="H640" s="232">
        <f>ROUND(pairs[[#This Row],[ Back]]-ROUNDDOWN(pairs[[#This Row],[ Back]],0),1)</f>
        <v>0.2</v>
      </c>
      <c r="I640" s="232">
        <f>IF( OR( OR(pairs[[#This Row],[Az*]]=0, pairs[[#This Row],[Back*]]=0), OR(pairs[[#This Row],[Az*]]=1, pairs[[#This Row],[Back*]]=1)), 1, 0)</f>
        <v>1</v>
      </c>
      <c r="J640" s="232">
        <f>IF(OR(pairs[[#This Row],[Az*]]=0.5,pairs[[#This Row],[Back*]]=0.5),1,0)</f>
        <v>0</v>
      </c>
    </row>
    <row r="641" spans="1:10">
      <c r="A641" s="231" t="s">
        <v>195</v>
      </c>
      <c r="B641" s="231" t="s">
        <v>204</v>
      </c>
      <c r="C641" s="232"/>
      <c r="D641" s="232">
        <v>240.25</v>
      </c>
      <c r="E641" s="233">
        <v>7.1999999999999995E-2</v>
      </c>
      <c r="F641" s="234">
        <f>pairs[[#This Row],[ Dist]]*5280</f>
        <v>380.15999999999997</v>
      </c>
      <c r="G641" s="232">
        <f>ROUND(pairs[[#This Row],[ Az]]-ROUNDDOWN(pairs[[#This Row],[ Az]],0),1)</f>
        <v>0</v>
      </c>
      <c r="H641" s="232">
        <f>ROUND(pairs[[#This Row],[ Back]]-ROUNDDOWN(pairs[[#This Row],[ Back]],0),1)</f>
        <v>0.3</v>
      </c>
      <c r="I641" s="232">
        <f>IF( OR( OR(pairs[[#This Row],[Az*]]=0, pairs[[#This Row],[Back*]]=0), OR(pairs[[#This Row],[Az*]]=1, pairs[[#This Row],[Back*]]=1)), 1, 0)</f>
        <v>1</v>
      </c>
      <c r="J641" s="232">
        <f>IF(OR(pairs[[#This Row],[Az*]]=0.5,pairs[[#This Row],[Back*]]=0.5),1,0)</f>
        <v>0</v>
      </c>
    </row>
    <row r="642" spans="1:10" ht="14.1">
      <c r="A642" s="206" t="s">
        <v>195</v>
      </c>
      <c r="B642" s="206" t="s">
        <v>215</v>
      </c>
      <c r="C642" s="235"/>
      <c r="D642" s="235">
        <v>215.5</v>
      </c>
      <c r="E642" s="236">
        <v>1.0143390000000001</v>
      </c>
      <c r="F642" s="237">
        <f>pairs[[#This Row],[ Dist]]*5280</f>
        <v>5355.7099200000002</v>
      </c>
      <c r="G642" s="235">
        <f>ROUND(pairs[[#This Row],[ Az]]-ROUNDDOWN(pairs[[#This Row],[ Az]],0),1)</f>
        <v>0</v>
      </c>
      <c r="H642" s="235">
        <f>ROUND(pairs[[#This Row],[ Back]]-ROUNDDOWN(pairs[[#This Row],[ Back]],0),1)</f>
        <v>0.5</v>
      </c>
      <c r="I642" s="235">
        <f>IF( OR( OR(pairs[[#This Row],[Az*]]=0, pairs[[#This Row],[Back*]]=0), OR(pairs[[#This Row],[Az*]]=1, pairs[[#This Row],[Back*]]=1)), 1, 0)</f>
        <v>1</v>
      </c>
      <c r="J642" s="235">
        <f>IF(OR(pairs[[#This Row],[Az*]]=0.5,pairs[[#This Row],[Back*]]=0.5),1,0)</f>
        <v>1</v>
      </c>
    </row>
    <row r="643" spans="1:10" ht="14.1">
      <c r="A643" s="23" t="s">
        <v>195</v>
      </c>
      <c r="B643" s="23" t="s">
        <v>214</v>
      </c>
      <c r="C643" s="229"/>
      <c r="D643" s="229">
        <v>242</v>
      </c>
      <c r="E643" s="25">
        <v>0.59679099999999996</v>
      </c>
      <c r="F643" s="230">
        <f>pairs[[#This Row],[ Dist]]*5280</f>
        <v>3151.0564799999997</v>
      </c>
      <c r="G643" s="232">
        <f>ROUND(pairs[[#This Row],[ Az]]-ROUNDDOWN(pairs[[#This Row],[ Az]],0),1)</f>
        <v>0</v>
      </c>
      <c r="H643" s="232">
        <f>ROUND(pairs[[#This Row],[ Back]]-ROUNDDOWN(pairs[[#This Row],[ Back]],0),1)</f>
        <v>0</v>
      </c>
      <c r="I643" s="232">
        <f>IF( OR( OR(pairs[[#This Row],[Az*]]=0, pairs[[#This Row],[Back*]]=0), OR(pairs[[#This Row],[Az*]]=1, pairs[[#This Row],[Back*]]=1)), 1, 0)</f>
        <v>1</v>
      </c>
      <c r="J643" s="232">
        <f>IF(OR(pairs[[#This Row],[Az*]]=0.5,pairs[[#This Row],[Back*]]=0.5),1,0)</f>
        <v>0</v>
      </c>
    </row>
    <row r="644" spans="1:10">
      <c r="A644" s="231" t="s">
        <v>195</v>
      </c>
      <c r="B644" s="231" t="s">
        <v>213</v>
      </c>
      <c r="C644" s="232"/>
      <c r="D644" s="232">
        <v>289.67</v>
      </c>
      <c r="E644" s="233">
        <v>0.43567099999999997</v>
      </c>
      <c r="F644" s="234">
        <f>pairs[[#This Row],[ Dist]]*5280</f>
        <v>2300.3428799999997</v>
      </c>
      <c r="G644" s="232">
        <f>ROUND(pairs[[#This Row],[ Az]]-ROUNDDOWN(pairs[[#This Row],[ Az]],0),1)</f>
        <v>0</v>
      </c>
      <c r="H644" s="232">
        <f>ROUND(pairs[[#This Row],[ Back]]-ROUNDDOWN(pairs[[#This Row],[ Back]],0),1)</f>
        <v>0.7</v>
      </c>
      <c r="I644" s="232">
        <f>IF( OR( OR(pairs[[#This Row],[Az*]]=0, pairs[[#This Row],[Back*]]=0), OR(pairs[[#This Row],[Az*]]=1, pairs[[#This Row],[Back*]]=1)), 1, 0)</f>
        <v>1</v>
      </c>
      <c r="J644" s="232">
        <f>IF(OR(pairs[[#This Row],[Az*]]=0.5,pairs[[#This Row],[Back*]]=0.5),1,0)</f>
        <v>0</v>
      </c>
    </row>
    <row r="645" spans="1:10">
      <c r="A645" s="231" t="s">
        <v>195</v>
      </c>
      <c r="B645" s="231" t="s">
        <v>212</v>
      </c>
      <c r="C645" s="232"/>
      <c r="D645" s="232">
        <v>322.61</v>
      </c>
      <c r="E645" s="233">
        <v>0.93652899999999994</v>
      </c>
      <c r="F645" s="234">
        <f>pairs[[#This Row],[ Dist]]*5280</f>
        <v>4944.8731199999993</v>
      </c>
      <c r="G645" s="232">
        <f>ROUND(pairs[[#This Row],[ Az]]-ROUNDDOWN(pairs[[#This Row],[ Az]],0),1)</f>
        <v>0</v>
      </c>
      <c r="H645" s="232">
        <f>ROUND(pairs[[#This Row],[ Back]]-ROUNDDOWN(pairs[[#This Row],[ Back]],0),1)</f>
        <v>0.6</v>
      </c>
      <c r="I645" s="232">
        <f>IF( OR( OR(pairs[[#This Row],[Az*]]=0, pairs[[#This Row],[Back*]]=0), OR(pairs[[#This Row],[Az*]]=1, pairs[[#This Row],[Back*]]=1)), 1, 0)</f>
        <v>1</v>
      </c>
      <c r="J645" s="232">
        <f>IF(OR(pairs[[#This Row],[Az*]]=0.5,pairs[[#This Row],[Back*]]=0.5),1,0)</f>
        <v>0</v>
      </c>
    </row>
    <row r="646" spans="1:10">
      <c r="A646" s="231" t="s">
        <v>195</v>
      </c>
      <c r="B646" s="231" t="s">
        <v>211</v>
      </c>
      <c r="C646" s="232"/>
      <c r="D646" s="232">
        <v>355.24</v>
      </c>
      <c r="E646" s="233">
        <v>0.75563800000000003</v>
      </c>
      <c r="F646" s="234">
        <f>pairs[[#This Row],[ Dist]]*5280</f>
        <v>3989.7686400000002</v>
      </c>
      <c r="G646" s="232">
        <f>ROUND(pairs[[#This Row],[ Az]]-ROUNDDOWN(pairs[[#This Row],[ Az]],0),1)</f>
        <v>0</v>
      </c>
      <c r="H646" s="232">
        <f>ROUND(pairs[[#This Row],[ Back]]-ROUNDDOWN(pairs[[#This Row],[ Back]],0),1)</f>
        <v>0.2</v>
      </c>
      <c r="I646" s="232">
        <f>IF( OR( OR(pairs[[#This Row],[Az*]]=0, pairs[[#This Row],[Back*]]=0), OR(pairs[[#This Row],[Az*]]=1, pairs[[#This Row],[Back*]]=1)), 1, 0)</f>
        <v>1</v>
      </c>
      <c r="J646" s="232">
        <f>IF(OR(pairs[[#This Row],[Az*]]=0.5,pairs[[#This Row],[Back*]]=0.5),1,0)</f>
        <v>0</v>
      </c>
    </row>
    <row r="647" spans="1:10">
      <c r="A647" s="231" t="s">
        <v>195</v>
      </c>
      <c r="B647" s="231" t="s">
        <v>210</v>
      </c>
      <c r="C647" s="232"/>
      <c r="D647" s="232">
        <v>124.23</v>
      </c>
      <c r="E647" s="233">
        <v>0.52672099999999999</v>
      </c>
      <c r="F647" s="234">
        <f>pairs[[#This Row],[ Dist]]*5280</f>
        <v>2781.0868799999998</v>
      </c>
      <c r="G647" s="232">
        <f>ROUND(pairs[[#This Row],[ Az]]-ROUNDDOWN(pairs[[#This Row],[ Az]],0),1)</f>
        <v>0</v>
      </c>
      <c r="H647" s="232">
        <f>ROUND(pairs[[#This Row],[ Back]]-ROUNDDOWN(pairs[[#This Row],[ Back]],0),1)</f>
        <v>0.2</v>
      </c>
      <c r="I647" s="232">
        <f>IF( OR( OR(pairs[[#This Row],[Az*]]=0, pairs[[#This Row],[Back*]]=0), OR(pairs[[#This Row],[Az*]]=1, pairs[[#This Row],[Back*]]=1)), 1, 0)</f>
        <v>1</v>
      </c>
      <c r="J647" s="232">
        <f>IF(OR(pairs[[#This Row],[Az*]]=0.5,pairs[[#This Row],[Back*]]=0.5),1,0)</f>
        <v>0</v>
      </c>
    </row>
    <row r="648" spans="1:10">
      <c r="A648" s="231" t="s">
        <v>195</v>
      </c>
      <c r="B648" s="231" t="s">
        <v>209</v>
      </c>
      <c r="C648" s="232"/>
      <c r="D648" s="232">
        <v>62.69</v>
      </c>
      <c r="E648" s="233">
        <v>0.91713699999999998</v>
      </c>
      <c r="F648" s="234">
        <f>pairs[[#This Row],[ Dist]]*5280</f>
        <v>4842.4833600000002</v>
      </c>
      <c r="G648" s="232">
        <f>ROUND(pairs[[#This Row],[ Az]]-ROUNDDOWN(pairs[[#This Row],[ Az]],0),1)</f>
        <v>0</v>
      </c>
      <c r="H648" s="232">
        <f>ROUND(pairs[[#This Row],[ Back]]-ROUNDDOWN(pairs[[#This Row],[ Back]],0),1)</f>
        <v>0.7</v>
      </c>
      <c r="I648" s="232">
        <f>IF( OR( OR(pairs[[#This Row],[Az*]]=0, pairs[[#This Row],[Back*]]=0), OR(pairs[[#This Row],[Az*]]=1, pairs[[#This Row],[Back*]]=1)), 1, 0)</f>
        <v>1</v>
      </c>
      <c r="J648" s="232">
        <f>IF(OR(pairs[[#This Row],[Az*]]=0.5,pairs[[#This Row],[Back*]]=0.5),1,0)</f>
        <v>0</v>
      </c>
    </row>
    <row r="649" spans="1:10">
      <c r="A649" s="231" t="s">
        <v>195</v>
      </c>
      <c r="B649" s="231" t="s">
        <v>208</v>
      </c>
      <c r="C649" s="232"/>
      <c r="D649" s="232">
        <v>62.82</v>
      </c>
      <c r="E649" s="233">
        <v>0.49047000000000002</v>
      </c>
      <c r="F649" s="234">
        <f>pairs[[#This Row],[ Dist]]*5280</f>
        <v>2589.6815999999999</v>
      </c>
      <c r="G649" s="232">
        <f>ROUND(pairs[[#This Row],[ Az]]-ROUNDDOWN(pairs[[#This Row],[ Az]],0),1)</f>
        <v>0</v>
      </c>
      <c r="H649" s="232">
        <f>ROUND(pairs[[#This Row],[ Back]]-ROUNDDOWN(pairs[[#This Row],[ Back]],0),1)</f>
        <v>0.8</v>
      </c>
      <c r="I649" s="232">
        <f>IF( OR( OR(pairs[[#This Row],[Az*]]=0, pairs[[#This Row],[Back*]]=0), OR(pairs[[#This Row],[Az*]]=1, pairs[[#This Row],[Back*]]=1)), 1, 0)</f>
        <v>1</v>
      </c>
      <c r="J649" s="232">
        <f>IF(OR(pairs[[#This Row],[Az*]]=0.5,pairs[[#This Row],[Back*]]=0.5),1,0)</f>
        <v>0</v>
      </c>
    </row>
    <row r="650" spans="1:10" ht="14.1">
      <c r="A650" s="206" t="s">
        <v>195</v>
      </c>
      <c r="B650" s="206" t="s">
        <v>207</v>
      </c>
      <c r="C650" s="235"/>
      <c r="D650" s="235">
        <v>186.49</v>
      </c>
      <c r="E650" s="236">
        <v>0.55632300000000001</v>
      </c>
      <c r="F650" s="237">
        <f>pairs[[#This Row],[ Dist]]*5280</f>
        <v>2937.38544</v>
      </c>
      <c r="G650" s="235">
        <f>ROUND(pairs[[#This Row],[ Az]]-ROUNDDOWN(pairs[[#This Row],[ Az]],0),1)</f>
        <v>0</v>
      </c>
      <c r="H650" s="235">
        <f>ROUND(pairs[[#This Row],[ Back]]-ROUNDDOWN(pairs[[#This Row],[ Back]],0),1)</f>
        <v>0.5</v>
      </c>
      <c r="I650" s="235">
        <f>IF( OR( OR(pairs[[#This Row],[Az*]]=0, pairs[[#This Row],[Back*]]=0), OR(pairs[[#This Row],[Az*]]=1, pairs[[#This Row],[Back*]]=1)), 1, 0)</f>
        <v>1</v>
      </c>
      <c r="J650" s="235">
        <f>IF(OR(pairs[[#This Row],[Az*]]=0.5,pairs[[#This Row],[Back*]]=0.5),1,0)</f>
        <v>1</v>
      </c>
    </row>
    <row r="651" spans="1:10">
      <c r="A651" s="231" t="s">
        <v>195</v>
      </c>
      <c r="B651" s="231" t="s">
        <v>206</v>
      </c>
      <c r="C651" s="232"/>
      <c r="D651" s="232">
        <v>313.39</v>
      </c>
      <c r="E651" s="233">
        <v>0.30759199999999998</v>
      </c>
      <c r="F651" s="234">
        <f>pairs[[#This Row],[ Dist]]*5280</f>
        <v>1624.0857599999999</v>
      </c>
      <c r="G651" s="232">
        <f>ROUND(pairs[[#This Row],[ Az]]-ROUNDDOWN(pairs[[#This Row],[ Az]],0),1)</f>
        <v>0</v>
      </c>
      <c r="H651" s="232">
        <f>ROUND(pairs[[#This Row],[ Back]]-ROUNDDOWN(pairs[[#This Row],[ Back]],0),1)</f>
        <v>0.4</v>
      </c>
      <c r="I651" s="232">
        <f>IF( OR( OR(pairs[[#This Row],[Az*]]=0, pairs[[#This Row],[Back*]]=0), OR(pairs[[#This Row],[Az*]]=1, pairs[[#This Row],[Back*]]=1)), 1, 0)</f>
        <v>1</v>
      </c>
      <c r="J651" s="232">
        <f>IF(OR(pairs[[#This Row],[Az*]]=0.5,pairs[[#This Row],[Back*]]=0.5),1,0)</f>
        <v>0</v>
      </c>
    </row>
    <row r="652" spans="1:10">
      <c r="A652" s="231" t="s">
        <v>195</v>
      </c>
      <c r="B652" s="231" t="s">
        <v>205</v>
      </c>
      <c r="C652" s="232"/>
      <c r="D652" s="232">
        <v>221.17</v>
      </c>
      <c r="E652" s="233">
        <v>0.24884400000000001</v>
      </c>
      <c r="F652" s="234">
        <f>pairs[[#This Row],[ Dist]]*5280</f>
        <v>1313.8963200000001</v>
      </c>
      <c r="G652" s="232">
        <f>ROUND(pairs[[#This Row],[ Az]]-ROUNDDOWN(pairs[[#This Row],[ Az]],0),1)</f>
        <v>0</v>
      </c>
      <c r="H652" s="232">
        <f>ROUND(pairs[[#This Row],[ Back]]-ROUNDDOWN(pairs[[#This Row],[ Back]],0),1)</f>
        <v>0.2</v>
      </c>
      <c r="I652" s="232">
        <f>IF( OR( OR(pairs[[#This Row],[Az*]]=0, pairs[[#This Row],[Back*]]=0), OR(pairs[[#This Row],[Az*]]=1, pairs[[#This Row],[Back*]]=1)), 1, 0)</f>
        <v>1</v>
      </c>
      <c r="J652" s="232">
        <f>IF(OR(pairs[[#This Row],[Az*]]=0.5,pairs[[#This Row],[Back*]]=0.5),1,0)</f>
        <v>0</v>
      </c>
    </row>
    <row r="653" spans="1:10">
      <c r="A653" s="231" t="s">
        <v>16</v>
      </c>
      <c r="B653" s="231" t="s">
        <v>156</v>
      </c>
      <c r="C653" s="232"/>
      <c r="D653" s="232">
        <v>267.60000000000002</v>
      </c>
      <c r="E653" s="233">
        <v>0.57497100000000001</v>
      </c>
      <c r="F653" s="234">
        <f>pairs[[#This Row],[ Dist]]*5280</f>
        <v>3035.8468800000001</v>
      </c>
      <c r="G653" s="232">
        <f>ROUND(pairs[[#This Row],[ Az]]-ROUNDDOWN(pairs[[#This Row],[ Az]],0),1)</f>
        <v>0</v>
      </c>
      <c r="H653" s="232">
        <f>ROUND(pairs[[#This Row],[ Back]]-ROUNDDOWN(pairs[[#This Row],[ Back]],0),1)</f>
        <v>0.6</v>
      </c>
      <c r="I653" s="232">
        <f>IF( OR( OR(pairs[[#This Row],[Az*]]=0, pairs[[#This Row],[Back*]]=0), OR(pairs[[#This Row],[Az*]]=1, pairs[[#This Row],[Back*]]=1)), 1, 0)</f>
        <v>1</v>
      </c>
      <c r="J653" s="232">
        <f>IF(OR(pairs[[#This Row],[Az*]]=0.5,pairs[[#This Row],[Back*]]=0.5),1,0)</f>
        <v>0</v>
      </c>
    </row>
    <row r="654" spans="1:10">
      <c r="A654" s="231" t="s">
        <v>16</v>
      </c>
      <c r="B654" s="231" t="s">
        <v>163</v>
      </c>
      <c r="C654" s="232"/>
      <c r="D654" s="232">
        <v>253.17</v>
      </c>
      <c r="E654" s="233">
        <v>6.152056</v>
      </c>
      <c r="F654" s="234">
        <f>pairs[[#This Row],[ Dist]]*5280</f>
        <v>32482.855680000001</v>
      </c>
      <c r="G654" s="232">
        <f>ROUND(pairs[[#This Row],[ Az]]-ROUNDDOWN(pairs[[#This Row],[ Az]],0),1)</f>
        <v>0</v>
      </c>
      <c r="H654" s="232">
        <f>ROUND(pairs[[#This Row],[ Back]]-ROUNDDOWN(pairs[[#This Row],[ Back]],0),1)</f>
        <v>0.2</v>
      </c>
      <c r="I654" s="232">
        <f>IF( OR( OR(pairs[[#This Row],[Az*]]=0, pairs[[#This Row],[Back*]]=0), OR(pairs[[#This Row],[Az*]]=1, pairs[[#This Row],[Back*]]=1)), 1, 0)</f>
        <v>1</v>
      </c>
      <c r="J654" s="232">
        <f>IF(OR(pairs[[#This Row],[Az*]]=0.5,pairs[[#This Row],[Back*]]=0.5),1,0)</f>
        <v>0</v>
      </c>
    </row>
    <row r="655" spans="1:10" ht="14.1">
      <c r="A655" s="23" t="s">
        <v>16</v>
      </c>
      <c r="B655" s="23" t="s">
        <v>143</v>
      </c>
      <c r="C655" s="229"/>
      <c r="D655" s="229">
        <v>270.01</v>
      </c>
      <c r="E655" s="25">
        <v>2.2882539999999998</v>
      </c>
      <c r="F655" s="230">
        <f>pairs[[#This Row],[ Dist]]*5280</f>
        <v>12081.981119999999</v>
      </c>
      <c r="G655" s="232">
        <f>ROUND(pairs[[#This Row],[ Az]]-ROUNDDOWN(pairs[[#This Row],[ Az]],0),1)</f>
        <v>0</v>
      </c>
      <c r="H655" s="232">
        <f>ROUND(pairs[[#This Row],[ Back]]-ROUNDDOWN(pairs[[#This Row],[ Back]],0),1)</f>
        <v>0</v>
      </c>
      <c r="I655" s="232">
        <f>IF( OR( OR(pairs[[#This Row],[Az*]]=0, pairs[[#This Row],[Back*]]=0), OR(pairs[[#This Row],[Az*]]=1, pairs[[#This Row],[Back*]]=1)), 1, 0)</f>
        <v>1</v>
      </c>
      <c r="J655" s="232">
        <f>IF(OR(pairs[[#This Row],[Az*]]=0.5,pairs[[#This Row],[Back*]]=0.5),1,0)</f>
        <v>0</v>
      </c>
    </row>
    <row r="656" spans="1:10" ht="14.1">
      <c r="A656" s="23" t="s">
        <v>16</v>
      </c>
      <c r="B656" s="23" t="s">
        <v>151</v>
      </c>
      <c r="C656" s="229"/>
      <c r="D656" s="229">
        <v>269.99</v>
      </c>
      <c r="E656" s="25">
        <v>7.6498309999999998</v>
      </c>
      <c r="F656" s="230">
        <f>pairs[[#This Row],[ Dist]]*5280</f>
        <v>40391.107680000001</v>
      </c>
      <c r="G656" s="232">
        <f>ROUND(pairs[[#This Row],[ Az]]-ROUNDDOWN(pairs[[#This Row],[ Az]],0),1)</f>
        <v>0</v>
      </c>
      <c r="H656" s="232">
        <f>ROUND(pairs[[#This Row],[ Back]]-ROUNDDOWN(pairs[[#This Row],[ Back]],0),1)</f>
        <v>1</v>
      </c>
      <c r="I656" s="232">
        <f>IF( OR( OR(pairs[[#This Row],[Az*]]=0, pairs[[#This Row],[Back*]]=0), OR(pairs[[#This Row],[Az*]]=1, pairs[[#This Row],[Back*]]=1)), 1, 0)</f>
        <v>1</v>
      </c>
      <c r="J656" s="232">
        <f>IF(OR(pairs[[#This Row],[Az*]]=0.5,pairs[[#This Row],[Back*]]=0.5),1,0)</f>
        <v>0</v>
      </c>
    </row>
    <row r="657" spans="1:10">
      <c r="A657" s="231" t="s">
        <v>16</v>
      </c>
      <c r="B657" s="231" t="s">
        <v>155</v>
      </c>
      <c r="C657" s="232"/>
      <c r="D657" s="232">
        <v>269.76</v>
      </c>
      <c r="E657" s="233">
        <v>0.57876499999999997</v>
      </c>
      <c r="F657" s="234">
        <f>pairs[[#This Row],[ Dist]]*5280</f>
        <v>3055.8791999999999</v>
      </c>
      <c r="G657" s="232">
        <f>ROUND(pairs[[#This Row],[ Az]]-ROUNDDOWN(pairs[[#This Row],[ Az]],0),1)</f>
        <v>0</v>
      </c>
      <c r="H657" s="232">
        <f>ROUND(pairs[[#This Row],[ Back]]-ROUNDDOWN(pairs[[#This Row],[ Back]],0),1)</f>
        <v>0.8</v>
      </c>
      <c r="I657" s="232">
        <f>IF( OR( OR(pairs[[#This Row],[Az*]]=0, pairs[[#This Row],[Back*]]=0), OR(pairs[[#This Row],[Az*]]=1, pairs[[#This Row],[Back*]]=1)), 1, 0)</f>
        <v>1</v>
      </c>
      <c r="J657" s="232">
        <f>IF(OR(pairs[[#This Row],[Az*]]=0.5,pairs[[#This Row],[Back*]]=0.5),1,0)</f>
        <v>0</v>
      </c>
    </row>
    <row r="658" spans="1:10">
      <c r="A658" s="231" t="s">
        <v>16</v>
      </c>
      <c r="B658" s="231" t="s">
        <v>158</v>
      </c>
      <c r="C658" s="232"/>
      <c r="D658" s="232">
        <v>276.31</v>
      </c>
      <c r="E658" s="233">
        <v>2.335909</v>
      </c>
      <c r="F658" s="234">
        <f>pairs[[#This Row],[ Dist]]*5280</f>
        <v>12333.59952</v>
      </c>
      <c r="G658" s="232">
        <f>ROUND(pairs[[#This Row],[ Az]]-ROUNDDOWN(pairs[[#This Row],[ Az]],0),1)</f>
        <v>0</v>
      </c>
      <c r="H658" s="232">
        <f>ROUND(pairs[[#This Row],[ Back]]-ROUNDDOWN(pairs[[#This Row],[ Back]],0),1)</f>
        <v>0.3</v>
      </c>
      <c r="I658" s="232">
        <f>IF( OR( OR(pairs[[#This Row],[Az*]]=0, pairs[[#This Row],[Back*]]=0), OR(pairs[[#This Row],[Az*]]=1, pairs[[#This Row],[Back*]]=1)), 1, 0)</f>
        <v>1</v>
      </c>
      <c r="J658" s="232">
        <f>IF(OR(pairs[[#This Row],[Az*]]=0.5,pairs[[#This Row],[Back*]]=0.5),1,0)</f>
        <v>0</v>
      </c>
    </row>
    <row r="659" spans="1:10">
      <c r="A659" s="231" t="s">
        <v>16</v>
      </c>
      <c r="B659" s="231" t="s">
        <v>159</v>
      </c>
      <c r="C659" s="232"/>
      <c r="D659" s="232">
        <v>301.61</v>
      </c>
      <c r="E659" s="233">
        <v>4.0279000000000002E-2</v>
      </c>
      <c r="F659" s="234">
        <f>pairs[[#This Row],[ Dist]]*5280</f>
        <v>212.67312000000001</v>
      </c>
      <c r="G659" s="232">
        <f>ROUND(pairs[[#This Row],[ Az]]-ROUNDDOWN(pairs[[#This Row],[ Az]],0),1)</f>
        <v>0</v>
      </c>
      <c r="H659" s="232">
        <f>ROUND(pairs[[#This Row],[ Back]]-ROUNDDOWN(pairs[[#This Row],[ Back]],0),1)</f>
        <v>0.6</v>
      </c>
      <c r="I659" s="232">
        <f>IF( OR( OR(pairs[[#This Row],[Az*]]=0, pairs[[#This Row],[Back*]]=0), OR(pairs[[#This Row],[Az*]]=1, pairs[[#This Row],[Back*]]=1)), 1, 0)</f>
        <v>1</v>
      </c>
      <c r="J659" s="232">
        <f>IF(OR(pairs[[#This Row],[Az*]]=0.5,pairs[[#This Row],[Back*]]=0.5),1,0)</f>
        <v>0</v>
      </c>
    </row>
    <row r="660" spans="1:10">
      <c r="A660" s="231" t="s">
        <v>16</v>
      </c>
      <c r="B660" s="231" t="s">
        <v>160</v>
      </c>
      <c r="C660" s="232"/>
      <c r="D660" s="232">
        <v>250.81</v>
      </c>
      <c r="E660" s="233">
        <v>0.94139200000000001</v>
      </c>
      <c r="F660" s="234">
        <f>pairs[[#This Row],[ Dist]]*5280</f>
        <v>4970.5497599999999</v>
      </c>
      <c r="G660" s="232">
        <f>ROUND(pairs[[#This Row],[ Az]]-ROUNDDOWN(pairs[[#This Row],[ Az]],0),1)</f>
        <v>0</v>
      </c>
      <c r="H660" s="232">
        <f>ROUND(pairs[[#This Row],[ Back]]-ROUNDDOWN(pairs[[#This Row],[ Back]],0),1)</f>
        <v>0.8</v>
      </c>
      <c r="I660" s="232">
        <f>IF( OR( OR(pairs[[#This Row],[Az*]]=0, pairs[[#This Row],[Back*]]=0), OR(pairs[[#This Row],[Az*]]=1, pairs[[#This Row],[Back*]]=1)), 1, 0)</f>
        <v>1</v>
      </c>
      <c r="J660" s="232">
        <f>IF(OR(pairs[[#This Row],[Az*]]=0.5,pairs[[#This Row],[Back*]]=0.5),1,0)</f>
        <v>0</v>
      </c>
    </row>
    <row r="661" spans="1:10" ht="14.1">
      <c r="A661" s="23" t="s">
        <v>16</v>
      </c>
      <c r="B661" s="23" t="s">
        <v>146</v>
      </c>
      <c r="C661" s="229"/>
      <c r="D661" s="229">
        <v>180</v>
      </c>
      <c r="E661" s="25">
        <v>0.164798</v>
      </c>
      <c r="F661" s="230">
        <f>pairs[[#This Row],[ Dist]]*5280</f>
        <v>870.13343999999995</v>
      </c>
      <c r="G661" s="232">
        <f>ROUND(pairs[[#This Row],[ Az]]-ROUNDDOWN(pairs[[#This Row],[ Az]],0),1)</f>
        <v>0</v>
      </c>
      <c r="H661" s="232">
        <f>ROUND(pairs[[#This Row],[ Back]]-ROUNDDOWN(pairs[[#This Row],[ Back]],0),1)</f>
        <v>0</v>
      </c>
      <c r="I661" s="232">
        <f>IF( OR( OR(pairs[[#This Row],[Az*]]=0, pairs[[#This Row],[Back*]]=0), OR(pairs[[#This Row],[Az*]]=1, pairs[[#This Row],[Back*]]=1)), 1, 0)</f>
        <v>1</v>
      </c>
      <c r="J661" s="232">
        <f>IF(OR(pairs[[#This Row],[Az*]]=0.5,pairs[[#This Row],[Back*]]=0.5),1,0)</f>
        <v>0</v>
      </c>
    </row>
    <row r="662" spans="1:10">
      <c r="A662" s="231" t="s">
        <v>16</v>
      </c>
      <c r="B662" s="231" t="s">
        <v>145</v>
      </c>
      <c r="C662" s="232"/>
      <c r="D662" s="232">
        <v>284.3</v>
      </c>
      <c r="E662" s="233">
        <v>0.82533900000000004</v>
      </c>
      <c r="F662" s="234">
        <f>pairs[[#This Row],[ Dist]]*5280</f>
        <v>4357.7899200000002</v>
      </c>
      <c r="G662" s="232">
        <f>ROUND(pairs[[#This Row],[ Az]]-ROUNDDOWN(pairs[[#This Row],[ Az]],0),1)</f>
        <v>0</v>
      </c>
      <c r="H662" s="232">
        <f>ROUND(pairs[[#This Row],[ Back]]-ROUNDDOWN(pairs[[#This Row],[ Back]],0),1)</f>
        <v>0.3</v>
      </c>
      <c r="I662" s="232">
        <f>IF( OR( OR(pairs[[#This Row],[Az*]]=0, pairs[[#This Row],[Back*]]=0), OR(pairs[[#This Row],[Az*]]=1, pairs[[#This Row],[Back*]]=1)), 1, 0)</f>
        <v>1</v>
      </c>
      <c r="J662" s="232">
        <f>IF(OR(pairs[[#This Row],[Az*]]=0.5,pairs[[#This Row],[Back*]]=0.5),1,0)</f>
        <v>0</v>
      </c>
    </row>
    <row r="663" spans="1:10">
      <c r="A663" s="231" t="s">
        <v>16</v>
      </c>
      <c r="B663" s="231" t="s">
        <v>144</v>
      </c>
      <c r="C663" s="232"/>
      <c r="D663" s="232">
        <v>284.72000000000003</v>
      </c>
      <c r="E663" s="233">
        <v>0.90011799999999997</v>
      </c>
      <c r="F663" s="234">
        <f>pairs[[#This Row],[ Dist]]*5280</f>
        <v>4752.6230399999995</v>
      </c>
      <c r="G663" s="232">
        <f>ROUND(pairs[[#This Row],[ Az]]-ROUNDDOWN(pairs[[#This Row],[ Az]],0),1)</f>
        <v>0</v>
      </c>
      <c r="H663" s="232">
        <f>ROUND(pairs[[#This Row],[ Back]]-ROUNDDOWN(pairs[[#This Row],[ Back]],0),1)</f>
        <v>0.7</v>
      </c>
      <c r="I663" s="232">
        <f>IF( OR( OR(pairs[[#This Row],[Az*]]=0, pairs[[#This Row],[Back*]]=0), OR(pairs[[#This Row],[Az*]]=1, pairs[[#This Row],[Back*]]=1)), 1, 0)</f>
        <v>1</v>
      </c>
      <c r="J663" s="232">
        <f>IF(OR(pairs[[#This Row],[Az*]]=0.5,pairs[[#This Row],[Back*]]=0.5),1,0)</f>
        <v>0</v>
      </c>
    </row>
    <row r="664" spans="1:10" ht="14.1">
      <c r="A664" s="206" t="s">
        <v>16</v>
      </c>
      <c r="B664" s="206" t="s">
        <v>148</v>
      </c>
      <c r="C664" s="235"/>
      <c r="D664" s="235">
        <v>184.51</v>
      </c>
      <c r="E664" s="236">
        <v>7.1515589999999998</v>
      </c>
      <c r="F664" s="237">
        <f>pairs[[#This Row],[ Dist]]*5280</f>
        <v>37760.231520000001</v>
      </c>
      <c r="G664" s="235">
        <f>ROUND(pairs[[#This Row],[ Az]]-ROUNDDOWN(pairs[[#This Row],[ Az]],0),1)</f>
        <v>0</v>
      </c>
      <c r="H664" s="235">
        <f>ROUND(pairs[[#This Row],[ Back]]-ROUNDDOWN(pairs[[#This Row],[ Back]],0),1)</f>
        <v>0.5</v>
      </c>
      <c r="I664" s="235">
        <f>IF( OR( OR(pairs[[#This Row],[Az*]]=0, pairs[[#This Row],[Back*]]=0), OR(pairs[[#This Row],[Az*]]=1, pairs[[#This Row],[Back*]]=1)), 1, 0)</f>
        <v>1</v>
      </c>
      <c r="J664" s="235">
        <f>IF(OR(pairs[[#This Row],[Az*]]=0.5,pairs[[#This Row],[Back*]]=0.5),1,0)</f>
        <v>1</v>
      </c>
    </row>
    <row r="665" spans="1:10">
      <c r="A665" s="231" t="s">
        <v>16</v>
      </c>
      <c r="B665" s="231" t="s">
        <v>152</v>
      </c>
      <c r="C665" s="232"/>
      <c r="D665" s="232">
        <v>264.08</v>
      </c>
      <c r="E665" s="233">
        <v>0.56533299999999997</v>
      </c>
      <c r="F665" s="234">
        <f>pairs[[#This Row],[ Dist]]*5280</f>
        <v>2984.9582399999999</v>
      </c>
      <c r="G665" s="232">
        <f>ROUND(pairs[[#This Row],[ Az]]-ROUNDDOWN(pairs[[#This Row],[ Az]],0),1)</f>
        <v>0</v>
      </c>
      <c r="H665" s="232">
        <f>ROUND(pairs[[#This Row],[ Back]]-ROUNDDOWN(pairs[[#This Row],[ Back]],0),1)</f>
        <v>0.1</v>
      </c>
      <c r="I665" s="232">
        <f>IF( OR( OR(pairs[[#This Row],[Az*]]=0, pairs[[#This Row],[Back*]]=0), OR(pairs[[#This Row],[Az*]]=1, pairs[[#This Row],[Back*]]=1)), 1, 0)</f>
        <v>1</v>
      </c>
      <c r="J665" s="232">
        <f>IF(OR(pairs[[#This Row],[Az*]]=0.5,pairs[[#This Row],[Back*]]=0.5),1,0)</f>
        <v>0</v>
      </c>
    </row>
    <row r="666" spans="1:10">
      <c r="A666" s="231" t="s">
        <v>16</v>
      </c>
      <c r="B666" s="231" t="s">
        <v>147</v>
      </c>
      <c r="C666" s="232"/>
      <c r="D666" s="232">
        <v>9.24</v>
      </c>
      <c r="E666" s="233">
        <v>1.5206679999999999</v>
      </c>
      <c r="F666" s="234">
        <f>pairs[[#This Row],[ Dist]]*5280</f>
        <v>8029.1270399999994</v>
      </c>
      <c r="G666" s="232">
        <f>ROUND(pairs[[#This Row],[ Az]]-ROUNDDOWN(pairs[[#This Row],[ Az]],0),1)</f>
        <v>0</v>
      </c>
      <c r="H666" s="232">
        <f>ROUND(pairs[[#This Row],[ Back]]-ROUNDDOWN(pairs[[#This Row],[ Back]],0),1)</f>
        <v>0.2</v>
      </c>
      <c r="I666" s="232">
        <f>IF( OR( OR(pairs[[#This Row],[Az*]]=0, pairs[[#This Row],[Back*]]=0), OR(pairs[[#This Row],[Az*]]=1, pairs[[#This Row],[Back*]]=1)), 1, 0)</f>
        <v>1</v>
      </c>
      <c r="J666" s="232">
        <f>IF(OR(pairs[[#This Row],[Az*]]=0.5,pairs[[#This Row],[Back*]]=0.5),1,0)</f>
        <v>0</v>
      </c>
    </row>
    <row r="667" spans="1:10">
      <c r="A667" s="231" t="s">
        <v>16</v>
      </c>
      <c r="B667" s="231" t="s">
        <v>161</v>
      </c>
      <c r="C667" s="232"/>
      <c r="D667" s="232">
        <v>128.06</v>
      </c>
      <c r="E667" s="233">
        <v>4.6755060000000004</v>
      </c>
      <c r="F667" s="234">
        <f>pairs[[#This Row],[ Dist]]*5280</f>
        <v>24686.671680000003</v>
      </c>
      <c r="G667" s="232">
        <f>ROUND(pairs[[#This Row],[ Az]]-ROUNDDOWN(pairs[[#This Row],[ Az]],0),1)</f>
        <v>0</v>
      </c>
      <c r="H667" s="232">
        <f>ROUND(pairs[[#This Row],[ Back]]-ROUNDDOWN(pairs[[#This Row],[ Back]],0),1)</f>
        <v>0.1</v>
      </c>
      <c r="I667" s="232">
        <f>IF( OR( OR(pairs[[#This Row],[Az*]]=0, pairs[[#This Row],[Back*]]=0), OR(pairs[[#This Row],[Az*]]=1, pairs[[#This Row],[Back*]]=1)), 1, 0)</f>
        <v>1</v>
      </c>
      <c r="J667" s="232">
        <f>IF(OR(pairs[[#This Row],[Az*]]=0.5,pairs[[#This Row],[Back*]]=0.5),1,0)</f>
        <v>0</v>
      </c>
    </row>
    <row r="668" spans="1:10">
      <c r="A668" s="231" t="s">
        <v>16</v>
      </c>
      <c r="B668" s="231" t="s">
        <v>162</v>
      </c>
      <c r="C668" s="232"/>
      <c r="D668" s="232">
        <v>179.87</v>
      </c>
      <c r="E668" s="233">
        <v>6.5298720000000001</v>
      </c>
      <c r="F668" s="234">
        <f>pairs[[#This Row],[ Dist]]*5280</f>
        <v>34477.724159999998</v>
      </c>
      <c r="G668" s="232">
        <f>ROUND(pairs[[#This Row],[ Az]]-ROUNDDOWN(pairs[[#This Row],[ Az]],0),1)</f>
        <v>0</v>
      </c>
      <c r="H668" s="232">
        <f>ROUND(pairs[[#This Row],[ Back]]-ROUNDDOWN(pairs[[#This Row],[ Back]],0),1)</f>
        <v>0.9</v>
      </c>
      <c r="I668" s="232">
        <f>IF( OR( OR(pairs[[#This Row],[Az*]]=0, pairs[[#This Row],[Back*]]=0), OR(pairs[[#This Row],[Az*]]=1, pairs[[#This Row],[Back*]]=1)), 1, 0)</f>
        <v>1</v>
      </c>
      <c r="J668" s="232">
        <f>IF(OR(pairs[[#This Row],[Az*]]=0.5,pairs[[#This Row],[Back*]]=0.5),1,0)</f>
        <v>0</v>
      </c>
    </row>
    <row r="669" spans="1:10" ht="14.1">
      <c r="A669" s="23" t="s">
        <v>16</v>
      </c>
      <c r="B669" s="23" t="s">
        <v>157</v>
      </c>
      <c r="C669" s="229"/>
      <c r="D669" s="229">
        <v>330.02</v>
      </c>
      <c r="E669" s="25">
        <v>3.0000049999999998</v>
      </c>
      <c r="F669" s="230">
        <f>pairs[[#This Row],[ Dist]]*5280</f>
        <v>15840.026399999999</v>
      </c>
      <c r="G669" s="232">
        <f>ROUND(pairs[[#This Row],[ Az]]-ROUNDDOWN(pairs[[#This Row],[ Az]],0),1)</f>
        <v>0</v>
      </c>
      <c r="H669" s="232">
        <f>ROUND(pairs[[#This Row],[ Back]]-ROUNDDOWN(pairs[[#This Row],[ Back]],0),1)</f>
        <v>0</v>
      </c>
      <c r="I669" s="232">
        <f>IF( OR( OR(pairs[[#This Row],[Az*]]=0, pairs[[#This Row],[Back*]]=0), OR(pairs[[#This Row],[Az*]]=1, pairs[[#This Row],[Back*]]=1)), 1, 0)</f>
        <v>1</v>
      </c>
      <c r="J669" s="232">
        <f>IF(OR(pairs[[#This Row],[Az*]]=0.5,pairs[[#This Row],[Back*]]=0.5),1,0)</f>
        <v>0</v>
      </c>
    </row>
    <row r="670" spans="1:10">
      <c r="A670" s="231" t="s">
        <v>16</v>
      </c>
      <c r="B670" s="231" t="s">
        <v>149</v>
      </c>
      <c r="C670" s="232"/>
      <c r="D670" s="232">
        <v>355.28</v>
      </c>
      <c r="E670" s="233">
        <v>7.0987049999999998</v>
      </c>
      <c r="F670" s="234">
        <f>pairs[[#This Row],[ Dist]]*5280</f>
        <v>37481.162400000001</v>
      </c>
      <c r="G670" s="232">
        <f>ROUND(pairs[[#This Row],[ Az]]-ROUNDDOWN(pairs[[#This Row],[ Az]],0),1)</f>
        <v>0</v>
      </c>
      <c r="H670" s="232">
        <f>ROUND(pairs[[#This Row],[ Back]]-ROUNDDOWN(pairs[[#This Row],[ Back]],0),1)</f>
        <v>0.3</v>
      </c>
      <c r="I670" s="232">
        <f>IF( OR( OR(pairs[[#This Row],[Az*]]=0, pairs[[#This Row],[Back*]]=0), OR(pairs[[#This Row],[Az*]]=1, pairs[[#This Row],[Back*]]=1)), 1, 0)</f>
        <v>1</v>
      </c>
      <c r="J670" s="232">
        <f>IF(OR(pairs[[#This Row],[Az*]]=0.5,pairs[[#This Row],[Back*]]=0.5),1,0)</f>
        <v>0</v>
      </c>
    </row>
    <row r="671" spans="1:10">
      <c r="A671" s="231" t="s">
        <v>16</v>
      </c>
      <c r="B671" s="231" t="s">
        <v>153</v>
      </c>
      <c r="C671" s="232"/>
      <c r="D671" s="232">
        <v>270.35000000000002</v>
      </c>
      <c r="E671" s="233">
        <v>0.58380699999999996</v>
      </c>
      <c r="F671" s="234">
        <f>pairs[[#This Row],[ Dist]]*5280</f>
        <v>3082.5009599999998</v>
      </c>
      <c r="G671" s="232">
        <f>ROUND(pairs[[#This Row],[ Az]]-ROUNDDOWN(pairs[[#This Row],[ Az]],0),1)</f>
        <v>0</v>
      </c>
      <c r="H671" s="232">
        <f>ROUND(pairs[[#This Row],[ Back]]-ROUNDDOWN(pairs[[#This Row],[ Back]],0),1)</f>
        <v>0.4</v>
      </c>
      <c r="I671" s="232">
        <f>IF( OR( OR(pairs[[#This Row],[Az*]]=0, pairs[[#This Row],[Back*]]=0), OR(pairs[[#This Row],[Az*]]=1, pairs[[#This Row],[Back*]]=1)), 1, 0)</f>
        <v>1</v>
      </c>
      <c r="J671" s="232">
        <f>IF(OR(pairs[[#This Row],[Az*]]=0.5,pairs[[#This Row],[Back*]]=0.5),1,0)</f>
        <v>0</v>
      </c>
    </row>
    <row r="672" spans="1:10">
      <c r="A672" s="231" t="s">
        <v>16</v>
      </c>
      <c r="B672" s="231" t="s">
        <v>150</v>
      </c>
      <c r="C672" s="232"/>
      <c r="D672" s="232">
        <v>90.26</v>
      </c>
      <c r="E672" s="233">
        <v>6.4981470000000003</v>
      </c>
      <c r="F672" s="234">
        <f>pairs[[#This Row],[ Dist]]*5280</f>
        <v>34310.216160000004</v>
      </c>
      <c r="G672" s="232">
        <f>ROUND(pairs[[#This Row],[ Az]]-ROUNDDOWN(pairs[[#This Row],[ Az]],0),1)</f>
        <v>0</v>
      </c>
      <c r="H672" s="232">
        <f>ROUND(pairs[[#This Row],[ Back]]-ROUNDDOWN(pairs[[#This Row],[ Back]],0),1)</f>
        <v>0.3</v>
      </c>
      <c r="I672" s="232">
        <f>IF( OR( OR(pairs[[#This Row],[Az*]]=0, pairs[[#This Row],[Back*]]=0), OR(pairs[[#This Row],[Az*]]=1, pairs[[#This Row],[Back*]]=1)), 1, 0)</f>
        <v>1</v>
      </c>
      <c r="J672" s="232">
        <f>IF(OR(pairs[[#This Row],[Az*]]=0.5,pairs[[#This Row],[Back*]]=0.5),1,0)</f>
        <v>0</v>
      </c>
    </row>
    <row r="673" spans="1:10">
      <c r="A673" s="231" t="s">
        <v>16</v>
      </c>
      <c r="B673" s="231" t="s">
        <v>154</v>
      </c>
      <c r="C673" s="232"/>
      <c r="D673" s="232">
        <v>267.10000000000002</v>
      </c>
      <c r="E673" s="233">
        <v>0.57376499999999997</v>
      </c>
      <c r="F673" s="234">
        <f>pairs[[#This Row],[ Dist]]*5280</f>
        <v>3029.4791999999998</v>
      </c>
      <c r="G673" s="232">
        <f>ROUND(pairs[[#This Row],[ Az]]-ROUNDDOWN(pairs[[#This Row],[ Az]],0),1)</f>
        <v>0</v>
      </c>
      <c r="H673" s="232">
        <f>ROUND(pairs[[#This Row],[ Back]]-ROUNDDOWN(pairs[[#This Row],[ Back]],0),1)</f>
        <v>0.1</v>
      </c>
      <c r="I673" s="232">
        <f>IF( OR( OR(pairs[[#This Row],[Az*]]=0, pairs[[#This Row],[Back*]]=0), OR(pairs[[#This Row],[Az*]]=1, pairs[[#This Row],[Back*]]=1)), 1, 0)</f>
        <v>1</v>
      </c>
      <c r="J673" s="232">
        <f>IF(OR(pairs[[#This Row],[Az*]]=0.5,pairs[[#This Row],[Back*]]=0.5),1,0)</f>
        <v>0</v>
      </c>
    </row>
    <row r="674" spans="1:10">
      <c r="A674" s="231" t="s">
        <v>17</v>
      </c>
      <c r="B674" s="231" t="s">
        <v>156</v>
      </c>
      <c r="C674" s="232"/>
      <c r="D674" s="232">
        <v>135.32</v>
      </c>
      <c r="E674" s="233">
        <v>0.320463</v>
      </c>
      <c r="F674" s="234">
        <f>pairs[[#This Row],[ Dist]]*5280</f>
        <v>1692.0446400000001</v>
      </c>
      <c r="G674" s="232">
        <f>ROUND(pairs[[#This Row],[ Az]]-ROUNDDOWN(pairs[[#This Row],[ Az]],0),1)</f>
        <v>0</v>
      </c>
      <c r="H674" s="232">
        <f>ROUND(pairs[[#This Row],[ Back]]-ROUNDDOWN(pairs[[#This Row],[ Back]],0),1)</f>
        <v>0.3</v>
      </c>
      <c r="I674" s="232">
        <f>IF( OR( OR(pairs[[#This Row],[Az*]]=0, pairs[[#This Row],[Back*]]=0), OR(pairs[[#This Row],[Az*]]=1, pairs[[#This Row],[Back*]]=1)), 1, 0)</f>
        <v>1</v>
      </c>
      <c r="J674" s="232">
        <f>IF(OR(pairs[[#This Row],[Az*]]=0.5,pairs[[#This Row],[Back*]]=0.5),1,0)</f>
        <v>0</v>
      </c>
    </row>
    <row r="675" spans="1:10">
      <c r="A675" s="231" t="s">
        <v>17</v>
      </c>
      <c r="B675" s="231" t="s">
        <v>163</v>
      </c>
      <c r="C675" s="232"/>
      <c r="D675" s="232">
        <v>248.69</v>
      </c>
      <c r="E675" s="233">
        <v>5.4627189999999999</v>
      </c>
      <c r="F675" s="234">
        <f>pairs[[#This Row],[ Dist]]*5280</f>
        <v>28843.156319999998</v>
      </c>
      <c r="G675" s="232">
        <f>ROUND(pairs[[#This Row],[ Az]]-ROUNDDOWN(pairs[[#This Row],[ Az]],0),1)</f>
        <v>0</v>
      </c>
      <c r="H675" s="232">
        <f>ROUND(pairs[[#This Row],[ Back]]-ROUNDDOWN(pairs[[#This Row],[ Back]],0),1)</f>
        <v>0.7</v>
      </c>
      <c r="I675" s="232">
        <f>IF( OR( OR(pairs[[#This Row],[Az*]]=0, pairs[[#This Row],[Back*]]=0), OR(pairs[[#This Row],[Az*]]=1, pairs[[#This Row],[Back*]]=1)), 1, 0)</f>
        <v>1</v>
      </c>
      <c r="J675" s="232">
        <f>IF(OR(pairs[[#This Row],[Az*]]=0.5,pairs[[#This Row],[Back*]]=0.5),1,0)</f>
        <v>0</v>
      </c>
    </row>
    <row r="676" spans="1:10">
      <c r="A676" s="231" t="s">
        <v>17</v>
      </c>
      <c r="B676" s="231" t="s">
        <v>143</v>
      </c>
      <c r="C676" s="232"/>
      <c r="D676" s="232">
        <v>262.20999999999998</v>
      </c>
      <c r="E676" s="233">
        <v>1.502394</v>
      </c>
      <c r="F676" s="234">
        <f>pairs[[#This Row],[ Dist]]*5280</f>
        <v>7932.6403200000004</v>
      </c>
      <c r="G676" s="232">
        <f>ROUND(pairs[[#This Row],[ Az]]-ROUNDDOWN(pairs[[#This Row],[ Az]],0),1)</f>
        <v>0</v>
      </c>
      <c r="H676" s="232">
        <f>ROUND(pairs[[#This Row],[ Back]]-ROUNDDOWN(pairs[[#This Row],[ Back]],0),1)</f>
        <v>0.2</v>
      </c>
      <c r="I676" s="232">
        <f>IF( OR( OR(pairs[[#This Row],[Az*]]=0, pairs[[#This Row],[Back*]]=0), OR(pairs[[#This Row],[Az*]]=1, pairs[[#This Row],[Back*]]=1)), 1, 0)</f>
        <v>1</v>
      </c>
      <c r="J676" s="232">
        <f>IF(OR(pairs[[#This Row],[Az*]]=0.5,pairs[[#This Row],[Back*]]=0.5),1,0)</f>
        <v>0</v>
      </c>
    </row>
    <row r="677" spans="1:10">
      <c r="A677" s="231" t="s">
        <v>17</v>
      </c>
      <c r="B677" s="231" t="s">
        <v>151</v>
      </c>
      <c r="C677" s="232"/>
      <c r="D677" s="232">
        <v>268.27</v>
      </c>
      <c r="E677" s="233">
        <v>6.8534560000000004</v>
      </c>
      <c r="F677" s="234">
        <f>pairs[[#This Row],[ Dist]]*5280</f>
        <v>36186.24768</v>
      </c>
      <c r="G677" s="232">
        <f>ROUND(pairs[[#This Row],[ Az]]-ROUNDDOWN(pairs[[#This Row],[ Az]],0),1)</f>
        <v>0</v>
      </c>
      <c r="H677" s="232">
        <f>ROUND(pairs[[#This Row],[ Back]]-ROUNDDOWN(pairs[[#This Row],[ Back]],0),1)</f>
        <v>0.3</v>
      </c>
      <c r="I677" s="232">
        <f>IF( OR( OR(pairs[[#This Row],[Az*]]=0, pairs[[#This Row],[Back*]]=0), OR(pairs[[#This Row],[Az*]]=1, pairs[[#This Row],[Back*]]=1)), 1, 0)</f>
        <v>1</v>
      </c>
      <c r="J677" s="232">
        <f>IF(OR(pairs[[#This Row],[Az*]]=0.5,pairs[[#This Row],[Back*]]=0.5),1,0)</f>
        <v>0</v>
      </c>
    </row>
    <row r="678" spans="1:10" ht="14.1">
      <c r="A678" s="23" t="s">
        <v>17</v>
      </c>
      <c r="B678" s="23" t="s">
        <v>155</v>
      </c>
      <c r="C678" s="229"/>
      <c r="D678" s="229">
        <v>133.02000000000001</v>
      </c>
      <c r="E678" s="25">
        <v>0.30229200000000001</v>
      </c>
      <c r="F678" s="230">
        <f>pairs[[#This Row],[ Dist]]*5280</f>
        <v>1596.10176</v>
      </c>
      <c r="G678" s="232">
        <f>ROUND(pairs[[#This Row],[ Az]]-ROUNDDOWN(pairs[[#This Row],[ Az]],0),1)</f>
        <v>0</v>
      </c>
      <c r="H678" s="232">
        <f>ROUND(pairs[[#This Row],[ Back]]-ROUNDDOWN(pairs[[#This Row],[ Back]],0),1)</f>
        <v>0</v>
      </c>
      <c r="I678" s="232">
        <f>IF( OR( OR(pairs[[#This Row],[Az*]]=0, pairs[[#This Row],[Back*]]=0), OR(pairs[[#This Row],[Az*]]=1, pairs[[#This Row],[Back*]]=1)), 1, 0)</f>
        <v>1</v>
      </c>
      <c r="J678" s="232">
        <f>IF(OR(pairs[[#This Row],[Az*]]=0.5,pairs[[#This Row],[Back*]]=0.5),1,0)</f>
        <v>0</v>
      </c>
    </row>
    <row r="679" spans="1:10" ht="14.1">
      <c r="A679" s="23" t="s">
        <v>17</v>
      </c>
      <c r="B679" s="23" t="s">
        <v>158</v>
      </c>
      <c r="C679" s="229"/>
      <c r="D679" s="229">
        <v>271.99</v>
      </c>
      <c r="E679" s="25">
        <v>1.5229459999999999</v>
      </c>
      <c r="F679" s="230">
        <f>pairs[[#This Row],[ Dist]]*5280</f>
        <v>8041.1548799999991</v>
      </c>
      <c r="G679" s="232">
        <f>ROUND(pairs[[#This Row],[ Az]]-ROUNDDOWN(pairs[[#This Row],[ Az]],0),1)</f>
        <v>0</v>
      </c>
      <c r="H679" s="232">
        <f>ROUND(pairs[[#This Row],[ Back]]-ROUNDDOWN(pairs[[#This Row],[ Back]],0),1)</f>
        <v>1</v>
      </c>
      <c r="I679" s="232">
        <f>IF( OR( OR(pairs[[#This Row],[Az*]]=0, pairs[[#This Row],[Back*]]=0), OR(pairs[[#This Row],[Az*]]=1, pairs[[#This Row],[Back*]]=1)), 1, 0)</f>
        <v>1</v>
      </c>
      <c r="J679" s="232">
        <f>IF(OR(pairs[[#This Row],[Az*]]=0.5,pairs[[#This Row],[Back*]]=0.5),1,0)</f>
        <v>0</v>
      </c>
    </row>
    <row r="680" spans="1:10">
      <c r="A680" s="231" t="s">
        <v>17</v>
      </c>
      <c r="B680" s="231" t="s">
        <v>159</v>
      </c>
      <c r="C680" s="232"/>
      <c r="D680" s="232">
        <v>103.42</v>
      </c>
      <c r="E680" s="233">
        <v>0.78697799999999996</v>
      </c>
      <c r="F680" s="234">
        <f>pairs[[#This Row],[ Dist]]*5280</f>
        <v>4155.2438400000001</v>
      </c>
      <c r="G680" s="232">
        <f>ROUND(pairs[[#This Row],[ Az]]-ROUNDDOWN(pairs[[#This Row],[ Az]],0),1)</f>
        <v>0</v>
      </c>
      <c r="H680" s="232">
        <f>ROUND(pairs[[#This Row],[ Back]]-ROUNDDOWN(pairs[[#This Row],[ Back]],0),1)</f>
        <v>0.4</v>
      </c>
      <c r="I680" s="232">
        <f>IF( OR( OR(pairs[[#This Row],[Az*]]=0, pairs[[#This Row],[Back*]]=0), OR(pairs[[#This Row],[Az*]]=1, pairs[[#This Row],[Back*]]=1)), 1, 0)</f>
        <v>1</v>
      </c>
      <c r="J680" s="232">
        <f>IF(OR(pairs[[#This Row],[Az*]]=0.5,pairs[[#This Row],[Back*]]=0.5),1,0)</f>
        <v>0</v>
      </c>
    </row>
    <row r="681" spans="1:10">
      <c r="A681" s="231" t="s">
        <v>17</v>
      </c>
      <c r="B681" s="231" t="s">
        <v>160</v>
      </c>
      <c r="C681" s="232"/>
      <c r="D681" s="232">
        <v>189.87</v>
      </c>
      <c r="E681" s="233">
        <v>0.52100400000000002</v>
      </c>
      <c r="F681" s="234">
        <f>pairs[[#This Row],[ Dist]]*5280</f>
        <v>2750.90112</v>
      </c>
      <c r="G681" s="232">
        <f>ROUND(pairs[[#This Row],[ Az]]-ROUNDDOWN(pairs[[#This Row],[ Az]],0),1)</f>
        <v>0</v>
      </c>
      <c r="H681" s="232">
        <f>ROUND(pairs[[#This Row],[ Back]]-ROUNDDOWN(pairs[[#This Row],[ Back]],0),1)</f>
        <v>0.9</v>
      </c>
      <c r="I681" s="232">
        <f>IF( OR( OR(pairs[[#This Row],[Az*]]=0, pairs[[#This Row],[Back*]]=0), OR(pairs[[#This Row],[Az*]]=1, pairs[[#This Row],[Back*]]=1)), 1, 0)</f>
        <v>1</v>
      </c>
      <c r="J681" s="232">
        <f>IF(OR(pairs[[#This Row],[Az*]]=0.5,pairs[[#This Row],[Back*]]=0.5),1,0)</f>
        <v>0</v>
      </c>
    </row>
    <row r="682" spans="1:10">
      <c r="A682" s="231" t="s">
        <v>17</v>
      </c>
      <c r="B682" s="231" t="s">
        <v>146</v>
      </c>
      <c r="C682" s="232"/>
      <c r="D682" s="232">
        <v>114.74</v>
      </c>
      <c r="E682" s="233">
        <v>0.88061400000000001</v>
      </c>
      <c r="F682" s="234">
        <f>pairs[[#This Row],[ Dist]]*5280</f>
        <v>4649.64192</v>
      </c>
      <c r="G682" s="232">
        <f>ROUND(pairs[[#This Row],[ Az]]-ROUNDDOWN(pairs[[#This Row],[ Az]],0),1)</f>
        <v>0</v>
      </c>
      <c r="H682" s="232">
        <f>ROUND(pairs[[#This Row],[ Back]]-ROUNDDOWN(pairs[[#This Row],[ Back]],0),1)</f>
        <v>0.7</v>
      </c>
      <c r="I682" s="232">
        <f>IF( OR( OR(pairs[[#This Row],[Az*]]=0, pairs[[#This Row],[Back*]]=0), OR(pairs[[#This Row],[Az*]]=1, pairs[[#This Row],[Back*]]=1)), 1, 0)</f>
        <v>1</v>
      </c>
      <c r="J682" s="232">
        <f>IF(OR(pairs[[#This Row],[Az*]]=0.5,pairs[[#This Row],[Back*]]=0.5),1,0)</f>
        <v>0</v>
      </c>
    </row>
    <row r="683" spans="1:10">
      <c r="A683" s="231" t="s">
        <v>17</v>
      </c>
      <c r="B683" s="231" t="s">
        <v>164</v>
      </c>
      <c r="C683" s="232"/>
      <c r="D683" s="232">
        <v>104.29</v>
      </c>
      <c r="E683" s="233">
        <v>0.82533900000000004</v>
      </c>
      <c r="F683" s="234">
        <f>pairs[[#This Row],[ Dist]]*5280</f>
        <v>4357.7899200000002</v>
      </c>
      <c r="G683" s="232">
        <f>ROUND(pairs[[#This Row],[ Az]]-ROUNDDOWN(pairs[[#This Row],[ Az]],0),1)</f>
        <v>0</v>
      </c>
      <c r="H683" s="232">
        <f>ROUND(pairs[[#This Row],[ Back]]-ROUNDDOWN(pairs[[#This Row],[ Back]],0),1)</f>
        <v>0.3</v>
      </c>
      <c r="I683" s="232">
        <f>IF( OR( OR(pairs[[#This Row],[Az*]]=0, pairs[[#This Row],[Back*]]=0), OR(pairs[[#This Row],[Az*]]=1, pairs[[#This Row],[Back*]]=1)), 1, 0)</f>
        <v>1</v>
      </c>
      <c r="J683" s="232">
        <f>IF(OR(pairs[[#This Row],[Az*]]=0.5,pairs[[#This Row],[Back*]]=0.5),1,0)</f>
        <v>0</v>
      </c>
    </row>
    <row r="684" spans="1:10">
      <c r="A684" s="231" t="s">
        <v>17</v>
      </c>
      <c r="B684" s="231" t="s">
        <v>144</v>
      </c>
      <c r="C684" s="232"/>
      <c r="D684" s="232">
        <v>289.31</v>
      </c>
      <c r="E684" s="233">
        <v>7.5042999999999999E-2</v>
      </c>
      <c r="F684" s="234">
        <f>pairs[[#This Row],[ Dist]]*5280</f>
        <v>396.22703999999999</v>
      </c>
      <c r="G684" s="232">
        <f>ROUND(pairs[[#This Row],[ Az]]-ROUNDDOWN(pairs[[#This Row],[ Az]],0),1)</f>
        <v>0</v>
      </c>
      <c r="H684" s="232">
        <f>ROUND(pairs[[#This Row],[ Back]]-ROUNDDOWN(pairs[[#This Row],[ Back]],0),1)</f>
        <v>0.3</v>
      </c>
      <c r="I684" s="232">
        <f>IF( OR( OR(pairs[[#This Row],[Az*]]=0, pairs[[#This Row],[Back*]]=0), OR(pairs[[#This Row],[Az*]]=1, pairs[[#This Row],[Back*]]=1)), 1, 0)</f>
        <v>1</v>
      </c>
      <c r="J684" s="232">
        <f>IF(OR(pairs[[#This Row],[Az*]]=0.5,pairs[[#This Row],[Back*]]=0.5),1,0)</f>
        <v>0</v>
      </c>
    </row>
    <row r="685" spans="1:10">
      <c r="A685" s="231" t="s">
        <v>17</v>
      </c>
      <c r="B685" s="231" t="s">
        <v>148</v>
      </c>
      <c r="C685" s="232"/>
      <c r="D685" s="232">
        <v>178.15</v>
      </c>
      <c r="E685" s="233">
        <v>7.3370540000000002</v>
      </c>
      <c r="F685" s="234">
        <f>pairs[[#This Row],[ Dist]]*5280</f>
        <v>38739.645120000001</v>
      </c>
      <c r="G685" s="232">
        <f>ROUND(pairs[[#This Row],[ Az]]-ROUNDDOWN(pairs[[#This Row],[ Az]],0),1)</f>
        <v>0</v>
      </c>
      <c r="H685" s="232">
        <f>ROUND(pairs[[#This Row],[ Back]]-ROUNDDOWN(pairs[[#This Row],[ Back]],0),1)</f>
        <v>0.2</v>
      </c>
      <c r="I685" s="232">
        <f>IF( OR( OR(pairs[[#This Row],[Az*]]=0, pairs[[#This Row],[Back*]]=0), OR(pairs[[#This Row],[Az*]]=1, pairs[[#This Row],[Back*]]=1)), 1, 0)</f>
        <v>1</v>
      </c>
      <c r="J685" s="232">
        <f>IF(OR(pairs[[#This Row],[Az*]]=0.5,pairs[[#This Row],[Back*]]=0.5),1,0)</f>
        <v>0</v>
      </c>
    </row>
    <row r="686" spans="1:10">
      <c r="A686" s="231" t="s">
        <v>17</v>
      </c>
      <c r="B686" s="231" t="s">
        <v>152</v>
      </c>
      <c r="C686" s="232"/>
      <c r="D686" s="232">
        <v>137.83000000000001</v>
      </c>
      <c r="E686" s="233">
        <v>0.353709</v>
      </c>
      <c r="F686" s="234">
        <f>pairs[[#This Row],[ Dist]]*5280</f>
        <v>1867.5835199999999</v>
      </c>
      <c r="G686" s="232">
        <f>ROUND(pairs[[#This Row],[ Az]]-ROUNDDOWN(pairs[[#This Row],[ Az]],0),1)</f>
        <v>0</v>
      </c>
      <c r="H686" s="232">
        <f>ROUND(pairs[[#This Row],[ Back]]-ROUNDDOWN(pairs[[#This Row],[ Back]],0),1)</f>
        <v>0.8</v>
      </c>
      <c r="I686" s="232">
        <f>IF( OR( OR(pairs[[#This Row],[Az*]]=0, pairs[[#This Row],[Back*]]=0), OR(pairs[[#This Row],[Az*]]=1, pairs[[#This Row],[Back*]]=1)), 1, 0)</f>
        <v>1</v>
      </c>
      <c r="J686" s="232">
        <f>IF(OR(pairs[[#This Row],[Az*]]=0.5,pairs[[#This Row],[Back*]]=0.5),1,0)</f>
        <v>0</v>
      </c>
    </row>
    <row r="687" spans="1:10">
      <c r="A687" s="231" t="s">
        <v>17</v>
      </c>
      <c r="B687" s="231" t="s">
        <v>147</v>
      </c>
      <c r="C687" s="232"/>
      <c r="D687" s="232">
        <v>38.83</v>
      </c>
      <c r="E687" s="233">
        <v>1.6651800000000001</v>
      </c>
      <c r="F687" s="234">
        <f>pairs[[#This Row],[ Dist]]*5280</f>
        <v>8792.1504000000004</v>
      </c>
      <c r="G687" s="232">
        <f>ROUND(pairs[[#This Row],[ Az]]-ROUNDDOWN(pairs[[#This Row],[ Az]],0),1)</f>
        <v>0</v>
      </c>
      <c r="H687" s="232">
        <f>ROUND(pairs[[#This Row],[ Back]]-ROUNDDOWN(pairs[[#This Row],[ Back]],0),1)</f>
        <v>0.8</v>
      </c>
      <c r="I687" s="232">
        <f>IF( OR( OR(pairs[[#This Row],[Az*]]=0, pairs[[#This Row],[Back*]]=0), OR(pairs[[#This Row],[Az*]]=1, pairs[[#This Row],[Back*]]=1)), 1, 0)</f>
        <v>1</v>
      </c>
      <c r="J687" s="232">
        <f>IF(OR(pairs[[#This Row],[Az*]]=0.5,pairs[[#This Row],[Back*]]=0.5),1,0)</f>
        <v>0</v>
      </c>
    </row>
    <row r="688" spans="1:10" ht="14.1">
      <c r="A688" s="206" t="s">
        <v>17</v>
      </c>
      <c r="B688" s="206" t="s">
        <v>161</v>
      </c>
      <c r="C688" s="235"/>
      <c r="D688" s="235">
        <v>124.55</v>
      </c>
      <c r="E688" s="236">
        <v>5.4408070000000004</v>
      </c>
      <c r="F688" s="237">
        <f>pairs[[#This Row],[ Dist]]*5280</f>
        <v>28727.46096</v>
      </c>
      <c r="G688" s="235">
        <f>ROUND(pairs[[#This Row],[ Az]]-ROUNDDOWN(pairs[[#This Row],[ Az]],0),1)</f>
        <v>0</v>
      </c>
      <c r="H688" s="235">
        <f>ROUND(pairs[[#This Row],[ Back]]-ROUNDDOWN(pairs[[#This Row],[ Back]],0),1)</f>
        <v>0.5</v>
      </c>
      <c r="I688" s="235">
        <f>IF( OR( OR(pairs[[#This Row],[Az*]]=0, pairs[[#This Row],[Back*]]=0), OR(pairs[[#This Row],[Az*]]=1, pairs[[#This Row],[Back*]]=1)), 1, 0)</f>
        <v>1</v>
      </c>
      <c r="J688" s="235">
        <f>IF(OR(pairs[[#This Row],[Az*]]=0.5,pairs[[#This Row],[Back*]]=0.5),1,0)</f>
        <v>1</v>
      </c>
    </row>
    <row r="689" spans="1:10">
      <c r="A689" s="231" t="s">
        <v>17</v>
      </c>
      <c r="B689" s="231" t="s">
        <v>162</v>
      </c>
      <c r="C689" s="232"/>
      <c r="D689" s="232">
        <v>173.1</v>
      </c>
      <c r="E689" s="233">
        <v>6.7826630000000003</v>
      </c>
      <c r="F689" s="234">
        <f>pairs[[#This Row],[ Dist]]*5280</f>
        <v>35812.460640000005</v>
      </c>
      <c r="G689" s="232">
        <f>ROUND(pairs[[#This Row],[ Az]]-ROUNDDOWN(pairs[[#This Row],[ Az]],0),1)</f>
        <v>0</v>
      </c>
      <c r="H689" s="232">
        <f>ROUND(pairs[[#This Row],[ Back]]-ROUNDDOWN(pairs[[#This Row],[ Back]],0),1)</f>
        <v>0.1</v>
      </c>
      <c r="I689" s="232">
        <f>IF( OR( OR(pairs[[#This Row],[Az*]]=0, pairs[[#This Row],[Back*]]=0), OR(pairs[[#This Row],[Az*]]=1, pairs[[#This Row],[Back*]]=1)), 1, 0)</f>
        <v>1</v>
      </c>
      <c r="J689" s="232">
        <f>IF(OR(pairs[[#This Row],[Az*]]=0.5,pairs[[#This Row],[Back*]]=0.5),1,0)</f>
        <v>0</v>
      </c>
    </row>
    <row r="690" spans="1:10">
      <c r="A690" s="231" t="s">
        <v>17</v>
      </c>
      <c r="B690" s="231" t="s">
        <v>157</v>
      </c>
      <c r="C690" s="232"/>
      <c r="D690" s="232">
        <v>343.72</v>
      </c>
      <c r="E690" s="233">
        <v>2.4946609999999998</v>
      </c>
      <c r="F690" s="234">
        <f>pairs[[#This Row],[ Dist]]*5280</f>
        <v>13171.810079999999</v>
      </c>
      <c r="G690" s="232">
        <f>ROUND(pairs[[#This Row],[ Az]]-ROUNDDOWN(pairs[[#This Row],[ Az]],0),1)</f>
        <v>0</v>
      </c>
      <c r="H690" s="232">
        <f>ROUND(pairs[[#This Row],[ Back]]-ROUNDDOWN(pairs[[#This Row],[ Back]],0),1)</f>
        <v>0.7</v>
      </c>
      <c r="I690" s="232">
        <f>IF( OR( OR(pairs[[#This Row],[Az*]]=0, pairs[[#This Row],[Back*]]=0), OR(pairs[[#This Row],[Az*]]=1, pairs[[#This Row],[Back*]]=1)), 1, 0)</f>
        <v>1</v>
      </c>
      <c r="J690" s="232">
        <f>IF(OR(pairs[[#This Row],[Az*]]=0.5,pairs[[#This Row],[Back*]]=0.5),1,0)</f>
        <v>0</v>
      </c>
    </row>
    <row r="691" spans="1:10">
      <c r="A691" s="231" t="s">
        <v>17</v>
      </c>
      <c r="B691" s="231" t="s">
        <v>149</v>
      </c>
      <c r="C691" s="232"/>
      <c r="D691" s="232">
        <v>1.8</v>
      </c>
      <c r="E691" s="233">
        <v>6.8742570000000001</v>
      </c>
      <c r="F691" s="234">
        <f>pairs[[#This Row],[ Dist]]*5280</f>
        <v>36296.076959999999</v>
      </c>
      <c r="G691" s="232">
        <f>ROUND(pairs[[#This Row],[ Az]]-ROUNDDOWN(pairs[[#This Row],[ Az]],0),1)</f>
        <v>0</v>
      </c>
      <c r="H691" s="232">
        <f>ROUND(pairs[[#This Row],[ Back]]-ROUNDDOWN(pairs[[#This Row],[ Back]],0),1)</f>
        <v>0.8</v>
      </c>
      <c r="I691" s="232">
        <f>IF( OR( OR(pairs[[#This Row],[Az*]]=0, pairs[[#This Row],[Back*]]=0), OR(pairs[[#This Row],[Az*]]=1, pairs[[#This Row],[Back*]]=1)), 1, 0)</f>
        <v>1</v>
      </c>
      <c r="J691" s="232">
        <f>IF(OR(pairs[[#This Row],[Az*]]=0.5,pairs[[#This Row],[Back*]]=0.5),1,0)</f>
        <v>0</v>
      </c>
    </row>
    <row r="692" spans="1:10">
      <c r="A692" s="231" t="s">
        <v>17</v>
      </c>
      <c r="B692" s="231" t="s">
        <v>153</v>
      </c>
      <c r="C692" s="232"/>
      <c r="D692" s="232">
        <v>132.83000000000001</v>
      </c>
      <c r="E692" s="233">
        <v>0.29450300000000001</v>
      </c>
      <c r="F692" s="234">
        <f>pairs[[#This Row],[ Dist]]*5280</f>
        <v>1554.9758400000001</v>
      </c>
      <c r="G692" s="232">
        <f>ROUND(pairs[[#This Row],[ Az]]-ROUNDDOWN(pairs[[#This Row],[ Az]],0),1)</f>
        <v>0</v>
      </c>
      <c r="H692" s="232">
        <f>ROUND(pairs[[#This Row],[ Back]]-ROUNDDOWN(pairs[[#This Row],[ Back]],0),1)</f>
        <v>0.8</v>
      </c>
      <c r="I692" s="232">
        <f>IF( OR( OR(pairs[[#This Row],[Az*]]=0, pairs[[#This Row],[Back*]]=0), OR(pairs[[#This Row],[Az*]]=1, pairs[[#This Row],[Back*]]=1)), 1, 0)</f>
        <v>1</v>
      </c>
      <c r="J692" s="232">
        <f>IF(OR(pairs[[#This Row],[Az*]]=0.5,pairs[[#This Row],[Back*]]=0.5),1,0)</f>
        <v>0</v>
      </c>
    </row>
    <row r="693" spans="1:10">
      <c r="A693" s="231" t="s">
        <v>17</v>
      </c>
      <c r="B693" s="231" t="s">
        <v>150</v>
      </c>
      <c r="C693" s="232"/>
      <c r="D693" s="232">
        <v>91.82</v>
      </c>
      <c r="E693" s="233">
        <v>7.3018559999999999</v>
      </c>
      <c r="F693" s="234">
        <f>pairs[[#This Row],[ Dist]]*5280</f>
        <v>38553.799679999996</v>
      </c>
      <c r="G693" s="232">
        <f>ROUND(pairs[[#This Row],[ Az]]-ROUNDDOWN(pairs[[#This Row],[ Az]],0),1)</f>
        <v>0</v>
      </c>
      <c r="H693" s="232">
        <f>ROUND(pairs[[#This Row],[ Back]]-ROUNDDOWN(pairs[[#This Row],[ Back]],0),1)</f>
        <v>0.8</v>
      </c>
      <c r="I693" s="232">
        <f>IF( OR( OR(pairs[[#This Row],[Az*]]=0, pairs[[#This Row],[Back*]]=0), OR(pairs[[#This Row],[Az*]]=1, pairs[[#This Row],[Back*]]=1)), 1, 0)</f>
        <v>1</v>
      </c>
      <c r="J693" s="232">
        <f>IF(OR(pairs[[#This Row],[Az*]]=0.5,pairs[[#This Row],[Back*]]=0.5),1,0)</f>
        <v>0</v>
      </c>
    </row>
    <row r="694" spans="1:10">
      <c r="A694" s="231" t="s">
        <v>17</v>
      </c>
      <c r="B694" s="231" t="s">
        <v>154</v>
      </c>
      <c r="C694" s="232"/>
      <c r="D694" s="232">
        <v>135.75</v>
      </c>
      <c r="E694" s="233">
        <v>0.32497999999999999</v>
      </c>
      <c r="F694" s="234">
        <f>pairs[[#This Row],[ Dist]]*5280</f>
        <v>1715.8943999999999</v>
      </c>
      <c r="G694" s="232">
        <f>ROUND(pairs[[#This Row],[ Az]]-ROUNDDOWN(pairs[[#This Row],[ Az]],0),1)</f>
        <v>0</v>
      </c>
      <c r="H694" s="232">
        <f>ROUND(pairs[[#This Row],[ Back]]-ROUNDDOWN(pairs[[#This Row],[ Back]],0),1)</f>
        <v>0.8</v>
      </c>
      <c r="I694" s="232">
        <f>IF( OR( OR(pairs[[#This Row],[Az*]]=0, pairs[[#This Row],[Back*]]=0), OR(pairs[[#This Row],[Az*]]=1, pairs[[#This Row],[Back*]]=1)), 1, 0)</f>
        <v>1</v>
      </c>
      <c r="J694" s="232">
        <f>IF(OR(pairs[[#This Row],[Az*]]=0.5,pairs[[#This Row],[Back*]]=0.5),1,0)</f>
        <v>0</v>
      </c>
    </row>
    <row r="695" spans="1:10">
      <c r="A695" s="231" t="s">
        <v>101</v>
      </c>
      <c r="B695" s="231" t="s">
        <v>156</v>
      </c>
      <c r="C695" s="232"/>
      <c r="D695" s="232">
        <v>283.76</v>
      </c>
      <c r="E695" s="233">
        <v>0.59143000000000001</v>
      </c>
      <c r="F695" s="234">
        <f>pairs[[#This Row],[ Dist]]*5280</f>
        <v>3122.7503999999999</v>
      </c>
      <c r="G695" s="232">
        <f>ROUND(pairs[[#This Row],[ Az]]-ROUNDDOWN(pairs[[#This Row],[ Az]],0),1)</f>
        <v>0</v>
      </c>
      <c r="H695" s="232">
        <f>ROUND(pairs[[#This Row],[ Back]]-ROUNDDOWN(pairs[[#This Row],[ Back]],0),1)</f>
        <v>0.8</v>
      </c>
      <c r="I695" s="232">
        <f>IF( OR( OR(pairs[[#This Row],[Az*]]=0, pairs[[#This Row],[Back*]]=0), OR(pairs[[#This Row],[Az*]]=1, pairs[[#This Row],[Back*]]=1)), 1, 0)</f>
        <v>1</v>
      </c>
      <c r="J695" s="232">
        <f>IF(OR(pairs[[#This Row],[Az*]]=0.5,pairs[[#This Row],[Back*]]=0.5),1,0)</f>
        <v>0</v>
      </c>
    </row>
    <row r="696" spans="1:10">
      <c r="A696" s="231" t="s">
        <v>101</v>
      </c>
      <c r="B696" s="231" t="s">
        <v>163</v>
      </c>
      <c r="C696" s="232"/>
      <c r="D696" s="232">
        <v>254.65</v>
      </c>
      <c r="E696" s="233">
        <v>6.1061959999999997</v>
      </c>
      <c r="F696" s="234">
        <f>pairs[[#This Row],[ Dist]]*5280</f>
        <v>32240.71488</v>
      </c>
      <c r="G696" s="232">
        <f>ROUND(pairs[[#This Row],[ Az]]-ROUNDDOWN(pairs[[#This Row],[ Az]],0),1)</f>
        <v>0</v>
      </c>
      <c r="H696" s="232">
        <f>ROUND(pairs[[#This Row],[ Back]]-ROUNDDOWN(pairs[[#This Row],[ Back]],0),1)</f>
        <v>0.7</v>
      </c>
      <c r="I696" s="232">
        <f>IF( OR( OR(pairs[[#This Row],[Az*]]=0, pairs[[#This Row],[Back*]]=0), OR(pairs[[#This Row],[Az*]]=1, pairs[[#This Row],[Back*]]=1)), 1, 0)</f>
        <v>1</v>
      </c>
      <c r="J696" s="232">
        <f>IF(OR(pairs[[#This Row],[Az*]]=0.5,pairs[[#This Row],[Back*]]=0.5),1,0)</f>
        <v>0</v>
      </c>
    </row>
    <row r="697" spans="1:10">
      <c r="A697" s="231" t="s">
        <v>101</v>
      </c>
      <c r="B697" s="231" t="s">
        <v>143</v>
      </c>
      <c r="C697" s="232"/>
      <c r="D697" s="232">
        <v>274.13</v>
      </c>
      <c r="E697" s="233">
        <v>2.2941419999999999</v>
      </c>
      <c r="F697" s="234">
        <f>pairs[[#This Row],[ Dist]]*5280</f>
        <v>12113.06976</v>
      </c>
      <c r="G697" s="232">
        <f>ROUND(pairs[[#This Row],[ Az]]-ROUNDDOWN(pairs[[#This Row],[ Az]],0),1)</f>
        <v>0</v>
      </c>
      <c r="H697" s="232">
        <f>ROUND(pairs[[#This Row],[ Back]]-ROUNDDOWN(pairs[[#This Row],[ Back]],0),1)</f>
        <v>0.1</v>
      </c>
      <c r="I697" s="232">
        <f>IF( OR( OR(pairs[[#This Row],[Az*]]=0, pairs[[#This Row],[Back*]]=0), OR(pairs[[#This Row],[Az*]]=1, pairs[[#This Row],[Back*]]=1)), 1, 0)</f>
        <v>1</v>
      </c>
      <c r="J697" s="232">
        <f>IF(OR(pairs[[#This Row],[Az*]]=0.5,pairs[[#This Row],[Back*]]=0.5),1,0)</f>
        <v>0</v>
      </c>
    </row>
    <row r="698" spans="1:10">
      <c r="A698" s="231" t="s">
        <v>101</v>
      </c>
      <c r="B698" s="231" t="s">
        <v>151</v>
      </c>
      <c r="C698" s="232"/>
      <c r="D698" s="232">
        <v>271.22000000000003</v>
      </c>
      <c r="E698" s="233">
        <v>7.6513140000000002</v>
      </c>
      <c r="F698" s="234">
        <f>pairs[[#This Row],[ Dist]]*5280</f>
        <v>40398.937920000004</v>
      </c>
      <c r="G698" s="232">
        <f>ROUND(pairs[[#This Row],[ Az]]-ROUNDDOWN(pairs[[#This Row],[ Az]],0),1)</f>
        <v>0</v>
      </c>
      <c r="H698" s="232">
        <f>ROUND(pairs[[#This Row],[ Back]]-ROUNDDOWN(pairs[[#This Row],[ Back]],0),1)</f>
        <v>0.2</v>
      </c>
      <c r="I698" s="232">
        <f>IF( OR( OR(pairs[[#This Row],[Az*]]=0, pairs[[#This Row],[Back*]]=0), OR(pairs[[#This Row],[Az*]]=1, pairs[[#This Row],[Back*]]=1)), 1, 0)</f>
        <v>1</v>
      </c>
      <c r="J698" s="232">
        <f>IF(OR(pairs[[#This Row],[Az*]]=0.5,pairs[[#This Row],[Back*]]=0.5),1,0)</f>
        <v>0</v>
      </c>
    </row>
    <row r="699" spans="1:10">
      <c r="A699" s="231" t="s">
        <v>101</v>
      </c>
      <c r="B699" s="231" t="s">
        <v>155</v>
      </c>
      <c r="C699" s="232"/>
      <c r="D699" s="232">
        <v>285.67</v>
      </c>
      <c r="E699" s="233">
        <v>0.60108499999999998</v>
      </c>
      <c r="F699" s="234">
        <f>pairs[[#This Row],[ Dist]]*5280</f>
        <v>3173.7287999999999</v>
      </c>
      <c r="G699" s="232">
        <f>ROUND(pairs[[#This Row],[ Az]]-ROUNDDOWN(pairs[[#This Row],[ Az]],0),1)</f>
        <v>0</v>
      </c>
      <c r="H699" s="232">
        <f>ROUND(pairs[[#This Row],[ Back]]-ROUNDDOWN(pairs[[#This Row],[ Back]],0),1)</f>
        <v>0.7</v>
      </c>
      <c r="I699" s="232">
        <f>IF( OR( OR(pairs[[#This Row],[Az*]]=0, pairs[[#This Row],[Back*]]=0), OR(pairs[[#This Row],[Az*]]=1, pairs[[#This Row],[Back*]]=1)), 1, 0)</f>
        <v>1</v>
      </c>
      <c r="J699" s="232">
        <f>IF(OR(pairs[[#This Row],[Az*]]=0.5,pairs[[#This Row],[Back*]]=0.5),1,0)</f>
        <v>0</v>
      </c>
    </row>
    <row r="700" spans="1:10">
      <c r="A700" s="231" t="s">
        <v>101</v>
      </c>
      <c r="B700" s="231" t="s">
        <v>158</v>
      </c>
      <c r="C700" s="232"/>
      <c r="D700" s="232">
        <v>280.29000000000002</v>
      </c>
      <c r="E700" s="233">
        <v>2.359648</v>
      </c>
      <c r="F700" s="234">
        <f>pairs[[#This Row],[ Dist]]*5280</f>
        <v>12458.941440000001</v>
      </c>
      <c r="G700" s="232">
        <f>ROUND(pairs[[#This Row],[ Az]]-ROUNDDOWN(pairs[[#This Row],[ Az]],0),1)</f>
        <v>0</v>
      </c>
      <c r="H700" s="232">
        <f>ROUND(pairs[[#This Row],[ Back]]-ROUNDDOWN(pairs[[#This Row],[ Back]],0),1)</f>
        <v>0.3</v>
      </c>
      <c r="I700" s="232">
        <f>IF( OR( OR(pairs[[#This Row],[Az*]]=0, pairs[[#This Row],[Back*]]=0), OR(pairs[[#This Row],[Az*]]=1, pairs[[#This Row],[Back*]]=1)), 1, 0)</f>
        <v>1</v>
      </c>
      <c r="J700" s="232">
        <f>IF(OR(pairs[[#This Row],[Az*]]=0.5,pairs[[#This Row],[Back*]]=0.5),1,0)</f>
        <v>0</v>
      </c>
    </row>
    <row r="701" spans="1:10">
      <c r="A701" s="231" t="s">
        <v>101</v>
      </c>
      <c r="B701" s="231" t="s">
        <v>159</v>
      </c>
      <c r="C701" s="232"/>
      <c r="D701" s="232">
        <v>349.55</v>
      </c>
      <c r="E701" s="233">
        <v>0.18904699999999999</v>
      </c>
      <c r="F701" s="234">
        <f>pairs[[#This Row],[ Dist]]*5280</f>
        <v>998.16815999999994</v>
      </c>
      <c r="G701" s="232">
        <f>ROUND(pairs[[#This Row],[ Az]]-ROUNDDOWN(pairs[[#This Row],[ Az]],0),1)</f>
        <v>0</v>
      </c>
      <c r="H701" s="232">
        <f>ROUND(pairs[[#This Row],[ Back]]-ROUNDDOWN(pairs[[#This Row],[ Back]],0),1)</f>
        <v>0.6</v>
      </c>
      <c r="I701" s="232">
        <f>IF( OR( OR(pairs[[#This Row],[Az*]]=0, pairs[[#This Row],[Back*]]=0), OR(pairs[[#This Row],[Az*]]=1, pairs[[#This Row],[Back*]]=1)), 1, 0)</f>
        <v>1</v>
      </c>
      <c r="J701" s="232">
        <f>IF(OR(pairs[[#This Row],[Az*]]=0.5,pairs[[#This Row],[Back*]]=0.5),1,0)</f>
        <v>0</v>
      </c>
    </row>
    <row r="702" spans="1:10">
      <c r="A702" s="231" t="s">
        <v>101</v>
      </c>
      <c r="B702" s="231" t="s">
        <v>160</v>
      </c>
      <c r="C702" s="232"/>
      <c r="D702" s="232">
        <v>260.76</v>
      </c>
      <c r="E702" s="233">
        <v>0.90073999999999999</v>
      </c>
      <c r="F702" s="234">
        <f>pairs[[#This Row],[ Dist]]*5280</f>
        <v>4755.9071999999996</v>
      </c>
      <c r="G702" s="232">
        <f>ROUND(pairs[[#This Row],[ Az]]-ROUNDDOWN(pairs[[#This Row],[ Az]],0),1)</f>
        <v>0</v>
      </c>
      <c r="H702" s="232">
        <f>ROUND(pairs[[#This Row],[ Back]]-ROUNDDOWN(pairs[[#This Row],[ Back]],0),1)</f>
        <v>0.8</v>
      </c>
      <c r="I702" s="232">
        <f>IF( OR( OR(pairs[[#This Row],[Az*]]=0, pairs[[#This Row],[Back*]]=0), OR(pairs[[#This Row],[Az*]]=1, pairs[[#This Row],[Back*]]=1)), 1, 0)</f>
        <v>1</v>
      </c>
      <c r="J702" s="232">
        <f>IF(OR(pairs[[#This Row],[Az*]]=0.5,pairs[[#This Row],[Back*]]=0.5),1,0)</f>
        <v>0</v>
      </c>
    </row>
    <row r="703" spans="1:10">
      <c r="A703" s="231" t="s">
        <v>101</v>
      </c>
      <c r="B703" s="231" t="s">
        <v>145</v>
      </c>
      <c r="C703" s="232"/>
      <c r="D703" s="232">
        <v>294.75</v>
      </c>
      <c r="E703" s="233">
        <v>0.88061400000000001</v>
      </c>
      <c r="F703" s="234">
        <f>pairs[[#This Row],[ Dist]]*5280</f>
        <v>4649.64192</v>
      </c>
      <c r="G703" s="232">
        <f>ROUND(pairs[[#This Row],[ Az]]-ROUNDDOWN(pairs[[#This Row],[ Az]],0),1)</f>
        <v>0</v>
      </c>
      <c r="H703" s="232">
        <f>ROUND(pairs[[#This Row],[ Back]]-ROUNDDOWN(pairs[[#This Row],[ Back]],0),1)</f>
        <v>0.8</v>
      </c>
      <c r="I703" s="232">
        <f>IF( OR( OR(pairs[[#This Row],[Az*]]=0, pairs[[#This Row],[Back*]]=0), OR(pairs[[#This Row],[Az*]]=1, pairs[[#This Row],[Back*]]=1)), 1, 0)</f>
        <v>1</v>
      </c>
      <c r="J703" s="232">
        <f>IF(OR(pairs[[#This Row],[Az*]]=0.5,pairs[[#This Row],[Back*]]=0.5),1,0)</f>
        <v>0</v>
      </c>
    </row>
    <row r="704" spans="1:10" ht="14.1">
      <c r="A704" s="23" t="s">
        <v>101</v>
      </c>
      <c r="B704" s="23" t="s">
        <v>164</v>
      </c>
      <c r="C704" s="229"/>
      <c r="D704" s="229">
        <v>0</v>
      </c>
      <c r="E704" s="25">
        <v>0.164798</v>
      </c>
      <c r="F704" s="230">
        <f>pairs[[#This Row],[ Dist]]*5280</f>
        <v>870.13343999999995</v>
      </c>
      <c r="G704" s="232">
        <f>ROUND(pairs[[#This Row],[ Az]]-ROUNDDOWN(pairs[[#This Row],[ Az]],0),1)</f>
        <v>0</v>
      </c>
      <c r="H704" s="232">
        <f>ROUND(pairs[[#This Row],[ Back]]-ROUNDDOWN(pairs[[#This Row],[ Back]],0),1)</f>
        <v>0</v>
      </c>
      <c r="I704" s="232">
        <f>IF( OR( OR(pairs[[#This Row],[Az*]]=0, pairs[[#This Row],[Back*]]=0), OR(pairs[[#This Row],[Az*]]=1, pairs[[#This Row],[Back*]]=1)), 1, 0)</f>
        <v>1</v>
      </c>
      <c r="J704" s="232">
        <f>IF(OR(pairs[[#This Row],[Az*]]=0.5,pairs[[#This Row],[Back*]]=0.5),1,0)</f>
        <v>0</v>
      </c>
    </row>
    <row r="705" spans="1:10">
      <c r="A705" s="231" t="s">
        <v>101</v>
      </c>
      <c r="B705" s="231" t="s">
        <v>144</v>
      </c>
      <c r="C705" s="232"/>
      <c r="D705" s="232">
        <v>294.32</v>
      </c>
      <c r="E705" s="233">
        <v>0.95534600000000003</v>
      </c>
      <c r="F705" s="234">
        <f>pairs[[#This Row],[ Dist]]*5280</f>
        <v>5044.2268800000002</v>
      </c>
      <c r="G705" s="232">
        <f>ROUND(pairs[[#This Row],[ Az]]-ROUNDDOWN(pairs[[#This Row],[ Az]],0),1)</f>
        <v>0</v>
      </c>
      <c r="H705" s="232">
        <f>ROUND(pairs[[#This Row],[ Back]]-ROUNDDOWN(pairs[[#This Row],[ Back]],0),1)</f>
        <v>0.3</v>
      </c>
      <c r="I705" s="232">
        <f>IF( OR( OR(pairs[[#This Row],[Az*]]=0, pairs[[#This Row],[Back*]]=0), OR(pairs[[#This Row],[Az*]]=1, pairs[[#This Row],[Back*]]=1)), 1, 0)</f>
        <v>1</v>
      </c>
      <c r="J705" s="232">
        <f>IF(OR(pairs[[#This Row],[Az*]]=0.5,pairs[[#This Row],[Back*]]=0.5),1,0)</f>
        <v>0</v>
      </c>
    </row>
    <row r="706" spans="1:10">
      <c r="A706" s="231" t="s">
        <v>101</v>
      </c>
      <c r="B706" s="231" t="s">
        <v>148</v>
      </c>
      <c r="C706" s="232"/>
      <c r="D706" s="232">
        <v>184.62</v>
      </c>
      <c r="E706" s="233">
        <v>6.9872820000000004</v>
      </c>
      <c r="F706" s="234">
        <f>pairs[[#This Row],[ Dist]]*5280</f>
        <v>36892.848960000003</v>
      </c>
      <c r="G706" s="232">
        <f>ROUND(pairs[[#This Row],[ Az]]-ROUNDDOWN(pairs[[#This Row],[ Az]],0),1)</f>
        <v>0</v>
      </c>
      <c r="H706" s="232">
        <f>ROUND(pairs[[#This Row],[ Back]]-ROUNDDOWN(pairs[[#This Row],[ Back]],0),1)</f>
        <v>0.6</v>
      </c>
      <c r="I706" s="232">
        <f>IF( OR( OR(pairs[[#This Row],[Az*]]=0, pairs[[#This Row],[Back*]]=0), OR(pairs[[#This Row],[Az*]]=1, pairs[[#This Row],[Back*]]=1)), 1, 0)</f>
        <v>1</v>
      </c>
      <c r="J706" s="232">
        <f>IF(OR(pairs[[#This Row],[Az*]]=0.5,pairs[[#This Row],[Back*]]=0.5),1,0)</f>
        <v>0</v>
      </c>
    </row>
    <row r="707" spans="1:10">
      <c r="A707" s="231" t="s">
        <v>101</v>
      </c>
      <c r="B707" s="231" t="s">
        <v>152</v>
      </c>
      <c r="C707" s="232"/>
      <c r="D707" s="232">
        <v>280.72000000000003</v>
      </c>
      <c r="E707" s="233">
        <v>0.57228199999999996</v>
      </c>
      <c r="F707" s="234">
        <f>pairs[[#This Row],[ Dist]]*5280</f>
        <v>3021.64896</v>
      </c>
      <c r="G707" s="232">
        <f>ROUND(pairs[[#This Row],[ Az]]-ROUNDDOWN(pairs[[#This Row],[ Az]],0),1)</f>
        <v>0</v>
      </c>
      <c r="H707" s="232">
        <f>ROUND(pairs[[#This Row],[ Back]]-ROUNDDOWN(pairs[[#This Row],[ Back]],0),1)</f>
        <v>0.7</v>
      </c>
      <c r="I707" s="232">
        <f>IF( OR( OR(pairs[[#This Row],[Az*]]=0, pairs[[#This Row],[Back*]]=0), OR(pairs[[#This Row],[Az*]]=1, pairs[[#This Row],[Back*]]=1)), 1, 0)</f>
        <v>1</v>
      </c>
      <c r="J707" s="232">
        <f>IF(OR(pairs[[#This Row],[Az*]]=0.5,pairs[[#This Row],[Back*]]=0.5),1,0)</f>
        <v>0</v>
      </c>
    </row>
    <row r="708" spans="1:10">
      <c r="A708" s="231" t="s">
        <v>101</v>
      </c>
      <c r="B708" s="231" t="s">
        <v>147</v>
      </c>
      <c r="C708" s="232"/>
      <c r="D708" s="232">
        <v>8.34</v>
      </c>
      <c r="E708" s="233">
        <v>1.6835340000000001</v>
      </c>
      <c r="F708" s="234">
        <f>pairs[[#This Row],[ Dist]]*5280</f>
        <v>8889.0595200000007</v>
      </c>
      <c r="G708" s="232">
        <f>ROUND(pairs[[#This Row],[ Az]]-ROUNDDOWN(pairs[[#This Row],[ Az]],0),1)</f>
        <v>0</v>
      </c>
      <c r="H708" s="232">
        <f>ROUND(pairs[[#This Row],[ Back]]-ROUNDDOWN(pairs[[#This Row],[ Back]],0),1)</f>
        <v>0.3</v>
      </c>
      <c r="I708" s="232">
        <f>IF( OR( OR(pairs[[#This Row],[Az*]]=0, pairs[[#This Row],[Back*]]=0), OR(pairs[[#This Row],[Az*]]=1, pairs[[#This Row],[Back*]]=1)), 1, 0)</f>
        <v>1</v>
      </c>
      <c r="J708" s="232">
        <f>IF(OR(pairs[[#This Row],[Az*]]=0.5,pairs[[#This Row],[Back*]]=0.5),1,0)</f>
        <v>0</v>
      </c>
    </row>
    <row r="709" spans="1:10" ht="14.1">
      <c r="A709" s="206" t="s">
        <v>101</v>
      </c>
      <c r="B709" s="206" t="s">
        <v>161</v>
      </c>
      <c r="C709" s="235"/>
      <c r="D709" s="235">
        <v>126.43</v>
      </c>
      <c r="E709" s="236">
        <v>4.5756589999999999</v>
      </c>
      <c r="F709" s="237">
        <f>pairs[[#This Row],[ Dist]]*5280</f>
        <v>24159.479520000001</v>
      </c>
      <c r="G709" s="235">
        <f>ROUND(pairs[[#This Row],[ Az]]-ROUNDDOWN(pairs[[#This Row],[ Az]],0),1)</f>
        <v>0</v>
      </c>
      <c r="H709" s="235">
        <f>ROUND(pairs[[#This Row],[ Back]]-ROUNDDOWN(pairs[[#This Row],[ Back]],0),1)</f>
        <v>0.4</v>
      </c>
      <c r="I709" s="235">
        <f>IF( OR( OR(pairs[[#This Row],[Az*]]=0, pairs[[#This Row],[Back*]]=0), OR(pairs[[#This Row],[Az*]]=1, pairs[[#This Row],[Back*]]=1)), 1, 0)</f>
        <v>1</v>
      </c>
      <c r="J709" s="235">
        <f>IF(OR(pairs[[#This Row],[Az*]]=0.5,pairs[[#This Row],[Back*]]=0.5),1,0)</f>
        <v>0</v>
      </c>
    </row>
    <row r="710" spans="1:10">
      <c r="A710" s="231" t="s">
        <v>101</v>
      </c>
      <c r="B710" s="231" t="s">
        <v>162</v>
      </c>
      <c r="C710" s="232"/>
      <c r="D710" s="232">
        <v>179.87</v>
      </c>
      <c r="E710" s="233">
        <v>6.365075</v>
      </c>
      <c r="F710" s="234">
        <f>pairs[[#This Row],[ Dist]]*5280</f>
        <v>33607.595999999998</v>
      </c>
      <c r="G710" s="232">
        <f>ROUND(pairs[[#This Row],[ Az]]-ROUNDDOWN(pairs[[#This Row],[ Az]],0),1)</f>
        <v>0</v>
      </c>
      <c r="H710" s="232">
        <f>ROUND(pairs[[#This Row],[ Back]]-ROUNDDOWN(pairs[[#This Row],[ Back]],0),1)</f>
        <v>0.9</v>
      </c>
      <c r="I710" s="232">
        <f>IF( OR( OR(pairs[[#This Row],[Az*]]=0, pairs[[#This Row],[Back*]]=0), OR(pairs[[#This Row],[Az*]]=1, pairs[[#This Row],[Back*]]=1)), 1, 0)</f>
        <v>1</v>
      </c>
      <c r="J710" s="232">
        <f>IF(OR(pairs[[#This Row],[Az*]]=0.5,pairs[[#This Row],[Back*]]=0.5),1,0)</f>
        <v>0</v>
      </c>
    </row>
    <row r="711" spans="1:10" ht="14.1">
      <c r="A711" s="206" t="s">
        <v>101</v>
      </c>
      <c r="B711" s="206" t="s">
        <v>157</v>
      </c>
      <c r="C711" s="235"/>
      <c r="D711" s="235">
        <v>331.52</v>
      </c>
      <c r="E711" s="236">
        <v>3.1438039999999998</v>
      </c>
      <c r="F711" s="237">
        <f>pairs[[#This Row],[ Dist]]*5280</f>
        <v>16599.28512</v>
      </c>
      <c r="G711" s="235">
        <f>ROUND(pairs[[#This Row],[ Az]]-ROUNDDOWN(pairs[[#This Row],[ Az]],0),1)</f>
        <v>0</v>
      </c>
      <c r="H711" s="235">
        <f>ROUND(pairs[[#This Row],[ Back]]-ROUNDDOWN(pairs[[#This Row],[ Back]],0),1)</f>
        <v>0.5</v>
      </c>
      <c r="I711" s="235">
        <f>IF( OR( OR(pairs[[#This Row],[Az*]]=0, pairs[[#This Row],[Back*]]=0), OR(pairs[[#This Row],[Az*]]=1, pairs[[#This Row],[Back*]]=1)), 1, 0)</f>
        <v>1</v>
      </c>
      <c r="J711" s="235">
        <f>IF(OR(pairs[[#This Row],[Az*]]=0.5,pairs[[#This Row],[Back*]]=0.5),1,0)</f>
        <v>1</v>
      </c>
    </row>
    <row r="712" spans="1:10">
      <c r="A712" s="231" t="s">
        <v>101</v>
      </c>
      <c r="B712" s="231" t="s">
        <v>149</v>
      </c>
      <c r="C712" s="232"/>
      <c r="D712" s="232">
        <v>355.39</v>
      </c>
      <c r="E712" s="233">
        <v>7.262956</v>
      </c>
      <c r="F712" s="234">
        <f>pairs[[#This Row],[ Dist]]*5280</f>
        <v>38348.407679999997</v>
      </c>
      <c r="G712" s="232">
        <f>ROUND(pairs[[#This Row],[ Az]]-ROUNDDOWN(pairs[[#This Row],[ Az]],0),1)</f>
        <v>0</v>
      </c>
      <c r="H712" s="232">
        <f>ROUND(pairs[[#This Row],[ Back]]-ROUNDDOWN(pairs[[#This Row],[ Back]],0),1)</f>
        <v>0.4</v>
      </c>
      <c r="I712" s="232">
        <f>IF( OR( OR(pairs[[#This Row],[Az*]]=0, pairs[[#This Row],[Back*]]=0), OR(pairs[[#This Row],[Az*]]=1, pairs[[#This Row],[Back*]]=1)), 1, 0)</f>
        <v>1</v>
      </c>
      <c r="J712" s="232">
        <f>IF(OR(pairs[[#This Row],[Az*]]=0.5,pairs[[#This Row],[Back*]]=0.5),1,0)</f>
        <v>0</v>
      </c>
    </row>
    <row r="713" spans="1:10">
      <c r="A713" s="231" t="s">
        <v>101</v>
      </c>
      <c r="B713" s="231" t="s">
        <v>153</v>
      </c>
      <c r="C713" s="232"/>
      <c r="D713" s="232">
        <v>286.08999999999997</v>
      </c>
      <c r="E713" s="233">
        <v>0.60757700000000003</v>
      </c>
      <c r="F713" s="234">
        <f>pairs[[#This Row],[ Dist]]*5280</f>
        <v>3208.0065600000003</v>
      </c>
      <c r="G713" s="232">
        <f>ROUND(pairs[[#This Row],[ Az]]-ROUNDDOWN(pairs[[#This Row],[ Az]],0),1)</f>
        <v>0</v>
      </c>
      <c r="H713" s="232">
        <f>ROUND(pairs[[#This Row],[ Back]]-ROUNDDOWN(pairs[[#This Row],[ Back]],0),1)</f>
        <v>0.1</v>
      </c>
      <c r="I713" s="232">
        <f>IF( OR( OR(pairs[[#This Row],[Az*]]=0, pairs[[#This Row],[Back*]]=0), OR(pairs[[#This Row],[Az*]]=1, pairs[[#This Row],[Back*]]=1)), 1, 0)</f>
        <v>1</v>
      </c>
      <c r="J713" s="232">
        <f>IF(OR(pairs[[#This Row],[Az*]]=0.5,pairs[[#This Row],[Back*]]=0.5),1,0)</f>
        <v>0</v>
      </c>
    </row>
    <row r="714" spans="1:10">
      <c r="A714" s="231" t="s">
        <v>101</v>
      </c>
      <c r="B714" s="231" t="s">
        <v>150</v>
      </c>
      <c r="C714" s="232"/>
      <c r="D714" s="232">
        <v>88.81</v>
      </c>
      <c r="E714" s="233">
        <v>6.4992619999999999</v>
      </c>
      <c r="F714" s="234">
        <f>pairs[[#This Row],[ Dist]]*5280</f>
        <v>34316.103360000001</v>
      </c>
      <c r="G714" s="232">
        <f>ROUND(pairs[[#This Row],[ Az]]-ROUNDDOWN(pairs[[#This Row],[ Az]],0),1)</f>
        <v>0</v>
      </c>
      <c r="H714" s="232">
        <f>ROUND(pairs[[#This Row],[ Back]]-ROUNDDOWN(pairs[[#This Row],[ Back]],0),1)</f>
        <v>0.8</v>
      </c>
      <c r="I714" s="232">
        <f>IF( OR( OR(pairs[[#This Row],[Az*]]=0, pairs[[#This Row],[Back*]]=0), OR(pairs[[#This Row],[Az*]]=1, pairs[[#This Row],[Back*]]=1)), 1, 0)</f>
        <v>1</v>
      </c>
      <c r="J714" s="232">
        <f>IF(OR(pairs[[#This Row],[Az*]]=0.5,pairs[[#This Row],[Back*]]=0.5),1,0)</f>
        <v>0</v>
      </c>
    </row>
    <row r="715" spans="1:10">
      <c r="A715" s="231" t="s">
        <v>101</v>
      </c>
      <c r="B715" s="231" t="s">
        <v>154</v>
      </c>
      <c r="C715" s="232"/>
      <c r="D715" s="232">
        <v>283.33</v>
      </c>
      <c r="E715" s="233">
        <v>0.58888200000000002</v>
      </c>
      <c r="F715" s="234">
        <f>pairs[[#This Row],[ Dist]]*5280</f>
        <v>3109.2969600000001</v>
      </c>
      <c r="G715" s="232">
        <f>ROUND(pairs[[#This Row],[ Az]]-ROUNDDOWN(pairs[[#This Row],[ Az]],0),1)</f>
        <v>0</v>
      </c>
      <c r="H715" s="232">
        <f>ROUND(pairs[[#This Row],[ Back]]-ROUNDDOWN(pairs[[#This Row],[ Back]],0),1)</f>
        <v>0.3</v>
      </c>
      <c r="I715" s="232">
        <f>IF( OR( OR(pairs[[#This Row],[Az*]]=0, pairs[[#This Row],[Back*]]=0), OR(pairs[[#This Row],[Az*]]=1, pairs[[#This Row],[Back*]]=1)), 1, 0)</f>
        <v>1</v>
      </c>
      <c r="J715" s="232">
        <f>IF(OR(pairs[[#This Row],[Az*]]=0.5,pairs[[#This Row],[Back*]]=0.5),1,0)</f>
        <v>0</v>
      </c>
    </row>
    <row r="716" spans="1:10">
      <c r="A716" s="238" t="s">
        <v>136</v>
      </c>
      <c r="B716" s="238" t="s">
        <v>156</v>
      </c>
      <c r="C716" s="239"/>
      <c r="D716" s="239">
        <v>47.78</v>
      </c>
      <c r="E716" s="240">
        <v>0.42477399999999998</v>
      </c>
      <c r="F716" s="241">
        <f>pairs[[#This Row],[ Dist]]*5280</f>
        <v>2242.80672</v>
      </c>
      <c r="G716" s="239">
        <f>ROUND(pairs[[#This Row],[ Az]]-ROUNDDOWN(pairs[[#This Row],[ Az]],0),1)</f>
        <v>0</v>
      </c>
      <c r="H716" s="232">
        <f>ROUND(pairs[[#This Row],[ Back]]-ROUNDDOWN(pairs[[#This Row],[ Back]],0),1)</f>
        <v>0.8</v>
      </c>
      <c r="I716" s="239">
        <f>IF( OR( OR(pairs[[#This Row],[Az*]]=0, pairs[[#This Row],[Back*]]=0), OR(pairs[[#This Row],[Az*]]=1, pairs[[#This Row],[Back*]]=1)), 1, 0)</f>
        <v>1</v>
      </c>
      <c r="J716" s="239">
        <f>IF(OR(pairs[[#This Row],[Az*]]=0.5,pairs[[#This Row],[Back*]]=0.5),1,0)</f>
        <v>0</v>
      </c>
    </row>
    <row r="717" spans="1:10" ht="14.1">
      <c r="A717" s="225" t="s">
        <v>136</v>
      </c>
      <c r="B717" s="225" t="s">
        <v>163</v>
      </c>
      <c r="C717" s="226"/>
      <c r="D717" s="226">
        <v>253.59</v>
      </c>
      <c r="E717" s="227">
        <v>5.2115629999999999</v>
      </c>
      <c r="F717" s="228">
        <f>pairs[[#This Row],[ Dist]]*5280</f>
        <v>27517.052639999998</v>
      </c>
      <c r="G717" s="226">
        <f>ROUND(pairs[[#This Row],[ Az]]-ROUNDDOWN(pairs[[#This Row],[ Az]],0),1)</f>
        <v>0</v>
      </c>
      <c r="H717" s="235">
        <f>ROUND(pairs[[#This Row],[ Back]]-ROUNDDOWN(pairs[[#This Row],[ Back]],0),1)</f>
        <v>0.6</v>
      </c>
      <c r="I717" s="226">
        <f>IF( OR( OR(pairs[[#This Row],[Az*]]=0, pairs[[#This Row],[Back*]]=0), OR(pairs[[#This Row],[Az*]]=1, pairs[[#This Row],[Back*]]=1)), 1, 0)</f>
        <v>1</v>
      </c>
      <c r="J717" s="226">
        <f>IF(OR(pairs[[#This Row],[Az*]]=0.5,pairs[[#This Row],[Back*]]=0.5),1,0)</f>
        <v>0</v>
      </c>
    </row>
    <row r="718" spans="1:10" ht="14.1">
      <c r="A718" s="225" t="s">
        <v>136</v>
      </c>
      <c r="B718" s="225" t="s">
        <v>143</v>
      </c>
      <c r="C718" s="226"/>
      <c r="D718" s="226">
        <v>282.48</v>
      </c>
      <c r="E718" s="227">
        <v>1.4329590000000001</v>
      </c>
      <c r="F718" s="228">
        <f>pairs[[#This Row],[ Dist]]*5280</f>
        <v>7566.0235200000006</v>
      </c>
      <c r="G718" s="226">
        <f>ROUND(pairs[[#This Row],[ Az]]-ROUNDDOWN(pairs[[#This Row],[ Az]],0),1)</f>
        <v>0</v>
      </c>
      <c r="H718" s="235">
        <f>ROUND(pairs[[#This Row],[ Back]]-ROUNDDOWN(pairs[[#This Row],[ Back]],0),1)</f>
        <v>0.5</v>
      </c>
      <c r="I718" s="226">
        <f>IF( OR( OR(pairs[[#This Row],[Az*]]=0, pairs[[#This Row],[Back*]]=0), OR(pairs[[#This Row],[Az*]]=1, pairs[[#This Row],[Back*]]=1)), 1, 0)</f>
        <v>1</v>
      </c>
      <c r="J718" s="226">
        <f>IF(OR(pairs[[#This Row],[Az*]]=0.5,pairs[[#This Row],[Back*]]=0.5),1,0)</f>
        <v>1</v>
      </c>
    </row>
    <row r="719" spans="1:10" ht="14.1">
      <c r="A719" s="225" t="s">
        <v>136</v>
      </c>
      <c r="B719" s="225" t="s">
        <v>151</v>
      </c>
      <c r="C719" s="226"/>
      <c r="D719" s="226">
        <v>272.60000000000002</v>
      </c>
      <c r="E719" s="227">
        <v>6.7672749999999997</v>
      </c>
      <c r="F719" s="228">
        <f>pairs[[#This Row],[ Dist]]*5280</f>
        <v>35731.212</v>
      </c>
      <c r="G719" s="226">
        <f>ROUND(pairs[[#This Row],[ Az]]-ROUNDDOWN(pairs[[#This Row],[ Az]],0),1)</f>
        <v>0</v>
      </c>
      <c r="H719" s="235">
        <f>ROUND(pairs[[#This Row],[ Back]]-ROUNDDOWN(pairs[[#This Row],[ Back]],0),1)</f>
        <v>0.6</v>
      </c>
      <c r="I719" s="226">
        <f>IF( OR( OR(pairs[[#This Row],[Az*]]=0, pairs[[#This Row],[Back*]]=0), OR(pairs[[#This Row],[Az*]]=1, pairs[[#This Row],[Back*]]=1)), 1, 0)</f>
        <v>1</v>
      </c>
      <c r="J719" s="226">
        <f>IF(OR(pairs[[#This Row],[Az*]]=0.5,pairs[[#This Row],[Back*]]=0.5),1,0)</f>
        <v>0</v>
      </c>
    </row>
    <row r="720" spans="1:10">
      <c r="A720" s="238" t="s">
        <v>136</v>
      </c>
      <c r="B720" s="238" t="s">
        <v>155</v>
      </c>
      <c r="C720" s="239"/>
      <c r="D720" s="239">
        <v>45.3</v>
      </c>
      <c r="E720" s="240">
        <v>0.43655300000000002</v>
      </c>
      <c r="F720" s="241">
        <f>pairs[[#This Row],[ Dist]]*5280</f>
        <v>2304.9998399999999</v>
      </c>
      <c r="G720" s="239">
        <f>ROUND(pairs[[#This Row],[ Az]]-ROUNDDOWN(pairs[[#This Row],[ Az]],0),1)</f>
        <v>0</v>
      </c>
      <c r="H720" s="232">
        <f>ROUND(pairs[[#This Row],[ Back]]-ROUNDDOWN(pairs[[#This Row],[ Back]],0),1)</f>
        <v>0.3</v>
      </c>
      <c r="I720" s="239">
        <f>IF( OR( OR(pairs[[#This Row],[Az*]]=0, pairs[[#This Row],[Back*]]=0), OR(pairs[[#This Row],[Az*]]=1, pairs[[#This Row],[Back*]]=1)), 1, 0)</f>
        <v>1</v>
      </c>
      <c r="J720" s="239">
        <f>IF(OR(pairs[[#This Row],[Az*]]=0.5,pairs[[#This Row],[Back*]]=0.5),1,0)</f>
        <v>0</v>
      </c>
    </row>
    <row r="721" spans="1:10" ht="14.1">
      <c r="A721" s="225" t="s">
        <v>136</v>
      </c>
      <c r="B721" s="225" t="s">
        <v>158</v>
      </c>
      <c r="C721" s="226"/>
      <c r="D721" s="226">
        <v>291.56</v>
      </c>
      <c r="E721" s="227">
        <v>1.54036</v>
      </c>
      <c r="F721" s="228">
        <f>pairs[[#This Row],[ Dist]]*5280</f>
        <v>8133.1008000000002</v>
      </c>
      <c r="G721" s="226">
        <f>ROUND(pairs[[#This Row],[ Az]]-ROUNDDOWN(pairs[[#This Row],[ Az]],0),1)</f>
        <v>0</v>
      </c>
      <c r="H721" s="235">
        <f>ROUND(pairs[[#This Row],[ Back]]-ROUNDDOWN(pairs[[#This Row],[ Back]],0),1)</f>
        <v>0.6</v>
      </c>
      <c r="I721" s="226">
        <f>IF( OR( OR(pairs[[#This Row],[Az*]]=0, pairs[[#This Row],[Back*]]=0), OR(pairs[[#This Row],[Az*]]=1, pairs[[#This Row],[Back*]]=1)), 1, 0)</f>
        <v>1</v>
      </c>
      <c r="J721" s="226">
        <f>IF(OR(pairs[[#This Row],[Az*]]=0.5,pairs[[#This Row],[Back*]]=0.5),1,0)</f>
        <v>0</v>
      </c>
    </row>
    <row r="722" spans="1:10">
      <c r="A722" s="238" t="s">
        <v>136</v>
      </c>
      <c r="B722" s="238" t="s">
        <v>159</v>
      </c>
      <c r="C722" s="239"/>
      <c r="D722" s="239">
        <v>68.849999999999994</v>
      </c>
      <c r="E722" s="240">
        <v>0.91647199999999995</v>
      </c>
      <c r="F722" s="241">
        <f>pairs[[#This Row],[ Dist]]*5280</f>
        <v>4838.9721599999993</v>
      </c>
      <c r="G722" s="239">
        <f>ROUND(pairs[[#This Row],[ Az]]-ROUNDDOWN(pairs[[#This Row],[ Az]],0),1)</f>
        <v>0</v>
      </c>
      <c r="H722" s="232">
        <f>ROUND(pairs[[#This Row],[ Back]]-ROUNDDOWN(pairs[[#This Row],[ Back]],0),1)</f>
        <v>0.8</v>
      </c>
      <c r="I722" s="239">
        <f>IF( OR( OR(pairs[[#This Row],[Az*]]=0, pairs[[#This Row],[Back*]]=0), OR(pairs[[#This Row],[Az*]]=1, pairs[[#This Row],[Back*]]=1)), 1, 0)</f>
        <v>1</v>
      </c>
      <c r="J722" s="239">
        <f>IF(OR(pairs[[#This Row],[Az*]]=0.5,pairs[[#This Row],[Back*]]=0.5),1,0)</f>
        <v>0</v>
      </c>
    </row>
    <row r="723" spans="1:10">
      <c r="A723" s="238" t="s">
        <v>136</v>
      </c>
      <c r="B723" s="238" t="s">
        <v>146</v>
      </c>
      <c r="C723" s="239"/>
      <c r="D723" s="239">
        <v>80.75</v>
      </c>
      <c r="E723" s="240">
        <v>0.90073999999999999</v>
      </c>
      <c r="F723" s="241">
        <f>pairs[[#This Row],[ Dist]]*5280</f>
        <v>4755.9071999999996</v>
      </c>
      <c r="G723" s="239">
        <f>ROUND(pairs[[#This Row],[ Az]]-ROUNDDOWN(pairs[[#This Row],[ Az]],0),1)</f>
        <v>0</v>
      </c>
      <c r="H723" s="232">
        <f>ROUND(pairs[[#This Row],[ Back]]-ROUNDDOWN(pairs[[#This Row],[ Back]],0),1)</f>
        <v>0.8</v>
      </c>
      <c r="I723" s="239">
        <f>IF( OR( OR(pairs[[#This Row],[Az*]]=0, pairs[[#This Row],[Back*]]=0), OR(pairs[[#This Row],[Az*]]=1, pairs[[#This Row],[Back*]]=1)), 1, 0)</f>
        <v>1</v>
      </c>
      <c r="J723" s="239">
        <f>IF(OR(pairs[[#This Row],[Az*]]=0.5,pairs[[#This Row],[Back*]]=0.5),1,0)</f>
        <v>0</v>
      </c>
    </row>
    <row r="724" spans="1:10">
      <c r="A724" s="238" t="s">
        <v>136</v>
      </c>
      <c r="B724" s="238" t="s">
        <v>145</v>
      </c>
      <c r="C724" s="239"/>
      <c r="D724" s="239">
        <v>9.8699999999999992</v>
      </c>
      <c r="E724" s="240">
        <v>0.52100400000000002</v>
      </c>
      <c r="F724" s="241">
        <f>pairs[[#This Row],[ Dist]]*5280</f>
        <v>2750.90112</v>
      </c>
      <c r="G724" s="239">
        <f>ROUND(pairs[[#This Row],[ Az]]-ROUNDDOWN(pairs[[#This Row],[ Az]],0),1)</f>
        <v>0</v>
      </c>
      <c r="H724" s="232">
        <f>ROUND(pairs[[#This Row],[ Back]]-ROUNDDOWN(pairs[[#This Row],[ Back]],0),1)</f>
        <v>0.9</v>
      </c>
      <c r="I724" s="239">
        <f>IF( OR( OR(pairs[[#This Row],[Az*]]=0, pairs[[#This Row],[Back*]]=0), OR(pairs[[#This Row],[Az*]]=1, pairs[[#This Row],[Back*]]=1)), 1, 0)</f>
        <v>1</v>
      </c>
      <c r="J724" s="239">
        <f>IF(OR(pairs[[#This Row],[Az*]]=0.5,pairs[[#This Row],[Back*]]=0.5),1,0)</f>
        <v>0</v>
      </c>
    </row>
    <row r="725" spans="1:10">
      <c r="A725" s="238" t="s">
        <v>136</v>
      </c>
      <c r="B725" s="238" t="s">
        <v>164</v>
      </c>
      <c r="C725" s="239"/>
      <c r="D725" s="239">
        <v>70.8</v>
      </c>
      <c r="E725" s="240">
        <v>0.94139200000000001</v>
      </c>
      <c r="F725" s="241">
        <f>pairs[[#This Row],[ Dist]]*5280</f>
        <v>4970.5497599999999</v>
      </c>
      <c r="G725" s="239">
        <f>ROUND(pairs[[#This Row],[ Az]]-ROUNDDOWN(pairs[[#This Row],[ Az]],0),1)</f>
        <v>0</v>
      </c>
      <c r="H725" s="232">
        <f>ROUND(pairs[[#This Row],[ Back]]-ROUNDDOWN(pairs[[#This Row],[ Back]],0),1)</f>
        <v>0.8</v>
      </c>
      <c r="I725" s="239">
        <f>IF( OR( OR(pairs[[#This Row],[Az*]]=0, pairs[[#This Row],[Back*]]=0), OR(pairs[[#This Row],[Az*]]=1, pairs[[#This Row],[Back*]]=1)), 1, 0)</f>
        <v>1</v>
      </c>
      <c r="J725" s="239">
        <f>IF(OR(pairs[[#This Row],[Az*]]=0.5,pairs[[#This Row],[Back*]]=0.5),1,0)</f>
        <v>0</v>
      </c>
    </row>
    <row r="726" spans="1:10" ht="14.1">
      <c r="A726" s="221" t="s">
        <v>136</v>
      </c>
      <c r="B726" s="221" t="s">
        <v>144</v>
      </c>
      <c r="C726" s="222"/>
      <c r="D726" s="222">
        <v>1.97</v>
      </c>
      <c r="E726" s="223">
        <v>0.53843099999999999</v>
      </c>
      <c r="F726" s="224">
        <f>pairs[[#This Row],[ Dist]]*5280</f>
        <v>2842.9156800000001</v>
      </c>
      <c r="G726" s="239">
        <f>ROUND(pairs[[#This Row],[ Az]]-ROUNDDOWN(pairs[[#This Row],[ Az]],0),1)</f>
        <v>0</v>
      </c>
      <c r="H726" s="232">
        <f>ROUND(pairs[[#This Row],[ Back]]-ROUNDDOWN(pairs[[#This Row],[ Back]],0),1)</f>
        <v>1</v>
      </c>
      <c r="I726" s="239">
        <f>IF( OR( OR(pairs[[#This Row],[Az*]]=0, pairs[[#This Row],[Back*]]=0), OR(pairs[[#This Row],[Az*]]=1, pairs[[#This Row],[Back*]]=1)), 1, 0)</f>
        <v>1</v>
      </c>
      <c r="J726" s="239">
        <f>IF(OR(pairs[[#This Row],[Az*]]=0.5,pairs[[#This Row],[Back*]]=0.5),1,0)</f>
        <v>0</v>
      </c>
    </row>
    <row r="727" spans="1:10">
      <c r="A727" s="238" t="s">
        <v>136</v>
      </c>
      <c r="B727" s="238" t="s">
        <v>148</v>
      </c>
      <c r="C727" s="239"/>
      <c r="D727" s="239">
        <v>177.26</v>
      </c>
      <c r="E727" s="240">
        <v>6.8277349999999997</v>
      </c>
      <c r="F727" s="241">
        <f>pairs[[#This Row],[ Dist]]*5280</f>
        <v>36050.440799999997</v>
      </c>
      <c r="G727" s="239">
        <f>ROUND(pairs[[#This Row],[ Az]]-ROUNDDOWN(pairs[[#This Row],[ Az]],0),1)</f>
        <v>0</v>
      </c>
      <c r="H727" s="232">
        <f>ROUND(pairs[[#This Row],[ Back]]-ROUNDDOWN(pairs[[#This Row],[ Back]],0),1)</f>
        <v>0.3</v>
      </c>
      <c r="I727" s="239">
        <f>IF( OR( OR(pairs[[#This Row],[Az*]]=0, pairs[[#This Row],[Back*]]=0), OR(pairs[[#This Row],[Az*]]=1, pairs[[#This Row],[Back*]]=1)), 1, 0)</f>
        <v>1</v>
      </c>
      <c r="J727" s="239">
        <f>IF(OR(pairs[[#This Row],[Az*]]=0.5,pairs[[#This Row],[Back*]]=0.5),1,0)</f>
        <v>0</v>
      </c>
    </row>
    <row r="728" spans="1:10" ht="14.1">
      <c r="A728" s="225" t="s">
        <v>136</v>
      </c>
      <c r="B728" s="225" t="s">
        <v>152</v>
      </c>
      <c r="C728" s="226"/>
      <c r="D728" s="226">
        <v>52.45</v>
      </c>
      <c r="E728" s="227">
        <v>0.41211799999999998</v>
      </c>
      <c r="F728" s="228">
        <f>pairs[[#This Row],[ Dist]]*5280</f>
        <v>2175.9830400000001</v>
      </c>
      <c r="G728" s="226">
        <f>ROUND(pairs[[#This Row],[ Az]]-ROUNDDOWN(pairs[[#This Row],[ Az]],0),1)</f>
        <v>0</v>
      </c>
      <c r="H728" s="235">
        <f>ROUND(pairs[[#This Row],[ Back]]-ROUNDDOWN(pairs[[#This Row],[ Back]],0),1)</f>
        <v>0.5</v>
      </c>
      <c r="I728" s="226">
        <f>IF( OR( OR(pairs[[#This Row],[Az*]]=0, pairs[[#This Row],[Back*]]=0), OR(pairs[[#This Row],[Az*]]=1, pairs[[#This Row],[Back*]]=1)), 1, 0)</f>
        <v>1</v>
      </c>
      <c r="J728" s="226">
        <f>IF(OR(pairs[[#This Row],[Az*]]=0.5,pairs[[#This Row],[Back*]]=0.5),1,0)</f>
        <v>1</v>
      </c>
    </row>
    <row r="729" spans="1:10" ht="14.1">
      <c r="A729" s="221" t="s">
        <v>136</v>
      </c>
      <c r="B729" s="221" t="s">
        <v>147</v>
      </c>
      <c r="C729" s="222"/>
      <c r="D729" s="222">
        <v>32.04</v>
      </c>
      <c r="E729" s="223">
        <v>2.135958</v>
      </c>
      <c r="F729" s="224">
        <f>pairs[[#This Row],[ Dist]]*5280</f>
        <v>11277.85824</v>
      </c>
      <c r="G729" s="239">
        <f>ROUND(pairs[[#This Row],[ Az]]-ROUNDDOWN(pairs[[#This Row],[ Az]],0),1)</f>
        <v>0</v>
      </c>
      <c r="H729" s="232">
        <f>ROUND(pairs[[#This Row],[ Back]]-ROUNDDOWN(pairs[[#This Row],[ Back]],0),1)</f>
        <v>0</v>
      </c>
      <c r="I729" s="239">
        <f>IF( OR( OR(pairs[[#This Row],[Az*]]=0, pairs[[#This Row],[Back*]]=0), OR(pairs[[#This Row],[Az*]]=1, pairs[[#This Row],[Back*]]=1)), 1, 0)</f>
        <v>1</v>
      </c>
      <c r="J729" s="239">
        <f>IF(OR(pairs[[#This Row],[Az*]]=0.5,pairs[[#This Row],[Back*]]=0.5),1,0)</f>
        <v>0</v>
      </c>
    </row>
    <row r="730" spans="1:10">
      <c r="A730" s="238" t="s">
        <v>136</v>
      </c>
      <c r="B730" s="238" t="s">
        <v>161</v>
      </c>
      <c r="C730" s="239"/>
      <c r="D730" s="239">
        <v>119.37</v>
      </c>
      <c r="E730" s="240">
        <v>5.244256</v>
      </c>
      <c r="F730" s="241">
        <f>pairs[[#This Row],[ Dist]]*5280</f>
        <v>27689.671679999999</v>
      </c>
      <c r="G730" s="239">
        <f>ROUND(pairs[[#This Row],[ Az]]-ROUNDDOWN(pairs[[#This Row],[ Az]],0),1)</f>
        <v>0</v>
      </c>
      <c r="H730" s="232">
        <f>ROUND(pairs[[#This Row],[ Back]]-ROUNDDOWN(pairs[[#This Row],[ Back]],0),1)</f>
        <v>0.4</v>
      </c>
      <c r="I730" s="239">
        <f>IF( OR( OR(pairs[[#This Row],[Az*]]=0, pairs[[#This Row],[Back*]]=0), OR(pairs[[#This Row],[Az*]]=1, pairs[[#This Row],[Back*]]=1)), 1, 0)</f>
        <v>1</v>
      </c>
      <c r="J730" s="239">
        <f>IF(OR(pairs[[#This Row],[Az*]]=0.5,pairs[[#This Row],[Back*]]=0.5),1,0)</f>
        <v>0</v>
      </c>
    </row>
    <row r="731" spans="1:10">
      <c r="A731" s="238" t="s">
        <v>136</v>
      </c>
      <c r="B731" s="238" t="s">
        <v>162</v>
      </c>
      <c r="C731" s="239"/>
      <c r="D731" s="239">
        <v>171.73</v>
      </c>
      <c r="E731" s="240">
        <v>6.2855829999999999</v>
      </c>
      <c r="F731" s="241">
        <f>pairs[[#This Row],[ Dist]]*5280</f>
        <v>33187.878239999998</v>
      </c>
      <c r="G731" s="239">
        <f>ROUND(pairs[[#This Row],[ Az]]-ROUNDDOWN(pairs[[#This Row],[ Az]],0),1)</f>
        <v>0</v>
      </c>
      <c r="H731" s="232">
        <f>ROUND(pairs[[#This Row],[ Back]]-ROUNDDOWN(pairs[[#This Row],[ Back]],0),1)</f>
        <v>0.7</v>
      </c>
      <c r="I731" s="239">
        <f>IF( OR( OR(pairs[[#This Row],[Az*]]=0, pairs[[#This Row],[Back*]]=0), OR(pairs[[#This Row],[Az*]]=1, pairs[[#This Row],[Back*]]=1)), 1, 0)</f>
        <v>1</v>
      </c>
      <c r="J731" s="239">
        <f>IF(OR(pairs[[#This Row],[Az*]]=0.5,pairs[[#This Row],[Back*]]=0.5),1,0)</f>
        <v>0</v>
      </c>
    </row>
    <row r="732" spans="1:10">
      <c r="A732" s="238" t="s">
        <v>136</v>
      </c>
      <c r="B732" s="238" t="s">
        <v>157</v>
      </c>
      <c r="C732" s="239"/>
      <c r="D732" s="239">
        <v>348.15</v>
      </c>
      <c r="E732" s="240">
        <v>2.971187</v>
      </c>
      <c r="F732" s="241">
        <f>pairs[[#This Row],[ Dist]]*5280</f>
        <v>15687.86736</v>
      </c>
      <c r="G732" s="239">
        <f>ROUND(pairs[[#This Row],[ Az]]-ROUNDDOWN(pairs[[#This Row],[ Az]],0),1)</f>
        <v>0</v>
      </c>
      <c r="H732" s="232">
        <f>ROUND(pairs[[#This Row],[ Back]]-ROUNDDOWN(pairs[[#This Row],[ Back]],0),1)</f>
        <v>0.1</v>
      </c>
      <c r="I732" s="239">
        <f>IF( OR( OR(pairs[[#This Row],[Az*]]=0, pairs[[#This Row],[Back*]]=0), OR(pairs[[#This Row],[Az*]]=1, pairs[[#This Row],[Back*]]=1)), 1, 0)</f>
        <v>1</v>
      </c>
      <c r="J732" s="239">
        <f>IF(OR(pairs[[#This Row],[Az*]]=0.5,pairs[[#This Row],[Back*]]=0.5),1,0)</f>
        <v>0</v>
      </c>
    </row>
    <row r="733" spans="1:10">
      <c r="A733" s="238" t="s">
        <v>136</v>
      </c>
      <c r="B733" s="238" t="s">
        <v>149</v>
      </c>
      <c r="C733" s="239"/>
      <c r="D733" s="239">
        <v>2.37</v>
      </c>
      <c r="E733" s="240">
        <v>7.3904680000000003</v>
      </c>
      <c r="F733" s="241">
        <f>pairs[[#This Row],[ Dist]]*5280</f>
        <v>39021.671040000001</v>
      </c>
      <c r="G733" s="239">
        <f>ROUND(pairs[[#This Row],[ Az]]-ROUNDDOWN(pairs[[#This Row],[ Az]],0),1)</f>
        <v>0</v>
      </c>
      <c r="H733" s="232">
        <f>ROUND(pairs[[#This Row],[ Back]]-ROUNDDOWN(pairs[[#This Row],[ Back]],0),1)</f>
        <v>0.4</v>
      </c>
      <c r="I733" s="239">
        <f>IF( OR( OR(pairs[[#This Row],[Az*]]=0, pairs[[#This Row],[Back*]]=0), OR(pairs[[#This Row],[Az*]]=1, pairs[[#This Row],[Back*]]=1)), 1, 0)</f>
        <v>1</v>
      </c>
      <c r="J733" s="239">
        <f>IF(OR(pairs[[#This Row],[Az*]]=0.5,pairs[[#This Row],[Back*]]=0.5),1,0)</f>
        <v>0</v>
      </c>
    </row>
    <row r="734" spans="1:10">
      <c r="A734" s="238" t="s">
        <v>136</v>
      </c>
      <c r="B734" s="238" t="s">
        <v>153</v>
      </c>
      <c r="C734" s="239"/>
      <c r="D734" s="239">
        <v>44.27</v>
      </c>
      <c r="E734" s="240">
        <v>0.43727899999999997</v>
      </c>
      <c r="F734" s="241">
        <f>pairs[[#This Row],[ Dist]]*5280</f>
        <v>2308.8331199999998</v>
      </c>
      <c r="G734" s="239">
        <f>ROUND(pairs[[#This Row],[ Az]]-ROUNDDOWN(pairs[[#This Row],[ Az]],0),1)</f>
        <v>0</v>
      </c>
      <c r="H734" s="232">
        <f>ROUND(pairs[[#This Row],[ Back]]-ROUNDDOWN(pairs[[#This Row],[ Back]],0),1)</f>
        <v>0.3</v>
      </c>
      <c r="I734" s="239">
        <f>IF( OR( OR(pairs[[#This Row],[Az*]]=0, pairs[[#This Row],[Back*]]=0), OR(pairs[[#This Row],[Az*]]=1, pairs[[#This Row],[Back*]]=1)), 1, 0)</f>
        <v>1</v>
      </c>
      <c r="J734" s="239">
        <f>IF(OR(pairs[[#This Row],[Az*]]=0.5,pairs[[#This Row],[Back*]]=0.5),1,0)</f>
        <v>0</v>
      </c>
    </row>
    <row r="735" spans="1:10">
      <c r="A735" s="238" t="s">
        <v>136</v>
      </c>
      <c r="B735" s="238" t="s">
        <v>150</v>
      </c>
      <c r="C735" s="239"/>
      <c r="D735" s="239">
        <v>87.82</v>
      </c>
      <c r="E735" s="240">
        <v>7.3920329999999996</v>
      </c>
      <c r="F735" s="241">
        <f>pairs[[#This Row],[ Dist]]*5280</f>
        <v>39029.934239999995</v>
      </c>
      <c r="G735" s="239">
        <f>ROUND(pairs[[#This Row],[ Az]]-ROUNDDOWN(pairs[[#This Row],[ Az]],0),1)</f>
        <v>0</v>
      </c>
      <c r="H735" s="232">
        <f>ROUND(pairs[[#This Row],[ Back]]-ROUNDDOWN(pairs[[#This Row],[ Back]],0),1)</f>
        <v>0.8</v>
      </c>
      <c r="I735" s="239">
        <f>IF( OR( OR(pairs[[#This Row],[Az*]]=0, pairs[[#This Row],[Back*]]=0), OR(pairs[[#This Row],[Az*]]=1, pairs[[#This Row],[Back*]]=1)), 1, 0)</f>
        <v>1</v>
      </c>
      <c r="J735" s="239">
        <f>IF(OR(pairs[[#This Row],[Az*]]=0.5,pairs[[#This Row],[Back*]]=0.5),1,0)</f>
        <v>0</v>
      </c>
    </row>
    <row r="736" spans="1:10">
      <c r="A736" s="238" t="s">
        <v>136</v>
      </c>
      <c r="B736" s="238" t="s">
        <v>154</v>
      </c>
      <c r="C736" s="239"/>
      <c r="D736" s="239">
        <v>48.41</v>
      </c>
      <c r="E736" s="240">
        <v>0.42255599999999999</v>
      </c>
      <c r="F736" s="241">
        <f>pairs[[#This Row],[ Dist]]*5280</f>
        <v>2231.0956799999999</v>
      </c>
      <c r="G736" s="239">
        <f>ROUND(pairs[[#This Row],[ Az]]-ROUNDDOWN(pairs[[#This Row],[ Az]],0),1)</f>
        <v>0</v>
      </c>
      <c r="H736" s="232">
        <f>ROUND(pairs[[#This Row],[ Back]]-ROUNDDOWN(pairs[[#This Row],[ Back]],0),1)</f>
        <v>0.4</v>
      </c>
      <c r="I736" s="239">
        <f>IF( OR( OR(pairs[[#This Row],[Az*]]=0, pairs[[#This Row],[Back*]]=0), OR(pairs[[#This Row],[Az*]]=1, pairs[[#This Row],[Back*]]=1)), 1, 0)</f>
        <v>1</v>
      </c>
      <c r="J736" s="239">
        <f>IF(OR(pairs[[#This Row],[Az*]]=0.5,pairs[[#This Row],[Back*]]=0.5),1,0)</f>
        <v>0</v>
      </c>
    </row>
    <row r="737" spans="1:10">
      <c r="A737" s="238" t="s">
        <v>135</v>
      </c>
      <c r="B737" s="238" t="s">
        <v>156</v>
      </c>
      <c r="C737" s="239"/>
      <c r="D737" s="239">
        <v>265.22000000000003</v>
      </c>
      <c r="E737" s="240">
        <v>0.54205300000000001</v>
      </c>
      <c r="F737" s="241">
        <f>pairs[[#This Row],[ Dist]]*5280</f>
        <v>2862.0398399999999</v>
      </c>
      <c r="G737" s="239">
        <f>ROUND(pairs[[#This Row],[ Az]]-ROUNDDOWN(pairs[[#This Row],[ Az]],0),1)</f>
        <v>0</v>
      </c>
      <c r="H737" s="232">
        <f>ROUND(pairs[[#This Row],[ Back]]-ROUNDDOWN(pairs[[#This Row],[ Back]],0),1)</f>
        <v>0.2</v>
      </c>
      <c r="I737" s="239">
        <f>IF( OR( OR(pairs[[#This Row],[Az*]]=0, pairs[[#This Row],[Back*]]=0), OR(pairs[[#This Row],[Az*]]=1, pairs[[#This Row],[Back*]]=1)), 1, 0)</f>
        <v>1</v>
      </c>
      <c r="J737" s="239">
        <f>IF(OR(pairs[[#This Row],[Az*]]=0.5,pairs[[#This Row],[Back*]]=0.5),1,0)</f>
        <v>0</v>
      </c>
    </row>
    <row r="738" spans="1:10">
      <c r="A738" s="238" t="s">
        <v>135</v>
      </c>
      <c r="B738" s="238" t="s">
        <v>163</v>
      </c>
      <c r="C738" s="239"/>
      <c r="D738" s="239">
        <v>252.89</v>
      </c>
      <c r="E738" s="240">
        <v>6.1254429999999997</v>
      </c>
      <c r="F738" s="241">
        <f>pairs[[#This Row],[ Dist]]*5280</f>
        <v>32342.339039999999</v>
      </c>
      <c r="G738" s="239">
        <f>ROUND(pairs[[#This Row],[ Az]]-ROUNDDOWN(pairs[[#This Row],[ Az]],0),1)</f>
        <v>0</v>
      </c>
      <c r="H738" s="232">
        <f>ROUND(pairs[[#This Row],[ Back]]-ROUNDDOWN(pairs[[#This Row],[ Back]],0),1)</f>
        <v>0.9</v>
      </c>
      <c r="I738" s="239">
        <f>IF( OR( OR(pairs[[#This Row],[Az*]]=0, pairs[[#This Row],[Back*]]=0), OR(pairs[[#This Row],[Az*]]=1, pairs[[#This Row],[Back*]]=1)), 1, 0)</f>
        <v>1</v>
      </c>
      <c r="J738" s="239">
        <f>IF(OR(pairs[[#This Row],[Az*]]=0.5,pairs[[#This Row],[Back*]]=0.5),1,0)</f>
        <v>0</v>
      </c>
    </row>
    <row r="739" spans="1:10" ht="14.1">
      <c r="A739" s="225" t="s">
        <v>135</v>
      </c>
      <c r="B739" s="225" t="s">
        <v>143</v>
      </c>
      <c r="C739" s="226"/>
      <c r="D739" s="226">
        <v>269.48</v>
      </c>
      <c r="E739" s="227">
        <v>2.254054</v>
      </c>
      <c r="F739" s="228">
        <f>pairs[[#This Row],[ Dist]]*5280</f>
        <v>11901.405119999999</v>
      </c>
      <c r="G739" s="226">
        <f>ROUND(pairs[[#This Row],[ Az]]-ROUNDDOWN(pairs[[#This Row],[ Az]],0),1)</f>
        <v>0</v>
      </c>
      <c r="H739" s="235">
        <f>ROUND(pairs[[#This Row],[ Back]]-ROUNDDOWN(pairs[[#This Row],[ Back]],0),1)</f>
        <v>0.5</v>
      </c>
      <c r="I739" s="226">
        <f>IF( OR( OR(pairs[[#This Row],[Az*]]=0, pairs[[#This Row],[Back*]]=0), OR(pairs[[#This Row],[Az*]]=1, pairs[[#This Row],[Back*]]=1)), 1, 0)</f>
        <v>1</v>
      </c>
      <c r="J739" s="226">
        <f>IF(OR(pairs[[#This Row],[Az*]]=0.5,pairs[[#This Row],[Back*]]=0.5),1,0)</f>
        <v>1</v>
      </c>
    </row>
    <row r="740" spans="1:10">
      <c r="A740" s="238" t="s">
        <v>135</v>
      </c>
      <c r="B740" s="238" t="s">
        <v>151</v>
      </c>
      <c r="C740" s="239"/>
      <c r="D740" s="239">
        <v>269.83</v>
      </c>
      <c r="E740" s="240">
        <v>7.6155939999999998</v>
      </c>
      <c r="F740" s="241">
        <f>pairs[[#This Row],[ Dist]]*5280</f>
        <v>40210.336320000002</v>
      </c>
      <c r="G740" s="239">
        <f>ROUND(pairs[[#This Row],[ Az]]-ROUNDDOWN(pairs[[#This Row],[ Az]],0),1)</f>
        <v>0</v>
      </c>
      <c r="H740" s="232">
        <f>ROUND(pairs[[#This Row],[ Back]]-ROUNDDOWN(pairs[[#This Row],[ Back]],0),1)</f>
        <v>0.8</v>
      </c>
      <c r="I740" s="239">
        <f>IF( OR( OR(pairs[[#This Row],[Az*]]=0, pairs[[#This Row],[Back*]]=0), OR(pairs[[#This Row],[Az*]]=1, pairs[[#This Row],[Back*]]=1)), 1, 0)</f>
        <v>1</v>
      </c>
      <c r="J740" s="239">
        <f>IF(OR(pairs[[#This Row],[Az*]]=0.5,pairs[[#This Row],[Back*]]=0.5),1,0)</f>
        <v>0</v>
      </c>
    </row>
    <row r="741" spans="1:10" ht="14.1">
      <c r="A741" s="225" t="s">
        <v>135</v>
      </c>
      <c r="B741" s="225" t="s">
        <v>155</v>
      </c>
      <c r="C741" s="226"/>
      <c r="D741" s="226">
        <v>267.52</v>
      </c>
      <c r="E741" s="227">
        <v>0.54496800000000001</v>
      </c>
      <c r="F741" s="228">
        <f>pairs[[#This Row],[ Dist]]*5280</f>
        <v>2877.4310399999999</v>
      </c>
      <c r="G741" s="226">
        <f>ROUND(pairs[[#This Row],[ Az]]-ROUNDDOWN(pairs[[#This Row],[ Az]],0),1)</f>
        <v>0</v>
      </c>
      <c r="H741" s="235">
        <f>ROUND(pairs[[#This Row],[ Back]]-ROUNDDOWN(pairs[[#This Row],[ Back]],0),1)</f>
        <v>0.5</v>
      </c>
      <c r="I741" s="226">
        <f>IF( OR( OR(pairs[[#This Row],[Az*]]=0, pairs[[#This Row],[Back*]]=0), OR(pairs[[#This Row],[Az*]]=1, pairs[[#This Row],[Back*]]=1)), 1, 0)</f>
        <v>1</v>
      </c>
      <c r="J741" s="226">
        <f>IF(OR(pairs[[#This Row],[Az*]]=0.5,pairs[[#This Row],[Back*]]=0.5),1,0)</f>
        <v>1</v>
      </c>
    </row>
    <row r="742" spans="1:10">
      <c r="A742" s="238" t="s">
        <v>135</v>
      </c>
      <c r="B742" s="238" t="s">
        <v>158</v>
      </c>
      <c r="C742" s="239"/>
      <c r="D742" s="239">
        <v>275.88</v>
      </c>
      <c r="E742" s="240">
        <v>2.2995649999999999</v>
      </c>
      <c r="F742" s="241">
        <f>pairs[[#This Row],[ Dist]]*5280</f>
        <v>12141.7032</v>
      </c>
      <c r="G742" s="239">
        <f>ROUND(pairs[[#This Row],[ Az]]-ROUNDDOWN(pairs[[#This Row],[ Az]],0),1)</f>
        <v>0</v>
      </c>
      <c r="H742" s="232">
        <f>ROUND(pairs[[#This Row],[ Back]]-ROUNDDOWN(pairs[[#This Row],[ Back]],0),1)</f>
        <v>0.9</v>
      </c>
      <c r="I742" s="239">
        <f>IF( OR( OR(pairs[[#This Row],[Az*]]=0, pairs[[#This Row],[Back*]]=0), OR(pairs[[#This Row],[Az*]]=1, pairs[[#This Row],[Back*]]=1)), 1, 0)</f>
        <v>1</v>
      </c>
      <c r="J742" s="239">
        <f>IF(OR(pairs[[#This Row],[Az*]]=0.5,pairs[[#This Row],[Back*]]=0.5),1,0)</f>
        <v>0</v>
      </c>
    </row>
    <row r="743" spans="1:10">
      <c r="A743" s="238" t="s">
        <v>135</v>
      </c>
      <c r="B743" s="238" t="s">
        <v>160</v>
      </c>
      <c r="C743" s="239"/>
      <c r="D743" s="239">
        <v>248.86</v>
      </c>
      <c r="E743" s="240">
        <v>0.91647199999999995</v>
      </c>
      <c r="F743" s="241">
        <f>pairs[[#This Row],[ Dist]]*5280</f>
        <v>4838.9721599999993</v>
      </c>
      <c r="G743" s="239">
        <f>ROUND(pairs[[#This Row],[ Az]]-ROUNDDOWN(pairs[[#This Row],[ Az]],0),1)</f>
        <v>0</v>
      </c>
      <c r="H743" s="232">
        <f>ROUND(pairs[[#This Row],[ Back]]-ROUNDDOWN(pairs[[#This Row],[ Back]],0),1)</f>
        <v>0.9</v>
      </c>
      <c r="I743" s="239">
        <f>IF( OR( OR(pairs[[#This Row],[Az*]]=0, pairs[[#This Row],[Back*]]=0), OR(pairs[[#This Row],[Az*]]=1, pairs[[#This Row],[Back*]]=1)), 1, 0)</f>
        <v>1</v>
      </c>
      <c r="J743" s="239">
        <f>IF(OR(pairs[[#This Row],[Az*]]=0.5,pairs[[#This Row],[Back*]]=0.5),1,0)</f>
        <v>0</v>
      </c>
    </row>
    <row r="744" spans="1:10">
      <c r="A744" s="238" t="s">
        <v>135</v>
      </c>
      <c r="B744" s="238" t="s">
        <v>146</v>
      </c>
      <c r="C744" s="239"/>
      <c r="D744" s="239">
        <v>169.55</v>
      </c>
      <c r="E744" s="240">
        <v>0.18904699999999999</v>
      </c>
      <c r="F744" s="241">
        <f>pairs[[#This Row],[ Dist]]*5280</f>
        <v>998.16815999999994</v>
      </c>
      <c r="G744" s="239">
        <f>ROUND(pairs[[#This Row],[ Az]]-ROUNDDOWN(pairs[[#This Row],[ Az]],0),1)</f>
        <v>0</v>
      </c>
      <c r="H744" s="232">
        <f>ROUND(pairs[[#This Row],[ Back]]-ROUNDDOWN(pairs[[#This Row],[ Back]],0),1)</f>
        <v>0.6</v>
      </c>
      <c r="I744" s="239">
        <f>IF( OR( OR(pairs[[#This Row],[Az*]]=0, pairs[[#This Row],[Back*]]=0), OR(pairs[[#This Row],[Az*]]=1, pairs[[#This Row],[Back*]]=1)), 1, 0)</f>
        <v>1</v>
      </c>
      <c r="J744" s="239">
        <f>IF(OR(pairs[[#This Row],[Az*]]=0.5,pairs[[#This Row],[Back*]]=0.5),1,0)</f>
        <v>0</v>
      </c>
    </row>
    <row r="745" spans="1:10">
      <c r="A745" s="238" t="s">
        <v>135</v>
      </c>
      <c r="B745" s="238" t="s">
        <v>145</v>
      </c>
      <c r="C745" s="239"/>
      <c r="D745" s="239">
        <v>283.43</v>
      </c>
      <c r="E745" s="240">
        <v>0.78697799999999996</v>
      </c>
      <c r="F745" s="241">
        <f>pairs[[#This Row],[ Dist]]*5280</f>
        <v>4155.2438400000001</v>
      </c>
      <c r="G745" s="239">
        <f>ROUND(pairs[[#This Row],[ Az]]-ROUNDDOWN(pairs[[#This Row],[ Az]],0),1)</f>
        <v>0</v>
      </c>
      <c r="H745" s="232">
        <f>ROUND(pairs[[#This Row],[ Back]]-ROUNDDOWN(pairs[[#This Row],[ Back]],0),1)</f>
        <v>0.4</v>
      </c>
      <c r="I745" s="239">
        <f>IF( OR( OR(pairs[[#This Row],[Az*]]=0, pairs[[#This Row],[Back*]]=0), OR(pairs[[#This Row],[Az*]]=1, pairs[[#This Row],[Back*]]=1)), 1, 0)</f>
        <v>1</v>
      </c>
      <c r="J745" s="239">
        <f>IF(OR(pairs[[#This Row],[Az*]]=0.5,pairs[[#This Row],[Back*]]=0.5),1,0)</f>
        <v>0</v>
      </c>
    </row>
    <row r="746" spans="1:10">
      <c r="A746" s="238" t="s">
        <v>135</v>
      </c>
      <c r="B746" s="238" t="s">
        <v>164</v>
      </c>
      <c r="C746" s="239"/>
      <c r="D746" s="239">
        <v>121.61</v>
      </c>
      <c r="E746" s="240">
        <v>4.0279000000000002E-2</v>
      </c>
      <c r="F746" s="241">
        <f>pairs[[#This Row],[ Dist]]*5280</f>
        <v>212.67312000000001</v>
      </c>
      <c r="G746" s="239">
        <f>ROUND(pairs[[#This Row],[ Az]]-ROUNDDOWN(pairs[[#This Row],[ Az]],0),1)</f>
        <v>0</v>
      </c>
      <c r="H746" s="232">
        <f>ROUND(pairs[[#This Row],[ Back]]-ROUNDDOWN(pairs[[#This Row],[ Back]],0),1)</f>
        <v>0.6</v>
      </c>
      <c r="I746" s="239">
        <f>IF( OR( OR(pairs[[#This Row],[Az*]]=0, pairs[[#This Row],[Back*]]=0), OR(pairs[[#This Row],[Az*]]=1, pairs[[#This Row],[Back*]]=1)), 1, 0)</f>
        <v>1</v>
      </c>
      <c r="J746" s="239">
        <f>IF(OR(pairs[[#This Row],[Az*]]=0.5,pairs[[#This Row],[Back*]]=0.5),1,0)</f>
        <v>0</v>
      </c>
    </row>
    <row r="747" spans="1:10">
      <c r="A747" s="238" t="s">
        <v>135</v>
      </c>
      <c r="B747" s="238" t="s">
        <v>144</v>
      </c>
      <c r="C747" s="239"/>
      <c r="D747" s="239">
        <v>283.94</v>
      </c>
      <c r="E747" s="240">
        <v>0.86165899999999995</v>
      </c>
      <c r="F747" s="241">
        <f>pairs[[#This Row],[ Dist]]*5280</f>
        <v>4549.5595199999998</v>
      </c>
      <c r="G747" s="239">
        <f>ROUND(pairs[[#This Row],[ Az]]-ROUNDDOWN(pairs[[#This Row],[ Az]],0),1)</f>
        <v>0</v>
      </c>
      <c r="H747" s="232">
        <f>ROUND(pairs[[#This Row],[ Back]]-ROUNDDOWN(pairs[[#This Row],[ Back]],0),1)</f>
        <v>0.9</v>
      </c>
      <c r="I747" s="239">
        <f>IF( OR( OR(pairs[[#This Row],[Az*]]=0, pairs[[#This Row],[Back*]]=0), OR(pairs[[#This Row],[Az*]]=1, pairs[[#This Row],[Back*]]=1)), 1, 0)</f>
        <v>1</v>
      </c>
      <c r="J747" s="239">
        <f>IF(OR(pairs[[#This Row],[Az*]]=0.5,pairs[[#This Row],[Back*]]=0.5),1,0)</f>
        <v>0</v>
      </c>
    </row>
    <row r="748" spans="1:10">
      <c r="A748" s="238" t="s">
        <v>135</v>
      </c>
      <c r="B748" s="238" t="s">
        <v>148</v>
      </c>
      <c r="C748" s="239"/>
      <c r="D748" s="239">
        <v>184.22</v>
      </c>
      <c r="E748" s="240">
        <v>7.1700010000000001</v>
      </c>
      <c r="F748" s="241">
        <f>pairs[[#This Row],[ Dist]]*5280</f>
        <v>37857.605280000003</v>
      </c>
      <c r="G748" s="239">
        <f>ROUND(pairs[[#This Row],[ Az]]-ROUNDDOWN(pairs[[#This Row],[ Az]],0),1)</f>
        <v>0</v>
      </c>
      <c r="H748" s="232">
        <f>ROUND(pairs[[#This Row],[ Back]]-ROUNDDOWN(pairs[[#This Row],[ Back]],0),1)</f>
        <v>0.2</v>
      </c>
      <c r="I748" s="239">
        <f>IF( OR( OR(pairs[[#This Row],[Az*]]=0, pairs[[#This Row],[Back*]]=0), OR(pairs[[#This Row],[Az*]]=1, pairs[[#This Row],[Back*]]=1)), 1, 0)</f>
        <v>1</v>
      </c>
      <c r="J748" s="239">
        <f>IF(OR(pairs[[#This Row],[Az*]]=0.5,pairs[[#This Row],[Back*]]=0.5),1,0)</f>
        <v>0</v>
      </c>
    </row>
    <row r="749" spans="1:10">
      <c r="A749" s="238" t="s">
        <v>135</v>
      </c>
      <c r="B749" s="238" t="s">
        <v>152</v>
      </c>
      <c r="C749" s="239"/>
      <c r="D749" s="239">
        <v>261.44</v>
      </c>
      <c r="E749" s="240">
        <v>0.53395899999999996</v>
      </c>
      <c r="F749" s="241">
        <f>pairs[[#This Row],[ Dist]]*5280</f>
        <v>2819.3035199999999</v>
      </c>
      <c r="G749" s="239">
        <f>ROUND(pairs[[#This Row],[ Az]]-ROUNDDOWN(pairs[[#This Row],[ Az]],0),1)</f>
        <v>0</v>
      </c>
      <c r="H749" s="232">
        <f>ROUND(pairs[[#This Row],[ Back]]-ROUNDDOWN(pairs[[#This Row],[ Back]],0),1)</f>
        <v>0.4</v>
      </c>
      <c r="I749" s="239">
        <f>IF( OR( OR(pairs[[#This Row],[Az*]]=0, pairs[[#This Row],[Back*]]=0), OR(pairs[[#This Row],[Az*]]=1, pairs[[#This Row],[Back*]]=1)), 1, 0)</f>
        <v>1</v>
      </c>
      <c r="J749" s="239">
        <f>IF(OR(pairs[[#This Row],[Az*]]=0.5,pairs[[#This Row],[Back*]]=0.5),1,0)</f>
        <v>0</v>
      </c>
    </row>
    <row r="750" spans="1:10">
      <c r="A750" s="238" t="s">
        <v>135</v>
      </c>
      <c r="B750" s="238" t="s">
        <v>147</v>
      </c>
      <c r="C750" s="239"/>
      <c r="D750" s="239">
        <v>10.66</v>
      </c>
      <c r="E750" s="240">
        <v>1.5058009999999999</v>
      </c>
      <c r="F750" s="241">
        <f>pairs[[#This Row],[ Dist]]*5280</f>
        <v>7950.6292800000001</v>
      </c>
      <c r="G750" s="239">
        <f>ROUND(pairs[[#This Row],[ Az]]-ROUNDDOWN(pairs[[#This Row],[ Az]],0),1)</f>
        <v>0</v>
      </c>
      <c r="H750" s="232">
        <f>ROUND(pairs[[#This Row],[ Back]]-ROUNDDOWN(pairs[[#This Row],[ Back]],0),1)</f>
        <v>0.7</v>
      </c>
      <c r="I750" s="239">
        <f>IF( OR( OR(pairs[[#This Row],[Az*]]=0, pairs[[#This Row],[Back*]]=0), OR(pairs[[#This Row],[Az*]]=1, pairs[[#This Row],[Back*]]=1)), 1, 0)</f>
        <v>1</v>
      </c>
      <c r="J750" s="239">
        <f>IF(OR(pairs[[#This Row],[Az*]]=0.5,pairs[[#This Row],[Back*]]=0.5),1,0)</f>
        <v>0</v>
      </c>
    </row>
    <row r="751" spans="1:10" ht="14.1">
      <c r="A751" s="221" t="s">
        <v>135</v>
      </c>
      <c r="B751" s="221" t="s">
        <v>161</v>
      </c>
      <c r="C751" s="222"/>
      <c r="D751" s="222">
        <v>128</v>
      </c>
      <c r="E751" s="223">
        <v>4.7155290000000001</v>
      </c>
      <c r="F751" s="224">
        <f>pairs[[#This Row],[ Dist]]*5280</f>
        <v>24897.993119999999</v>
      </c>
      <c r="G751" s="239">
        <f>ROUND(pairs[[#This Row],[ Az]]-ROUNDDOWN(pairs[[#This Row],[ Az]],0),1)</f>
        <v>0</v>
      </c>
      <c r="H751" s="232">
        <f>ROUND(pairs[[#This Row],[ Back]]-ROUNDDOWN(pairs[[#This Row],[ Back]],0),1)</f>
        <v>0</v>
      </c>
      <c r="I751" s="239">
        <f>IF( OR( OR(pairs[[#This Row],[Az*]]=0, pairs[[#This Row],[Back*]]=0), OR(pairs[[#This Row],[Az*]]=1, pairs[[#This Row],[Back*]]=1)), 1, 0)</f>
        <v>1</v>
      </c>
      <c r="J751" s="239">
        <f>IF(OR(pairs[[#This Row],[Az*]]=0.5,pairs[[#This Row],[Back*]]=0.5),1,0)</f>
        <v>0</v>
      </c>
    </row>
    <row r="752" spans="1:10">
      <c r="A752" s="238" t="s">
        <v>135</v>
      </c>
      <c r="B752" s="238" t="s">
        <v>162</v>
      </c>
      <c r="C752" s="239"/>
      <c r="D752" s="239">
        <v>179.57</v>
      </c>
      <c r="E752" s="240">
        <v>6.5511499999999998</v>
      </c>
      <c r="F752" s="241">
        <f>pairs[[#This Row],[ Dist]]*5280</f>
        <v>34590.072</v>
      </c>
      <c r="G752" s="239">
        <f>ROUND(pairs[[#This Row],[ Az]]-ROUNDDOWN(pairs[[#This Row],[ Az]],0),1)</f>
        <v>0</v>
      </c>
      <c r="H752" s="232">
        <f>ROUND(pairs[[#This Row],[ Back]]-ROUNDDOWN(pairs[[#This Row],[ Back]],0),1)</f>
        <v>0.6</v>
      </c>
      <c r="I752" s="239">
        <f>IF( OR( OR(pairs[[#This Row],[Az*]]=0, pairs[[#This Row],[Back*]]=0), OR(pairs[[#This Row],[Az*]]=1, pairs[[#This Row],[Back*]]=1)), 1, 0)</f>
        <v>1</v>
      </c>
      <c r="J752" s="239">
        <f>IF(OR(pairs[[#This Row],[Az*]]=0.5,pairs[[#This Row],[Back*]]=0.5),1,0)</f>
        <v>0</v>
      </c>
    </row>
    <row r="753" spans="1:10">
      <c r="A753" s="238" t="s">
        <v>135</v>
      </c>
      <c r="B753" s="238" t="s">
        <v>157</v>
      </c>
      <c r="C753" s="239"/>
      <c r="D753" s="239">
        <v>330.39</v>
      </c>
      <c r="E753" s="240">
        <v>2.9646330000000001</v>
      </c>
      <c r="F753" s="241">
        <f>pairs[[#This Row],[ Dist]]*5280</f>
        <v>15653.26224</v>
      </c>
      <c r="G753" s="239">
        <f>ROUND(pairs[[#This Row],[ Az]]-ROUNDDOWN(pairs[[#This Row],[ Az]],0),1)</f>
        <v>0</v>
      </c>
      <c r="H753" s="232">
        <f>ROUND(pairs[[#This Row],[ Back]]-ROUNDDOWN(pairs[[#This Row],[ Back]],0),1)</f>
        <v>0.4</v>
      </c>
      <c r="I753" s="239">
        <f>IF( OR( OR(pairs[[#This Row],[Az*]]=0, pairs[[#This Row],[Back*]]=0), OR(pairs[[#This Row],[Az*]]=1, pairs[[#This Row],[Back*]]=1)), 1, 0)</f>
        <v>1</v>
      </c>
      <c r="J753" s="239">
        <f>IF(OR(pairs[[#This Row],[Az*]]=0.5,pairs[[#This Row],[Back*]]=0.5),1,0)</f>
        <v>0</v>
      </c>
    </row>
    <row r="754" spans="1:10" ht="14.1">
      <c r="A754" s="225" t="s">
        <v>135</v>
      </c>
      <c r="B754" s="225" t="s">
        <v>149</v>
      </c>
      <c r="C754" s="226"/>
      <c r="D754" s="226">
        <v>355.55</v>
      </c>
      <c r="E754" s="227">
        <v>7.0749149999999998</v>
      </c>
      <c r="F754" s="228">
        <f>pairs[[#This Row],[ Dist]]*5280</f>
        <v>37355.551200000002</v>
      </c>
      <c r="G754" s="226">
        <f>ROUND(pairs[[#This Row],[ Az]]-ROUNDDOWN(pairs[[#This Row],[ Az]],0),1)</f>
        <v>0</v>
      </c>
      <c r="H754" s="235">
        <f>ROUND(pairs[[#This Row],[ Back]]-ROUNDDOWN(pairs[[#This Row],[ Back]],0),1)</f>
        <v>0.6</v>
      </c>
      <c r="I754" s="226">
        <f>IF( OR( OR(pairs[[#This Row],[Az*]]=0, pairs[[#This Row],[Back*]]=0), OR(pairs[[#This Row],[Az*]]=1, pairs[[#This Row],[Back*]]=1)), 1, 0)</f>
        <v>1</v>
      </c>
      <c r="J754" s="226">
        <f>IF(OR(pairs[[#This Row],[Az*]]=0.5,pairs[[#This Row],[Back*]]=0.5),1,0)</f>
        <v>0</v>
      </c>
    </row>
    <row r="755" spans="1:10">
      <c r="A755" s="238" t="s">
        <v>135</v>
      </c>
      <c r="B755" s="238" t="s">
        <v>153</v>
      </c>
      <c r="C755" s="239"/>
      <c r="D755" s="239">
        <v>268.17</v>
      </c>
      <c r="E755" s="240">
        <v>0.54977500000000001</v>
      </c>
      <c r="F755" s="241">
        <f>pairs[[#This Row],[ Dist]]*5280</f>
        <v>2902.8119999999999</v>
      </c>
      <c r="G755" s="239">
        <f>ROUND(pairs[[#This Row],[ Az]]-ROUNDDOWN(pairs[[#This Row],[ Az]],0),1)</f>
        <v>0</v>
      </c>
      <c r="H755" s="232">
        <f>ROUND(pairs[[#This Row],[ Back]]-ROUNDDOWN(pairs[[#This Row],[ Back]],0),1)</f>
        <v>0.2</v>
      </c>
      <c r="I755" s="239">
        <f>IF( OR( OR(pairs[[#This Row],[Az*]]=0, pairs[[#This Row],[Back*]]=0), OR(pairs[[#This Row],[Az*]]=1, pairs[[#This Row],[Back*]]=1)), 1, 0)</f>
        <v>1</v>
      </c>
      <c r="J755" s="239">
        <f>IF(OR(pairs[[#This Row],[Az*]]=0.5,pairs[[#This Row],[Back*]]=0.5),1,0)</f>
        <v>0</v>
      </c>
    </row>
    <row r="756" spans="1:10" ht="14.1">
      <c r="A756" s="225" t="s">
        <v>135</v>
      </c>
      <c r="B756" s="225" t="s">
        <v>150</v>
      </c>
      <c r="C756" s="226"/>
      <c r="D756" s="226">
        <v>90.45</v>
      </c>
      <c r="E756" s="227">
        <v>6.5326079999999997</v>
      </c>
      <c r="F756" s="228">
        <f>pairs[[#This Row],[ Dist]]*5280</f>
        <v>34492.170239999999</v>
      </c>
      <c r="G756" s="226">
        <f>ROUND(pairs[[#This Row],[ Az]]-ROUNDDOWN(pairs[[#This Row],[ Az]],0),1)</f>
        <v>0</v>
      </c>
      <c r="H756" s="235">
        <f>ROUND(pairs[[#This Row],[ Back]]-ROUNDDOWN(pairs[[#This Row],[ Back]],0),1)</f>
        <v>0.5</v>
      </c>
      <c r="I756" s="226">
        <f>IF( OR( OR(pairs[[#This Row],[Az*]]=0, pairs[[#This Row],[Back*]]=0), OR(pairs[[#This Row],[Az*]]=1, pairs[[#This Row],[Back*]]=1)), 1, 0)</f>
        <v>1</v>
      </c>
      <c r="J756" s="226">
        <f>IF(OR(pairs[[#This Row],[Az*]]=0.5,pairs[[#This Row],[Back*]]=0.5),1,0)</f>
        <v>1</v>
      </c>
    </row>
    <row r="757" spans="1:10">
      <c r="A757" s="238" t="s">
        <v>135</v>
      </c>
      <c r="B757" s="238" t="s">
        <v>154</v>
      </c>
      <c r="C757" s="239"/>
      <c r="D757" s="239">
        <v>264.68</v>
      </c>
      <c r="E757" s="240">
        <v>0.54105700000000001</v>
      </c>
      <c r="F757" s="241">
        <f>pairs[[#This Row],[ Dist]]*5280</f>
        <v>2856.7809600000001</v>
      </c>
      <c r="G757" s="239">
        <f>ROUND(pairs[[#This Row],[ Az]]-ROUNDDOWN(pairs[[#This Row],[ Az]],0),1)</f>
        <v>0</v>
      </c>
      <c r="H757" s="232">
        <f>ROUND(pairs[[#This Row],[ Back]]-ROUNDDOWN(pairs[[#This Row],[ Back]],0),1)</f>
        <v>0.7</v>
      </c>
      <c r="I757" s="239">
        <f>IF( OR( OR(pairs[[#This Row],[Az*]]=0, pairs[[#This Row],[Back*]]=0), OR(pairs[[#This Row],[Az*]]=1, pairs[[#This Row],[Back*]]=1)), 1, 0)</f>
        <v>1</v>
      </c>
      <c r="J757" s="239">
        <f>IF(OR(pairs[[#This Row],[Az*]]=0.5,pairs[[#This Row],[Back*]]=0.5),1,0)</f>
        <v>0</v>
      </c>
    </row>
    <row r="758" spans="1:10">
      <c r="A758" s="238" t="s">
        <v>134</v>
      </c>
      <c r="B758" s="238" t="s">
        <v>156</v>
      </c>
      <c r="C758" s="239"/>
      <c r="D758" s="239">
        <v>99.11</v>
      </c>
      <c r="E758" s="240">
        <v>1.7696810000000001</v>
      </c>
      <c r="F758" s="241">
        <f>pairs[[#This Row],[ Dist]]*5280</f>
        <v>9343.9156800000001</v>
      </c>
      <c r="G758" s="239">
        <f>ROUND(pairs[[#This Row],[ Az]]-ROUNDDOWN(pairs[[#This Row],[ Az]],0),1)</f>
        <v>0</v>
      </c>
      <c r="H758" s="232">
        <f>ROUND(pairs[[#This Row],[ Back]]-ROUNDDOWN(pairs[[#This Row],[ Back]],0),1)</f>
        <v>0.1</v>
      </c>
      <c r="I758" s="239">
        <f>IF( OR( OR(pairs[[#This Row],[Az*]]=0, pairs[[#This Row],[Back*]]=0), OR(pairs[[#This Row],[Az*]]=1, pairs[[#This Row],[Back*]]=1)), 1, 0)</f>
        <v>1</v>
      </c>
      <c r="J758" s="239">
        <f>IF(OR(pairs[[#This Row],[Az*]]=0.5,pairs[[#This Row],[Back*]]=0.5),1,0)</f>
        <v>0</v>
      </c>
    </row>
    <row r="759" spans="1:10">
      <c r="A759" s="238" t="s">
        <v>134</v>
      </c>
      <c r="B759" s="238" t="s">
        <v>163</v>
      </c>
      <c r="C759" s="239"/>
      <c r="D759" s="239">
        <v>240.24</v>
      </c>
      <c r="E759" s="240">
        <v>4.1089849999999997</v>
      </c>
      <c r="F759" s="241">
        <f>pairs[[#This Row],[ Dist]]*5280</f>
        <v>21695.440799999997</v>
      </c>
      <c r="G759" s="239">
        <f>ROUND(pairs[[#This Row],[ Az]]-ROUNDDOWN(pairs[[#This Row],[ Az]],0),1)</f>
        <v>0</v>
      </c>
      <c r="H759" s="232">
        <f>ROUND(pairs[[#This Row],[ Back]]-ROUNDDOWN(pairs[[#This Row],[ Back]],0),1)</f>
        <v>0.2</v>
      </c>
      <c r="I759" s="239">
        <f>IF( OR( OR(pairs[[#This Row],[Az*]]=0, pairs[[#This Row],[Back*]]=0), OR(pairs[[#This Row],[Az*]]=1, pairs[[#This Row],[Back*]]=1)), 1, 0)</f>
        <v>1</v>
      </c>
      <c r="J759" s="239">
        <f>IF(OR(pairs[[#This Row],[Az*]]=0.5,pairs[[#This Row],[Back*]]=0.5),1,0)</f>
        <v>0</v>
      </c>
    </row>
    <row r="760" spans="1:10">
      <c r="A760" s="238" t="s">
        <v>134</v>
      </c>
      <c r="B760" s="238" t="s">
        <v>143</v>
      </c>
      <c r="C760" s="239"/>
      <c r="D760" s="239">
        <v>172.56</v>
      </c>
      <c r="E760" s="240">
        <v>0.25852700000000001</v>
      </c>
      <c r="F760" s="241">
        <f>pairs[[#This Row],[ Dist]]*5280</f>
        <v>1365.0225600000001</v>
      </c>
      <c r="G760" s="239">
        <f>ROUND(pairs[[#This Row],[ Az]]-ROUNDDOWN(pairs[[#This Row],[ Az]],0),1)</f>
        <v>0</v>
      </c>
      <c r="H760" s="232">
        <f>ROUND(pairs[[#This Row],[ Back]]-ROUNDDOWN(pairs[[#This Row],[ Back]],0),1)</f>
        <v>0.6</v>
      </c>
      <c r="I760" s="239">
        <f>IF( OR( OR(pairs[[#This Row],[Az*]]=0, pairs[[#This Row],[Back*]]=0), OR(pairs[[#This Row],[Az*]]=1, pairs[[#This Row],[Back*]]=1)), 1, 0)</f>
        <v>1</v>
      </c>
      <c r="J760" s="239">
        <f>IF(OR(pairs[[#This Row],[Az*]]=0.5,pairs[[#This Row],[Back*]]=0.5),1,0)</f>
        <v>0</v>
      </c>
    </row>
    <row r="761" spans="1:10">
      <c r="A761" s="238" t="s">
        <v>134</v>
      </c>
      <c r="B761" s="238" t="s">
        <v>151</v>
      </c>
      <c r="C761" s="239"/>
      <c r="D761" s="239">
        <v>267.2</v>
      </c>
      <c r="E761" s="240">
        <v>5.3347610000000003</v>
      </c>
      <c r="F761" s="241">
        <f>pairs[[#This Row],[ Dist]]*5280</f>
        <v>28167.538080000002</v>
      </c>
      <c r="G761" s="239">
        <f>ROUND(pairs[[#This Row],[ Az]]-ROUNDDOWN(pairs[[#This Row],[ Az]],0),1)</f>
        <v>0</v>
      </c>
      <c r="H761" s="232">
        <f>ROUND(pairs[[#This Row],[ Back]]-ROUNDDOWN(pairs[[#This Row],[ Back]],0),1)</f>
        <v>0.2</v>
      </c>
      <c r="I761" s="239">
        <f>IF( OR( OR(pairs[[#This Row],[Az*]]=0, pairs[[#This Row],[Back*]]=0), OR(pairs[[#This Row],[Az*]]=1, pairs[[#This Row],[Back*]]=1)), 1, 0)</f>
        <v>1</v>
      </c>
      <c r="J761" s="239">
        <f>IF(OR(pairs[[#This Row],[Az*]]=0.5,pairs[[#This Row],[Back*]]=0.5),1,0)</f>
        <v>0</v>
      </c>
    </row>
    <row r="762" spans="1:10" ht="14.1">
      <c r="A762" s="225" t="s">
        <v>134</v>
      </c>
      <c r="B762" s="225" t="s">
        <v>155</v>
      </c>
      <c r="C762" s="226"/>
      <c r="D762" s="226">
        <v>98.44</v>
      </c>
      <c r="E762" s="227">
        <v>1.762135</v>
      </c>
      <c r="F762" s="228">
        <f>pairs[[#This Row],[ Dist]]*5280</f>
        <v>9304.0727999999999</v>
      </c>
      <c r="G762" s="226">
        <f>ROUND(pairs[[#This Row],[ Az]]-ROUNDDOWN(pairs[[#This Row],[ Az]],0),1)</f>
        <v>0</v>
      </c>
      <c r="H762" s="235">
        <f>ROUND(pairs[[#This Row],[ Back]]-ROUNDDOWN(pairs[[#This Row],[ Back]],0),1)</f>
        <v>0.4</v>
      </c>
      <c r="I762" s="226">
        <f>IF( OR( OR(pairs[[#This Row],[Az*]]=0, pairs[[#This Row],[Back*]]=0), OR(pairs[[#This Row],[Az*]]=1, pairs[[#This Row],[Back*]]=1)), 1, 0)</f>
        <v>1</v>
      </c>
      <c r="J762" s="226">
        <f>IF(OR(pairs[[#This Row],[Az*]]=0.5,pairs[[#This Row],[Back*]]=0.5),1,0)</f>
        <v>0</v>
      </c>
    </row>
    <row r="763" spans="1:10">
      <c r="A763" s="238" t="s">
        <v>134</v>
      </c>
      <c r="B763" s="238" t="s">
        <v>159</v>
      </c>
      <c r="C763" s="239"/>
      <c r="D763" s="239">
        <v>95.86</v>
      </c>
      <c r="E763" s="240">
        <v>2.2995649999999999</v>
      </c>
      <c r="F763" s="241">
        <f>pairs[[#This Row],[ Dist]]*5280</f>
        <v>12141.7032</v>
      </c>
      <c r="G763" s="239">
        <f>ROUND(pairs[[#This Row],[ Az]]-ROUNDDOWN(pairs[[#This Row],[ Az]],0),1)</f>
        <v>0</v>
      </c>
      <c r="H763" s="232">
        <f>ROUND(pairs[[#This Row],[ Back]]-ROUNDDOWN(pairs[[#This Row],[ Back]],0),1)</f>
        <v>0.9</v>
      </c>
      <c r="I763" s="239">
        <f>IF( OR( OR(pairs[[#This Row],[Az*]]=0, pairs[[#This Row],[Back*]]=0), OR(pairs[[#This Row],[Az*]]=1, pairs[[#This Row],[Back*]]=1)), 1, 0)</f>
        <v>1</v>
      </c>
      <c r="J763" s="239">
        <f>IF(OR(pairs[[#This Row],[Az*]]=0.5,pairs[[#This Row],[Back*]]=0.5),1,0)</f>
        <v>0</v>
      </c>
    </row>
    <row r="764" spans="1:10" ht="14.1">
      <c r="A764" s="225" t="s">
        <v>134</v>
      </c>
      <c r="B764" s="225" t="s">
        <v>160</v>
      </c>
      <c r="C764" s="226"/>
      <c r="D764" s="226">
        <v>111.54</v>
      </c>
      <c r="E764" s="227">
        <v>1.54036</v>
      </c>
      <c r="F764" s="228">
        <f>pairs[[#This Row],[ Dist]]*5280</f>
        <v>8133.1008000000002</v>
      </c>
      <c r="G764" s="226">
        <f>ROUND(pairs[[#This Row],[ Az]]-ROUNDDOWN(pairs[[#This Row],[ Az]],0),1)</f>
        <v>0</v>
      </c>
      <c r="H764" s="235">
        <f>ROUND(pairs[[#This Row],[ Back]]-ROUNDDOWN(pairs[[#This Row],[ Back]],0),1)</f>
        <v>0.5</v>
      </c>
      <c r="I764" s="226">
        <f>IF( OR( OR(pairs[[#This Row],[Az*]]=0, pairs[[#This Row],[Back*]]=0), OR(pairs[[#This Row],[Az*]]=1, pairs[[#This Row],[Back*]]=1)), 1, 0)</f>
        <v>1</v>
      </c>
      <c r="J764" s="226">
        <f>IF(OR(pairs[[#This Row],[Az*]]=0.5,pairs[[#This Row],[Back*]]=0.5),1,0)</f>
        <v>1</v>
      </c>
    </row>
    <row r="765" spans="1:10">
      <c r="A765" s="238" t="s">
        <v>134</v>
      </c>
      <c r="B765" s="238" t="s">
        <v>146</v>
      </c>
      <c r="C765" s="239"/>
      <c r="D765" s="239">
        <v>100.27</v>
      </c>
      <c r="E765" s="240">
        <v>2.359648</v>
      </c>
      <c r="F765" s="241">
        <f>pairs[[#This Row],[ Dist]]*5280</f>
        <v>12458.941440000001</v>
      </c>
      <c r="G765" s="239">
        <f>ROUND(pairs[[#This Row],[ Az]]-ROUNDDOWN(pairs[[#This Row],[ Az]],0),1)</f>
        <v>0</v>
      </c>
      <c r="H765" s="232">
        <f>ROUND(pairs[[#This Row],[ Back]]-ROUNDDOWN(pairs[[#This Row],[ Back]],0),1)</f>
        <v>0.3</v>
      </c>
      <c r="I765" s="239">
        <f>IF( OR( OR(pairs[[#This Row],[Az*]]=0, pairs[[#This Row],[Back*]]=0), OR(pairs[[#This Row],[Az*]]=1, pairs[[#This Row],[Back*]]=1)), 1, 0)</f>
        <v>1</v>
      </c>
      <c r="J765" s="239">
        <f>IF(OR(pairs[[#This Row],[Az*]]=0.5,pairs[[#This Row],[Back*]]=0.5),1,0)</f>
        <v>0</v>
      </c>
    </row>
    <row r="766" spans="1:10" ht="14.1">
      <c r="A766" s="221" t="s">
        <v>134</v>
      </c>
      <c r="B766" s="221" t="s">
        <v>145</v>
      </c>
      <c r="C766" s="222"/>
      <c r="D766" s="222">
        <v>91.97</v>
      </c>
      <c r="E766" s="223">
        <v>1.5229459999999999</v>
      </c>
      <c r="F766" s="224">
        <f>pairs[[#This Row],[ Dist]]*5280</f>
        <v>8041.1548799999991</v>
      </c>
      <c r="G766" s="239">
        <f>ROUND(pairs[[#This Row],[ Az]]-ROUNDDOWN(pairs[[#This Row],[ Az]],0),1)</f>
        <v>0</v>
      </c>
      <c r="H766" s="232">
        <f>ROUND(pairs[[#This Row],[ Back]]-ROUNDDOWN(pairs[[#This Row],[ Back]],0),1)</f>
        <v>1</v>
      </c>
      <c r="I766" s="239">
        <f>IF( OR( OR(pairs[[#This Row],[Az*]]=0, pairs[[#This Row],[Back*]]=0), OR(pairs[[#This Row],[Az*]]=1, pairs[[#This Row],[Back*]]=1)), 1, 0)</f>
        <v>1</v>
      </c>
      <c r="J766" s="239">
        <f>IF(OR(pairs[[#This Row],[Az*]]=0.5,pairs[[#This Row],[Back*]]=0.5),1,0)</f>
        <v>0</v>
      </c>
    </row>
    <row r="767" spans="1:10">
      <c r="A767" s="238" t="s">
        <v>134</v>
      </c>
      <c r="B767" s="238" t="s">
        <v>164</v>
      </c>
      <c r="C767" s="239"/>
      <c r="D767" s="239">
        <v>96.29</v>
      </c>
      <c r="E767" s="240">
        <v>2.335909</v>
      </c>
      <c r="F767" s="241">
        <f>pairs[[#This Row],[ Dist]]*5280</f>
        <v>12333.59952</v>
      </c>
      <c r="G767" s="239">
        <f>ROUND(pairs[[#This Row],[ Az]]-ROUNDDOWN(pairs[[#This Row],[ Az]],0),1)</f>
        <v>0</v>
      </c>
      <c r="H767" s="232">
        <f>ROUND(pairs[[#This Row],[ Back]]-ROUNDDOWN(pairs[[#This Row],[ Back]],0),1)</f>
        <v>0.3</v>
      </c>
      <c r="I767" s="239">
        <f>IF( OR( OR(pairs[[#This Row],[Az*]]=0, pairs[[#This Row],[Back*]]=0), OR(pairs[[#This Row],[Az*]]=1, pairs[[#This Row],[Back*]]=1)), 1, 0)</f>
        <v>1</v>
      </c>
      <c r="J767" s="239">
        <f>IF(OR(pairs[[#This Row],[Az*]]=0.5,pairs[[#This Row],[Back*]]=0.5),1,0)</f>
        <v>0</v>
      </c>
    </row>
    <row r="768" spans="1:10">
      <c r="A768" s="238" t="s">
        <v>134</v>
      </c>
      <c r="B768" s="238" t="s">
        <v>144</v>
      </c>
      <c r="C768" s="239"/>
      <c r="D768" s="239">
        <v>91.09</v>
      </c>
      <c r="E768" s="240">
        <v>1.4514879999999999</v>
      </c>
      <c r="F768" s="241">
        <f>pairs[[#This Row],[ Dist]]*5280</f>
        <v>7663.8566399999991</v>
      </c>
      <c r="G768" s="239">
        <f>ROUND(pairs[[#This Row],[ Az]]-ROUNDDOWN(pairs[[#This Row],[ Az]],0),1)</f>
        <v>0</v>
      </c>
      <c r="H768" s="232">
        <f>ROUND(pairs[[#This Row],[ Back]]-ROUNDDOWN(pairs[[#This Row],[ Back]],0),1)</f>
        <v>0.1</v>
      </c>
      <c r="I768" s="239">
        <f>IF( OR( OR(pairs[[#This Row],[Az*]]=0, pairs[[#This Row],[Back*]]=0), OR(pairs[[#This Row],[Az*]]=1, pairs[[#This Row],[Back*]]=1)), 1, 0)</f>
        <v>1</v>
      </c>
      <c r="J768" s="239">
        <f>IF(OR(pairs[[#This Row],[Az*]]=0.5,pairs[[#This Row],[Back*]]=0.5),1,0)</f>
        <v>0</v>
      </c>
    </row>
    <row r="769" spans="1:10">
      <c r="A769" s="238" t="s">
        <v>134</v>
      </c>
      <c r="B769" s="238" t="s">
        <v>148</v>
      </c>
      <c r="C769" s="239"/>
      <c r="D769" s="239">
        <v>166.6</v>
      </c>
      <c r="E769" s="240">
        <v>7.5921849999999997</v>
      </c>
      <c r="F769" s="241">
        <f>pairs[[#This Row],[ Dist]]*5280</f>
        <v>40086.736799999999</v>
      </c>
      <c r="G769" s="239">
        <f>ROUND(pairs[[#This Row],[ Az]]-ROUNDDOWN(pairs[[#This Row],[ Az]],0),1)</f>
        <v>0</v>
      </c>
      <c r="H769" s="232">
        <f>ROUND(pairs[[#This Row],[ Back]]-ROUNDDOWN(pairs[[#This Row],[ Back]],0),1)</f>
        <v>0.6</v>
      </c>
      <c r="I769" s="239">
        <f>IF( OR( OR(pairs[[#This Row],[Az*]]=0, pairs[[#This Row],[Back*]]=0), OR(pairs[[#This Row],[Az*]]=1, pairs[[#This Row],[Back*]]=1)), 1, 0)</f>
        <v>1</v>
      </c>
      <c r="J769" s="239">
        <f>IF(OR(pairs[[#This Row],[Az*]]=0.5,pairs[[#This Row],[Back*]]=0.5),1,0)</f>
        <v>0</v>
      </c>
    </row>
    <row r="770" spans="1:10">
      <c r="A770" s="238" t="s">
        <v>134</v>
      </c>
      <c r="B770" s="238" t="s">
        <v>152</v>
      </c>
      <c r="C770" s="239"/>
      <c r="D770" s="239">
        <v>100.13</v>
      </c>
      <c r="E770" s="240">
        <v>1.7873889999999999</v>
      </c>
      <c r="F770" s="241">
        <f>pairs[[#This Row],[ Dist]]*5280</f>
        <v>9437.4139199999991</v>
      </c>
      <c r="G770" s="239">
        <f>ROUND(pairs[[#This Row],[ Az]]-ROUNDDOWN(pairs[[#This Row],[ Az]],0),1)</f>
        <v>0</v>
      </c>
      <c r="H770" s="232">
        <f>ROUND(pairs[[#This Row],[ Back]]-ROUNDDOWN(pairs[[#This Row],[ Back]],0),1)</f>
        <v>0.1</v>
      </c>
      <c r="I770" s="239">
        <f>IF( OR( OR(pairs[[#This Row],[Az*]]=0, pairs[[#This Row],[Back*]]=0), OR(pairs[[#This Row],[Az*]]=1, pairs[[#This Row],[Back*]]=1)), 1, 0)</f>
        <v>1</v>
      </c>
      <c r="J770" s="239">
        <f>IF(OR(pairs[[#This Row],[Az*]]=0.5,pairs[[#This Row],[Back*]]=0.5),1,0)</f>
        <v>0</v>
      </c>
    </row>
    <row r="771" spans="1:10">
      <c r="A771" s="238" t="s">
        <v>134</v>
      </c>
      <c r="B771" s="238" t="s">
        <v>147</v>
      </c>
      <c r="C771" s="239"/>
      <c r="D771" s="239">
        <v>64.11</v>
      </c>
      <c r="E771" s="240">
        <v>2.8522289999999999</v>
      </c>
      <c r="F771" s="241">
        <f>pairs[[#This Row],[ Dist]]*5280</f>
        <v>15059.769119999999</v>
      </c>
      <c r="G771" s="239">
        <f>ROUND(pairs[[#This Row],[ Az]]-ROUNDDOWN(pairs[[#This Row],[ Az]],0),1)</f>
        <v>0</v>
      </c>
      <c r="H771" s="232">
        <f>ROUND(pairs[[#This Row],[ Back]]-ROUNDDOWN(pairs[[#This Row],[ Back]],0),1)</f>
        <v>0.1</v>
      </c>
      <c r="I771" s="239">
        <f>IF( OR( OR(pairs[[#This Row],[Az*]]=0, pairs[[#This Row],[Back*]]=0), OR(pairs[[#This Row],[Az*]]=1, pairs[[#This Row],[Back*]]=1)), 1, 0)</f>
        <v>1</v>
      </c>
      <c r="J771" s="239">
        <f>IF(OR(pairs[[#This Row],[Az*]]=0.5,pairs[[#This Row],[Back*]]=0.5),1,0)</f>
        <v>0</v>
      </c>
    </row>
    <row r="772" spans="1:10">
      <c r="A772" s="238" t="s">
        <v>134</v>
      </c>
      <c r="B772" s="238" t="s">
        <v>161</v>
      </c>
      <c r="C772" s="239"/>
      <c r="D772" s="239">
        <v>117.58</v>
      </c>
      <c r="E772" s="240">
        <v>6.7733730000000003</v>
      </c>
      <c r="F772" s="241">
        <f>pairs[[#This Row],[ Dist]]*5280</f>
        <v>35763.409440000003</v>
      </c>
      <c r="G772" s="239">
        <f>ROUND(pairs[[#This Row],[ Az]]-ROUNDDOWN(pairs[[#This Row],[ Az]],0),1)</f>
        <v>0</v>
      </c>
      <c r="H772" s="232">
        <f>ROUND(pairs[[#This Row],[ Back]]-ROUNDDOWN(pairs[[#This Row],[ Back]],0),1)</f>
        <v>0.6</v>
      </c>
      <c r="I772" s="239">
        <f>IF( OR( OR(pairs[[#This Row],[Az*]]=0, pairs[[#This Row],[Back*]]=0), OR(pairs[[#This Row],[Az*]]=1, pairs[[#This Row],[Back*]]=1)), 1, 0)</f>
        <v>1</v>
      </c>
      <c r="J772" s="239">
        <f>IF(OR(pairs[[#This Row],[Az*]]=0.5,pairs[[#This Row],[Back*]]=0.5),1,0)</f>
        <v>0</v>
      </c>
    </row>
    <row r="773" spans="1:10" ht="14.1">
      <c r="A773" s="221" t="s">
        <v>134</v>
      </c>
      <c r="B773" s="221" t="s">
        <v>162</v>
      </c>
      <c r="C773" s="222"/>
      <c r="D773" s="222">
        <v>161</v>
      </c>
      <c r="E773" s="223">
        <v>7.1767370000000001</v>
      </c>
      <c r="F773" s="224">
        <f>pairs[[#This Row],[ Dist]]*5280</f>
        <v>37893.17136</v>
      </c>
      <c r="G773" s="239">
        <f>ROUND(pairs[[#This Row],[ Az]]-ROUNDDOWN(pairs[[#This Row],[ Az]],0),1)</f>
        <v>0</v>
      </c>
      <c r="H773" s="232">
        <f>ROUND(pairs[[#This Row],[ Back]]-ROUNDDOWN(pairs[[#This Row],[ Back]],0),1)</f>
        <v>0</v>
      </c>
      <c r="I773" s="239">
        <f>IF( OR( OR(pairs[[#This Row],[Az*]]=0, pairs[[#This Row],[Back*]]=0), OR(pairs[[#This Row],[Az*]]=1, pairs[[#This Row],[Back*]]=1)), 1, 0)</f>
        <v>1</v>
      </c>
      <c r="J773" s="239">
        <f>IF(OR(pairs[[#This Row],[Az*]]=0.5,pairs[[#This Row],[Back*]]=0.5),1,0)</f>
        <v>0</v>
      </c>
    </row>
    <row r="774" spans="1:10">
      <c r="A774" s="238" t="s">
        <v>134</v>
      </c>
      <c r="B774" s="238" t="s">
        <v>157</v>
      </c>
      <c r="C774" s="239"/>
      <c r="D774" s="239">
        <v>19.350000000000001</v>
      </c>
      <c r="E774" s="240">
        <v>2.4822850000000001</v>
      </c>
      <c r="F774" s="241">
        <f>pairs[[#This Row],[ Dist]]*5280</f>
        <v>13106.4648</v>
      </c>
      <c r="G774" s="239">
        <f>ROUND(pairs[[#This Row],[ Az]]-ROUNDDOWN(pairs[[#This Row],[ Az]],0),1)</f>
        <v>0</v>
      </c>
      <c r="H774" s="232">
        <f>ROUND(pairs[[#This Row],[ Back]]-ROUNDDOWN(pairs[[#This Row],[ Back]],0),1)</f>
        <v>0.4</v>
      </c>
      <c r="I774" s="239">
        <f>IF( OR( OR(pairs[[#This Row],[Az*]]=0, pairs[[#This Row],[Back*]]=0), OR(pairs[[#This Row],[Az*]]=1, pairs[[#This Row],[Back*]]=1)), 1, 0)</f>
        <v>1</v>
      </c>
      <c r="J774" s="239">
        <f>IF(OR(pairs[[#This Row],[Az*]]=0.5,pairs[[#This Row],[Back*]]=0.5),1,0)</f>
        <v>0</v>
      </c>
    </row>
    <row r="775" spans="1:10">
      <c r="A775" s="238" t="s">
        <v>134</v>
      </c>
      <c r="B775" s="238" t="s">
        <v>149</v>
      </c>
      <c r="C775" s="239"/>
      <c r="D775" s="239">
        <v>14.3</v>
      </c>
      <c r="E775" s="240">
        <v>7.0366059999999999</v>
      </c>
      <c r="F775" s="241">
        <f>pairs[[#This Row],[ Dist]]*5280</f>
        <v>37153.27968</v>
      </c>
      <c r="G775" s="239">
        <f>ROUND(pairs[[#This Row],[ Az]]-ROUNDDOWN(pairs[[#This Row],[ Az]],0),1)</f>
        <v>0</v>
      </c>
      <c r="H775" s="232">
        <f>ROUND(pairs[[#This Row],[ Back]]-ROUNDDOWN(pairs[[#This Row],[ Back]],0),1)</f>
        <v>0.3</v>
      </c>
      <c r="I775" s="239">
        <f>IF( OR( OR(pairs[[#This Row],[Az*]]=0, pairs[[#This Row],[Back*]]=0), OR(pairs[[#This Row],[Az*]]=1, pairs[[#This Row],[Back*]]=1)), 1, 0)</f>
        <v>1</v>
      </c>
      <c r="J775" s="239">
        <f>IF(OR(pairs[[#This Row],[Az*]]=0.5,pairs[[#This Row],[Back*]]=0.5),1,0)</f>
        <v>0</v>
      </c>
    </row>
    <row r="776" spans="1:10">
      <c r="A776" s="238" t="s">
        <v>134</v>
      </c>
      <c r="B776" s="238" t="s">
        <v>153</v>
      </c>
      <c r="C776" s="239"/>
      <c r="D776" s="239">
        <v>98.27</v>
      </c>
      <c r="E776" s="240">
        <v>1.756278</v>
      </c>
      <c r="F776" s="241">
        <f>pairs[[#This Row],[ Dist]]*5280</f>
        <v>9273.1478399999996</v>
      </c>
      <c r="G776" s="239">
        <f>ROUND(pairs[[#This Row],[ Az]]-ROUNDDOWN(pairs[[#This Row],[ Az]],0),1)</f>
        <v>0</v>
      </c>
      <c r="H776" s="232">
        <f>ROUND(pairs[[#This Row],[ Back]]-ROUNDDOWN(pairs[[#This Row],[ Back]],0),1)</f>
        <v>0.3</v>
      </c>
      <c r="I776" s="239">
        <f>IF( OR( OR(pairs[[#This Row],[Az*]]=0, pairs[[#This Row],[Back*]]=0), OR(pairs[[#This Row],[Az*]]=1, pairs[[#This Row],[Back*]]=1)), 1, 0)</f>
        <v>1</v>
      </c>
      <c r="J776" s="239">
        <f>IF(OR(pairs[[#This Row],[Az*]]=0.5,pairs[[#This Row],[Back*]]=0.5),1,0)</f>
        <v>0</v>
      </c>
    </row>
    <row r="777" spans="1:10">
      <c r="A777" s="238" t="s">
        <v>134</v>
      </c>
      <c r="B777" s="238" t="s">
        <v>150</v>
      </c>
      <c r="C777" s="239"/>
      <c r="D777" s="239">
        <v>91.83</v>
      </c>
      <c r="E777" s="240">
        <v>8.8248010000000008</v>
      </c>
      <c r="F777" s="241">
        <f>pairs[[#This Row],[ Dist]]*5280</f>
        <v>46594.949280000001</v>
      </c>
      <c r="G777" s="239">
        <f>ROUND(pairs[[#This Row],[ Az]]-ROUNDDOWN(pairs[[#This Row],[ Az]],0),1)</f>
        <v>0</v>
      </c>
      <c r="H777" s="232">
        <f>ROUND(pairs[[#This Row],[ Back]]-ROUNDDOWN(pairs[[#This Row],[ Back]],0),1)</f>
        <v>0.8</v>
      </c>
      <c r="I777" s="239">
        <f>IF( OR( OR(pairs[[#This Row],[Az*]]=0, pairs[[#This Row],[Back*]]=0), OR(pairs[[#This Row],[Az*]]=1, pairs[[#This Row],[Back*]]=1)), 1, 0)</f>
        <v>1</v>
      </c>
      <c r="J777" s="239">
        <f>IF(OR(pairs[[#This Row],[Az*]]=0.5,pairs[[#This Row],[Back*]]=0.5),1,0)</f>
        <v>0</v>
      </c>
    </row>
    <row r="778" spans="1:10">
      <c r="A778" s="238" t="s">
        <v>134</v>
      </c>
      <c r="B778" s="238" t="s">
        <v>154</v>
      </c>
      <c r="C778" s="239"/>
      <c r="D778" s="239">
        <v>99.26</v>
      </c>
      <c r="E778" s="240">
        <v>1.7718830000000001</v>
      </c>
      <c r="F778" s="241">
        <f>pairs[[#This Row],[ Dist]]*5280</f>
        <v>9355.5422400000007</v>
      </c>
      <c r="G778" s="239">
        <f>ROUND(pairs[[#This Row],[ Az]]-ROUNDDOWN(pairs[[#This Row],[ Az]],0),1)</f>
        <v>0</v>
      </c>
      <c r="H778" s="232">
        <f>ROUND(pairs[[#This Row],[ Back]]-ROUNDDOWN(pairs[[#This Row],[ Back]],0),1)</f>
        <v>0.3</v>
      </c>
      <c r="I778" s="239">
        <f>IF( OR( OR(pairs[[#This Row],[Az*]]=0, pairs[[#This Row],[Back*]]=0), OR(pairs[[#This Row],[Az*]]=1, pairs[[#This Row],[Back*]]=1)), 1, 0)</f>
        <v>1</v>
      </c>
      <c r="J778" s="239">
        <f>IF(OR(pairs[[#This Row],[Az*]]=0.5,pairs[[#This Row],[Back*]]=0.5),1,0)</f>
        <v>0</v>
      </c>
    </row>
    <row r="779" spans="1:10">
      <c r="A779" s="231" t="s">
        <v>128</v>
      </c>
      <c r="B779" s="231" t="s">
        <v>156</v>
      </c>
      <c r="C779" s="232"/>
      <c r="D779" s="232">
        <v>168.78</v>
      </c>
      <c r="E779" s="233">
        <v>2.2074E-2</v>
      </c>
      <c r="F779" s="234">
        <f>pairs[[#This Row],[ Dist]]*5280</f>
        <v>116.55072</v>
      </c>
      <c r="G779" s="232">
        <f>ROUND(pairs[[#This Row],[ Az]]-ROUNDDOWN(pairs[[#This Row],[ Az]],0),1)</f>
        <v>0</v>
      </c>
      <c r="H779" s="232">
        <f>ROUND(pairs[[#This Row],[ Back]]-ROUNDDOWN(pairs[[#This Row],[ Back]],0),1)</f>
        <v>0.8</v>
      </c>
      <c r="I779" s="232">
        <f>IF( OR( OR(pairs[[#This Row],[Az*]]=0, pairs[[#This Row],[Back*]]=0), OR(pairs[[#This Row],[Az*]]=1, pairs[[#This Row],[Back*]]=1)), 1, 0)</f>
        <v>1</v>
      </c>
      <c r="J779" s="232">
        <f>IF(OR(pairs[[#This Row],[Az*]]=0.5,pairs[[#This Row],[Back*]]=0.5),1,0)</f>
        <v>0</v>
      </c>
    </row>
    <row r="780" spans="1:10" ht="14.1">
      <c r="A780" s="206" t="s">
        <v>128</v>
      </c>
      <c r="B780" s="206" t="s">
        <v>163</v>
      </c>
      <c r="C780" s="235"/>
      <c r="D780" s="235">
        <v>251.48</v>
      </c>
      <c r="E780" s="236">
        <v>5.6000079999999999</v>
      </c>
      <c r="F780" s="237">
        <f>pairs[[#This Row],[ Dist]]*5280</f>
        <v>29568.042239999999</v>
      </c>
      <c r="G780" s="235">
        <f>ROUND(pairs[[#This Row],[ Az]]-ROUNDDOWN(pairs[[#This Row],[ Az]],0),1)</f>
        <v>0</v>
      </c>
      <c r="H780" s="235">
        <f>ROUND(pairs[[#This Row],[ Back]]-ROUNDDOWN(pairs[[#This Row],[ Back]],0),1)</f>
        <v>0.5</v>
      </c>
      <c r="I780" s="235">
        <f>IF( OR( OR(pairs[[#This Row],[Az*]]=0, pairs[[#This Row],[Back*]]=0), OR(pairs[[#This Row],[Az*]]=1, pairs[[#This Row],[Back*]]=1)), 1, 0)</f>
        <v>1</v>
      </c>
      <c r="J780" s="235">
        <f>IF(OR(pairs[[#This Row],[Az*]]=0.5,pairs[[#This Row],[Back*]]=0.5),1,0)</f>
        <v>1</v>
      </c>
    </row>
    <row r="781" spans="1:10">
      <c r="A781" s="231" t="s">
        <v>128</v>
      </c>
      <c r="B781" s="231" t="s">
        <v>143</v>
      </c>
      <c r="C781" s="232"/>
      <c r="D781" s="232">
        <v>270.08999999999997</v>
      </c>
      <c r="E781" s="233">
        <v>1.709495</v>
      </c>
      <c r="F781" s="234">
        <f>pairs[[#This Row],[ Dist]]*5280</f>
        <v>9026.1335999999992</v>
      </c>
      <c r="G781" s="232">
        <f>ROUND(pairs[[#This Row],[ Az]]-ROUNDDOWN(pairs[[#This Row],[ Az]],0),1)</f>
        <v>0</v>
      </c>
      <c r="H781" s="232">
        <f>ROUND(pairs[[#This Row],[ Back]]-ROUNDDOWN(pairs[[#This Row],[ Back]],0),1)</f>
        <v>0.1</v>
      </c>
      <c r="I781" s="232">
        <f>IF( OR( OR(pairs[[#This Row],[Az*]]=0, pairs[[#This Row],[Back*]]=0), OR(pairs[[#This Row],[Az*]]=1, pairs[[#This Row],[Back*]]=1)), 1, 0)</f>
        <v>1</v>
      </c>
      <c r="J781" s="232">
        <f>IF(OR(pairs[[#This Row],[Az*]]=0.5,pairs[[#This Row],[Back*]]=0.5),1,0)</f>
        <v>0</v>
      </c>
    </row>
    <row r="782" spans="1:10" ht="14.1">
      <c r="A782" s="23" t="s">
        <v>128</v>
      </c>
      <c r="B782" s="23" t="s">
        <v>151</v>
      </c>
      <c r="C782" s="229"/>
      <c r="D782" s="229">
        <v>270</v>
      </c>
      <c r="E782" s="25">
        <v>7.0710670000000002</v>
      </c>
      <c r="F782" s="230">
        <f>pairs[[#This Row],[ Dist]]*5280</f>
        <v>37335.233760000003</v>
      </c>
      <c r="G782" s="232">
        <f>ROUND(pairs[[#This Row],[ Az]]-ROUNDDOWN(pairs[[#This Row],[ Az]],0),1)</f>
        <v>0</v>
      </c>
      <c r="H782" s="232">
        <f>ROUND(pairs[[#This Row],[ Back]]-ROUNDDOWN(pairs[[#This Row],[ Back]],0),1)</f>
        <v>0</v>
      </c>
      <c r="I782" s="232">
        <f>IF( OR( OR(pairs[[#This Row],[Az*]]=0, pairs[[#This Row],[Back*]]=0), OR(pairs[[#This Row],[Az*]]=1, pairs[[#This Row],[Back*]]=1)), 1, 0)</f>
        <v>1</v>
      </c>
      <c r="J782" s="232">
        <f>IF(OR(pairs[[#This Row],[Az*]]=0.5,pairs[[#This Row],[Back*]]=0.5),1,0)</f>
        <v>0</v>
      </c>
    </row>
    <row r="783" spans="1:10" ht="14.1">
      <c r="A783" s="206" t="s">
        <v>128</v>
      </c>
      <c r="B783" s="206" t="s">
        <v>158</v>
      </c>
      <c r="C783" s="235"/>
      <c r="D783" s="235">
        <v>278.45999999999998</v>
      </c>
      <c r="E783" s="236">
        <v>1.762135</v>
      </c>
      <c r="F783" s="237">
        <f>pairs[[#This Row],[ Dist]]*5280</f>
        <v>9304.0727999999999</v>
      </c>
      <c r="G783" s="235">
        <f>ROUND(pairs[[#This Row],[ Az]]-ROUNDDOWN(pairs[[#This Row],[ Az]],0),1)</f>
        <v>0</v>
      </c>
      <c r="H783" s="235">
        <f>ROUND(pairs[[#This Row],[ Back]]-ROUNDDOWN(pairs[[#This Row],[ Back]],0),1)</f>
        <v>0.5</v>
      </c>
      <c r="I783" s="235">
        <f>IF( OR( OR(pairs[[#This Row],[Az*]]=0, pairs[[#This Row],[Back*]]=0), OR(pairs[[#This Row],[Az*]]=1, pairs[[#This Row],[Back*]]=1)), 1, 0)</f>
        <v>1</v>
      </c>
      <c r="J783" s="235">
        <f>IF(OR(pairs[[#This Row],[Az*]]=0.5,pairs[[#This Row],[Back*]]=0.5),1,0)</f>
        <v>1</v>
      </c>
    </row>
    <row r="784" spans="1:10" ht="14.1">
      <c r="A784" s="206" t="s">
        <v>128</v>
      </c>
      <c r="B784" s="206" t="s">
        <v>159</v>
      </c>
      <c r="C784" s="235"/>
      <c r="D784" s="235">
        <v>87.52</v>
      </c>
      <c r="E784" s="236">
        <v>0.54496800000000001</v>
      </c>
      <c r="F784" s="237">
        <f>pairs[[#This Row],[ Dist]]*5280</f>
        <v>2877.4310399999999</v>
      </c>
      <c r="G784" s="235">
        <f>ROUND(pairs[[#This Row],[ Az]]-ROUNDDOWN(pairs[[#This Row],[ Az]],0),1)</f>
        <v>0</v>
      </c>
      <c r="H784" s="235">
        <f>ROUND(pairs[[#This Row],[ Back]]-ROUNDDOWN(pairs[[#This Row],[ Back]],0),1)</f>
        <v>0.5</v>
      </c>
      <c r="I784" s="235">
        <f>IF( OR( OR(pairs[[#This Row],[Az*]]=0, pairs[[#This Row],[Back*]]=0), OR(pairs[[#This Row],[Az*]]=1, pairs[[#This Row],[Back*]]=1)), 1, 0)</f>
        <v>1</v>
      </c>
      <c r="J784" s="235">
        <f>IF(OR(pairs[[#This Row],[Az*]]=0.5,pairs[[#This Row],[Back*]]=0.5),1,0)</f>
        <v>1</v>
      </c>
    </row>
    <row r="785" spans="1:10">
      <c r="A785" s="231" t="s">
        <v>128</v>
      </c>
      <c r="B785" s="231" t="s">
        <v>160</v>
      </c>
      <c r="C785" s="232"/>
      <c r="D785" s="232">
        <v>225.3</v>
      </c>
      <c r="E785" s="233">
        <v>0.43655300000000002</v>
      </c>
      <c r="F785" s="234">
        <f>pairs[[#This Row],[ Dist]]*5280</f>
        <v>2304.9998399999999</v>
      </c>
      <c r="G785" s="232">
        <f>ROUND(pairs[[#This Row],[ Az]]-ROUNDDOWN(pairs[[#This Row],[ Az]],0),1)</f>
        <v>0</v>
      </c>
      <c r="H785" s="232">
        <f>ROUND(pairs[[#This Row],[ Back]]-ROUNDDOWN(pairs[[#This Row],[ Back]],0),1)</f>
        <v>0.3</v>
      </c>
      <c r="I785" s="232">
        <f>IF( OR( OR(pairs[[#This Row],[Az*]]=0, pairs[[#This Row],[Back*]]=0), OR(pairs[[#This Row],[Az*]]=1, pairs[[#This Row],[Back*]]=1)), 1, 0)</f>
        <v>1</v>
      </c>
      <c r="J785" s="232">
        <f>IF(OR(pairs[[#This Row],[Az*]]=0.5,pairs[[#This Row],[Back*]]=0.5),1,0)</f>
        <v>0</v>
      </c>
    </row>
    <row r="786" spans="1:10">
      <c r="A786" s="231" t="s">
        <v>128</v>
      </c>
      <c r="B786" s="231" t="s">
        <v>146</v>
      </c>
      <c r="C786" s="232"/>
      <c r="D786" s="232">
        <v>105.66</v>
      </c>
      <c r="E786" s="233">
        <v>0.60108499999999998</v>
      </c>
      <c r="F786" s="234">
        <f>pairs[[#This Row],[ Dist]]*5280</f>
        <v>3173.7287999999999</v>
      </c>
      <c r="G786" s="232">
        <f>ROUND(pairs[[#This Row],[ Az]]-ROUNDDOWN(pairs[[#This Row],[ Az]],0),1)</f>
        <v>0</v>
      </c>
      <c r="H786" s="232">
        <f>ROUND(pairs[[#This Row],[ Back]]-ROUNDDOWN(pairs[[#This Row],[ Back]],0),1)</f>
        <v>0.7</v>
      </c>
      <c r="I786" s="232">
        <f>IF( OR( OR(pairs[[#This Row],[Az*]]=0, pairs[[#This Row],[Back*]]=0), OR(pairs[[#This Row],[Az*]]=1, pairs[[#This Row],[Back*]]=1)), 1, 0)</f>
        <v>1</v>
      </c>
      <c r="J786" s="232">
        <f>IF(OR(pairs[[#This Row],[Az*]]=0.5,pairs[[#This Row],[Back*]]=0.5),1,0)</f>
        <v>0</v>
      </c>
    </row>
    <row r="787" spans="1:10" ht="14.1">
      <c r="A787" s="23" t="s">
        <v>128</v>
      </c>
      <c r="B787" s="23" t="s">
        <v>145</v>
      </c>
      <c r="C787" s="229"/>
      <c r="D787" s="229">
        <v>313.02</v>
      </c>
      <c r="E787" s="25">
        <v>0.30229200000000001</v>
      </c>
      <c r="F787" s="230">
        <f>pairs[[#This Row],[ Dist]]*5280</f>
        <v>1596.10176</v>
      </c>
      <c r="G787" s="232">
        <f>ROUND(pairs[[#This Row],[ Az]]-ROUNDDOWN(pairs[[#This Row],[ Az]],0),1)</f>
        <v>0</v>
      </c>
      <c r="H787" s="232">
        <f>ROUND(pairs[[#This Row],[ Back]]-ROUNDDOWN(pairs[[#This Row],[ Back]],0),1)</f>
        <v>0</v>
      </c>
      <c r="I787" s="232">
        <f>IF( OR( OR(pairs[[#This Row],[Az*]]=0, pairs[[#This Row],[Back*]]=0), OR(pairs[[#This Row],[Az*]]=1, pairs[[#This Row],[Back*]]=1)), 1, 0)</f>
        <v>1</v>
      </c>
      <c r="J787" s="232">
        <f>IF(OR(pairs[[#This Row],[Az*]]=0.5,pairs[[#This Row],[Back*]]=0.5),1,0)</f>
        <v>0</v>
      </c>
    </row>
    <row r="788" spans="1:10">
      <c r="A788" s="231" t="s">
        <v>128</v>
      </c>
      <c r="B788" s="231" t="s">
        <v>164</v>
      </c>
      <c r="C788" s="232"/>
      <c r="D788" s="232">
        <v>89.75</v>
      </c>
      <c r="E788" s="233">
        <v>0.57876499999999997</v>
      </c>
      <c r="F788" s="234">
        <f>pairs[[#This Row],[ Dist]]*5280</f>
        <v>3055.8791999999999</v>
      </c>
      <c r="G788" s="232">
        <f>ROUND(pairs[[#This Row],[ Az]]-ROUNDDOWN(pairs[[#This Row],[ Az]],0),1)</f>
        <v>0</v>
      </c>
      <c r="H788" s="232">
        <f>ROUND(pairs[[#This Row],[ Back]]-ROUNDDOWN(pairs[[#This Row],[ Back]],0),1)</f>
        <v>0.8</v>
      </c>
      <c r="I788" s="232">
        <f>IF( OR( OR(pairs[[#This Row],[Az*]]=0, pairs[[#This Row],[Back*]]=0), OR(pairs[[#This Row],[Az*]]=1, pairs[[#This Row],[Back*]]=1)), 1, 0)</f>
        <v>1</v>
      </c>
      <c r="J788" s="232">
        <f>IF(OR(pairs[[#This Row],[Az*]]=0.5,pairs[[#This Row],[Back*]]=0.5),1,0)</f>
        <v>0</v>
      </c>
    </row>
    <row r="789" spans="1:10">
      <c r="A789" s="231" t="s">
        <v>128</v>
      </c>
      <c r="B789" s="231" t="s">
        <v>144</v>
      </c>
      <c r="C789" s="232"/>
      <c r="D789" s="232">
        <v>308.37</v>
      </c>
      <c r="E789" s="233">
        <v>0.372228</v>
      </c>
      <c r="F789" s="234">
        <f>pairs[[#This Row],[ Dist]]*5280</f>
        <v>1965.36384</v>
      </c>
      <c r="G789" s="232">
        <f>ROUND(pairs[[#This Row],[ Az]]-ROUNDDOWN(pairs[[#This Row],[ Az]],0),1)</f>
        <v>0</v>
      </c>
      <c r="H789" s="232">
        <f>ROUND(pairs[[#This Row],[ Back]]-ROUNDDOWN(pairs[[#This Row],[ Back]],0),1)</f>
        <v>0.4</v>
      </c>
      <c r="I789" s="232">
        <f>IF( OR( OR(pairs[[#This Row],[Az*]]=0, pairs[[#This Row],[Back*]]=0), OR(pairs[[#This Row],[Az*]]=1, pairs[[#This Row],[Back*]]=1)), 1, 0)</f>
        <v>1</v>
      </c>
      <c r="J789" s="232">
        <f>IF(OR(pairs[[#This Row],[Az*]]=0.5,pairs[[#This Row],[Back*]]=0.5),1,0)</f>
        <v>0</v>
      </c>
    </row>
    <row r="790" spans="1:10">
      <c r="A790" s="231" t="s">
        <v>128</v>
      </c>
      <c r="B790" s="231" t="s">
        <v>148</v>
      </c>
      <c r="C790" s="232"/>
      <c r="D790" s="232">
        <v>179.87</v>
      </c>
      <c r="E790" s="233">
        <v>7.1270030000000002</v>
      </c>
      <c r="F790" s="234">
        <f>pairs[[#This Row],[ Dist]]*5280</f>
        <v>37630.575839999998</v>
      </c>
      <c r="G790" s="232">
        <f>ROUND(pairs[[#This Row],[ Az]]-ROUNDDOWN(pairs[[#This Row],[ Az]],0),1)</f>
        <v>0</v>
      </c>
      <c r="H790" s="232">
        <f>ROUND(pairs[[#This Row],[ Back]]-ROUNDDOWN(pairs[[#This Row],[ Back]],0),1)</f>
        <v>0.9</v>
      </c>
      <c r="I790" s="232">
        <f>IF( OR( OR(pairs[[#This Row],[Az*]]=0, pairs[[#This Row],[Back*]]=0), OR(pairs[[#This Row],[Az*]]=1, pairs[[#This Row],[Back*]]=1)), 1, 0)</f>
        <v>1</v>
      </c>
      <c r="J790" s="232">
        <f>IF(OR(pairs[[#This Row],[Az*]]=0.5,pairs[[#This Row],[Back*]]=0.5),1,0)</f>
        <v>0</v>
      </c>
    </row>
    <row r="791" spans="1:10">
      <c r="A791" s="231" t="s">
        <v>128</v>
      </c>
      <c r="B791" s="231" t="s">
        <v>152</v>
      </c>
      <c r="C791" s="232"/>
      <c r="D791" s="232">
        <v>163.61000000000001</v>
      </c>
      <c r="E791" s="233">
        <v>5.8285000000000003E-2</v>
      </c>
      <c r="F791" s="234">
        <f>pairs[[#This Row],[ Dist]]*5280</f>
        <v>307.7448</v>
      </c>
      <c r="G791" s="232">
        <f>ROUND(pairs[[#This Row],[ Az]]-ROUNDDOWN(pairs[[#This Row],[ Az]],0),1)</f>
        <v>0</v>
      </c>
      <c r="H791" s="232">
        <f>ROUND(pairs[[#This Row],[ Back]]-ROUNDDOWN(pairs[[#This Row],[ Back]],0),1)</f>
        <v>0.6</v>
      </c>
      <c r="I791" s="232">
        <f>IF( OR( OR(pairs[[#This Row],[Az*]]=0, pairs[[#This Row],[Back*]]=0), OR(pairs[[#This Row],[Az*]]=1, pairs[[#This Row],[Back*]]=1)), 1, 0)</f>
        <v>1</v>
      </c>
      <c r="J791" s="232">
        <f>IF(OR(pairs[[#This Row],[Az*]]=0.5,pairs[[#This Row],[Back*]]=0.5),1,0)</f>
        <v>0</v>
      </c>
    </row>
    <row r="792" spans="1:10">
      <c r="A792" s="231" t="s">
        <v>128</v>
      </c>
      <c r="B792" s="231" t="s">
        <v>147</v>
      </c>
      <c r="C792" s="232"/>
      <c r="D792" s="232">
        <v>28.69</v>
      </c>
      <c r="E792" s="233">
        <v>1.713948</v>
      </c>
      <c r="F792" s="234">
        <f>pairs[[#This Row],[ Dist]]*5280</f>
        <v>9049.6454400000002</v>
      </c>
      <c r="G792" s="232">
        <f>ROUND(pairs[[#This Row],[ Az]]-ROUNDDOWN(pairs[[#This Row],[ Az]],0),1)</f>
        <v>0</v>
      </c>
      <c r="H792" s="232">
        <f>ROUND(pairs[[#This Row],[ Back]]-ROUNDDOWN(pairs[[#This Row],[ Back]],0),1)</f>
        <v>0.7</v>
      </c>
      <c r="I792" s="232">
        <f>IF( OR( OR(pairs[[#This Row],[Az*]]=0, pairs[[#This Row],[Back*]]=0), OR(pairs[[#This Row],[Az*]]=1, pairs[[#This Row],[Back*]]=1)), 1, 0)</f>
        <v>1</v>
      </c>
      <c r="J792" s="232">
        <f>IF(OR(pairs[[#This Row],[Az*]]=0.5,pairs[[#This Row],[Back*]]=0.5),1,0)</f>
        <v>0</v>
      </c>
    </row>
    <row r="793" spans="1:10" ht="14.1">
      <c r="A793" s="23" t="s">
        <v>128</v>
      </c>
      <c r="B793" s="23" t="s">
        <v>161</v>
      </c>
      <c r="C793" s="229"/>
      <c r="D793" s="229">
        <v>124.05</v>
      </c>
      <c r="E793" s="25">
        <v>5.1419649999999999</v>
      </c>
      <c r="F793" s="230">
        <f>pairs[[#This Row],[ Dist]]*5280</f>
        <v>27149.575199999999</v>
      </c>
      <c r="G793" s="232">
        <f>ROUND(pairs[[#This Row],[ Az]]-ROUNDDOWN(pairs[[#This Row],[ Az]],0),1)</f>
        <v>0</v>
      </c>
      <c r="H793" s="232">
        <f>ROUND(pairs[[#This Row],[ Back]]-ROUNDDOWN(pairs[[#This Row],[ Back]],0),1)</f>
        <v>0</v>
      </c>
      <c r="I793" s="242">
        <v>0</v>
      </c>
      <c r="J793" s="232">
        <f>IF(OR(pairs[[#This Row],[Az*]]=0.5,pairs[[#This Row],[Back*]]=0.5),1,0)</f>
        <v>0</v>
      </c>
    </row>
    <row r="794" spans="1:10">
      <c r="A794" s="231" t="s">
        <v>128</v>
      </c>
      <c r="B794" s="231" t="s">
        <v>162</v>
      </c>
      <c r="C794" s="232"/>
      <c r="D794" s="232">
        <v>174.8</v>
      </c>
      <c r="E794" s="233">
        <v>6.5542949999999998</v>
      </c>
      <c r="F794" s="234">
        <f>pairs[[#This Row],[ Dist]]*5280</f>
        <v>34606.677599999995</v>
      </c>
      <c r="G794" s="232">
        <f>ROUND(pairs[[#This Row],[ Az]]-ROUNDDOWN(pairs[[#This Row],[ Az]],0),1)</f>
        <v>0</v>
      </c>
      <c r="H794" s="232">
        <f>ROUND(pairs[[#This Row],[ Back]]-ROUNDDOWN(pairs[[#This Row],[ Back]],0),1)</f>
        <v>0.8</v>
      </c>
      <c r="I794" s="232">
        <f>IF( OR( OR(pairs[[#This Row],[Az*]]=0, pairs[[#This Row],[Back*]]=0), OR(pairs[[#This Row],[Az*]]=1, pairs[[#This Row],[Back*]]=1)), 1, 0)</f>
        <v>1</v>
      </c>
      <c r="J794" s="232">
        <f>IF(OR(pairs[[#This Row],[Az*]]=0.5,pairs[[#This Row],[Back*]]=0.5),1,0)</f>
        <v>0</v>
      </c>
    </row>
    <row r="795" spans="1:10" ht="14.1">
      <c r="A795" s="206" t="s">
        <v>128</v>
      </c>
      <c r="B795" s="206" t="s">
        <v>157</v>
      </c>
      <c r="C795" s="235"/>
      <c r="D795" s="235">
        <v>340.51</v>
      </c>
      <c r="E795" s="236">
        <v>2.7589329999999999</v>
      </c>
      <c r="F795" s="237">
        <f>pairs[[#This Row],[ Dist]]*5280</f>
        <v>14567.166239999999</v>
      </c>
      <c r="G795" s="235">
        <f>ROUND(pairs[[#This Row],[ Az]]-ROUNDDOWN(pairs[[#This Row],[ Az]],0),1)</f>
        <v>0</v>
      </c>
      <c r="H795" s="235">
        <f>ROUND(pairs[[#This Row],[ Back]]-ROUNDDOWN(pairs[[#This Row],[ Back]],0),1)</f>
        <v>0.5</v>
      </c>
      <c r="I795" s="235">
        <f>IF( OR( OR(pairs[[#This Row],[Az*]]=0, pairs[[#This Row],[Back*]]=0), OR(pairs[[#This Row],[Az*]]=1, pairs[[#This Row],[Back*]]=1)), 1, 0)</f>
        <v>1</v>
      </c>
      <c r="J795" s="235">
        <f>IF(OR(pairs[[#This Row],[Az*]]=0.5,pairs[[#This Row],[Back*]]=0.5),1,0)</f>
        <v>1</v>
      </c>
    </row>
    <row r="796" spans="1:10" ht="14.1">
      <c r="A796" s="23" t="s">
        <v>128</v>
      </c>
      <c r="B796" s="23" t="s">
        <v>149</v>
      </c>
      <c r="C796" s="229"/>
      <c r="D796" s="229">
        <v>359.96</v>
      </c>
      <c r="E796" s="25">
        <v>7.0770920000000004</v>
      </c>
      <c r="F796" s="230">
        <f>pairs[[#This Row],[ Dist]]*5280</f>
        <v>37367.045760000001</v>
      </c>
      <c r="G796" s="232">
        <f>ROUND(pairs[[#This Row],[ Az]]-ROUNDDOWN(pairs[[#This Row],[ Az]],0),1)</f>
        <v>0</v>
      </c>
      <c r="H796" s="232">
        <f>ROUND(pairs[[#This Row],[ Back]]-ROUNDDOWN(pairs[[#This Row],[ Back]],0),1)</f>
        <v>1</v>
      </c>
      <c r="I796" s="232">
        <f>IF( OR( OR(pairs[[#This Row],[Az*]]=0, pairs[[#This Row],[Back*]]=0), OR(pairs[[#This Row],[Az*]]=1, pairs[[#This Row],[Back*]]=1)), 1, 0)</f>
        <v>1</v>
      </c>
      <c r="J796" s="232">
        <f>IF(OR(pairs[[#This Row],[Az*]]=0.5,pairs[[#This Row],[Back*]]=0.5),1,0)</f>
        <v>0</v>
      </c>
    </row>
    <row r="797" spans="1:10">
      <c r="A797" s="231" t="s">
        <v>128</v>
      </c>
      <c r="B797" s="231" t="s">
        <v>153</v>
      </c>
      <c r="C797" s="232"/>
      <c r="D797" s="232">
        <v>320.10000000000002</v>
      </c>
      <c r="E797" s="233">
        <v>7.8510000000000003E-3</v>
      </c>
      <c r="F797" s="234">
        <f>pairs[[#This Row],[ Dist]]*5280</f>
        <v>41.453279999999999</v>
      </c>
      <c r="G797" s="232">
        <f>ROUND(pairs[[#This Row],[ Az]]-ROUNDDOWN(pairs[[#This Row],[ Az]],0),1)</f>
        <v>0</v>
      </c>
      <c r="H797" s="232">
        <f>ROUND(pairs[[#This Row],[ Back]]-ROUNDDOWN(pairs[[#This Row],[ Back]],0),1)</f>
        <v>0.1</v>
      </c>
      <c r="I797" s="232">
        <f>IF( OR( OR(pairs[[#This Row],[Az*]]=0, pairs[[#This Row],[Back*]]=0), OR(pairs[[#This Row],[Az*]]=1, pairs[[#This Row],[Back*]]=1)), 1, 0)</f>
        <v>1</v>
      </c>
      <c r="J797" s="232">
        <f>IF(OR(pairs[[#This Row],[Az*]]=0.5,pairs[[#This Row],[Back*]]=0.5),1,0)</f>
        <v>0</v>
      </c>
    </row>
    <row r="798" spans="1:10">
      <c r="A798" s="231" t="s">
        <v>128</v>
      </c>
      <c r="B798" s="231" t="s">
        <v>150</v>
      </c>
      <c r="C798" s="232"/>
      <c r="D798" s="232">
        <v>90.22</v>
      </c>
      <c r="E798" s="233">
        <v>7.0768849999999999</v>
      </c>
      <c r="F798" s="234">
        <f>pairs[[#This Row],[ Dist]]*5280</f>
        <v>37365.952799999999</v>
      </c>
      <c r="G798" s="232">
        <f>ROUND(pairs[[#This Row],[ Az]]-ROUNDDOWN(pairs[[#This Row],[ Az]],0),1)</f>
        <v>0</v>
      </c>
      <c r="H798" s="232">
        <f>ROUND(pairs[[#This Row],[ Back]]-ROUNDDOWN(pairs[[#This Row],[ Back]],0),1)</f>
        <v>0.2</v>
      </c>
      <c r="I798" s="232">
        <f>IF( OR( OR(pairs[[#This Row],[Az*]]=0, pairs[[#This Row],[Back*]]=0), OR(pairs[[#This Row],[Az*]]=1, pairs[[#This Row],[Back*]]=1)), 1, 0)</f>
        <v>1</v>
      </c>
      <c r="J798" s="232">
        <f>IF(OR(pairs[[#This Row],[Az*]]=0.5,pairs[[#This Row],[Back*]]=0.5),1,0)</f>
        <v>0</v>
      </c>
    </row>
    <row r="799" spans="1:10">
      <c r="A799" s="231" t="s">
        <v>128</v>
      </c>
      <c r="B799" s="231" t="s">
        <v>154</v>
      </c>
      <c r="C799" s="232"/>
      <c r="D799" s="232">
        <v>167.83</v>
      </c>
      <c r="E799" s="233">
        <v>2.7184E-2</v>
      </c>
      <c r="F799" s="234">
        <f>pairs[[#This Row],[ Dist]]*5280</f>
        <v>143.53152</v>
      </c>
      <c r="G799" s="232">
        <f>ROUND(pairs[[#This Row],[ Az]]-ROUNDDOWN(pairs[[#This Row],[ Az]],0),1)</f>
        <v>0</v>
      </c>
      <c r="H799" s="232">
        <f>ROUND(pairs[[#This Row],[ Back]]-ROUNDDOWN(pairs[[#This Row],[ Back]],0),1)</f>
        <v>0.8</v>
      </c>
      <c r="I799" s="232">
        <f>IF( OR( OR(pairs[[#This Row],[Az*]]=0, pairs[[#This Row],[Back*]]=0), OR(pairs[[#This Row],[Az*]]=1, pairs[[#This Row],[Back*]]=1)), 1, 0)</f>
        <v>1</v>
      </c>
      <c r="J799" s="232">
        <f>IF(OR(pairs[[#This Row],[Az*]]=0.5,pairs[[#This Row],[Back*]]=0.5),1,0)</f>
        <v>0</v>
      </c>
    </row>
    <row r="800" spans="1:10">
      <c r="A800" s="231" t="s">
        <v>124</v>
      </c>
      <c r="B800" s="231" t="s">
        <v>156</v>
      </c>
      <c r="C800" s="232"/>
      <c r="D800" s="232">
        <v>90.09</v>
      </c>
      <c r="E800" s="233">
        <v>7.0753630000000003</v>
      </c>
      <c r="F800" s="234">
        <f>pairs[[#This Row],[ Dist]]*5280</f>
        <v>37357.916640000003</v>
      </c>
      <c r="G800" s="232">
        <f>ROUND(pairs[[#This Row],[ Az]]-ROUNDDOWN(pairs[[#This Row],[ Az]],0),1)</f>
        <v>0</v>
      </c>
      <c r="H800" s="232">
        <f>ROUND(pairs[[#This Row],[ Back]]-ROUNDDOWN(pairs[[#This Row],[ Back]],0),1)</f>
        <v>0.1</v>
      </c>
      <c r="I800" s="232">
        <f>IF( OR( OR(pairs[[#This Row],[Az*]]=0, pairs[[#This Row],[Back*]]=0), OR(pairs[[#This Row],[Az*]]=1, pairs[[#This Row],[Back*]]=1)), 1, 0)</f>
        <v>1</v>
      </c>
      <c r="J800" s="232">
        <f>IF(OR(pairs[[#This Row],[Az*]]=0.5,pairs[[#This Row],[Back*]]=0.5),1,0)</f>
        <v>0</v>
      </c>
    </row>
    <row r="801" spans="1:10">
      <c r="A801" s="231" t="s">
        <v>124</v>
      </c>
      <c r="B801" s="231" t="s">
        <v>163</v>
      </c>
      <c r="C801" s="232"/>
      <c r="D801" s="232">
        <v>135.25</v>
      </c>
      <c r="E801" s="233">
        <v>2.5016129999999999</v>
      </c>
      <c r="F801" s="234">
        <f>pairs[[#This Row],[ Dist]]*5280</f>
        <v>13208.51664</v>
      </c>
      <c r="G801" s="232">
        <f>ROUND(pairs[[#This Row],[ Az]]-ROUNDDOWN(pairs[[#This Row],[ Az]],0),1)</f>
        <v>0</v>
      </c>
      <c r="H801" s="232">
        <f>ROUND(pairs[[#This Row],[ Back]]-ROUNDDOWN(pairs[[#This Row],[ Back]],0),1)</f>
        <v>0.3</v>
      </c>
      <c r="I801" s="232">
        <f>IF( OR( OR(pairs[[#This Row],[Az*]]=0, pairs[[#This Row],[Back*]]=0), OR(pairs[[#This Row],[Az*]]=1, pairs[[#This Row],[Back*]]=1)), 1, 0)</f>
        <v>1</v>
      </c>
      <c r="J801" s="232">
        <f>IF(OR(pairs[[#This Row],[Az*]]=0.5,pairs[[#This Row],[Back*]]=0.5),1,0)</f>
        <v>0</v>
      </c>
    </row>
    <row r="802" spans="1:10" ht="14.1">
      <c r="A802" s="23" t="s">
        <v>124</v>
      </c>
      <c r="B802" s="23" t="s">
        <v>143</v>
      </c>
      <c r="C802" s="229"/>
      <c r="D802" s="229">
        <v>89.89</v>
      </c>
      <c r="E802" s="25">
        <v>5.3615810000000002</v>
      </c>
      <c r="F802" s="230">
        <f>pairs[[#This Row],[ Dist]]*5280</f>
        <v>28309.147680000002</v>
      </c>
      <c r="G802" s="232">
        <f>ROUND(pairs[[#This Row],[ Az]]-ROUNDDOWN(pairs[[#This Row],[ Az]],0),1)</f>
        <v>0</v>
      </c>
      <c r="H802" s="232">
        <f>ROUND(pairs[[#This Row],[ Back]]-ROUNDDOWN(pairs[[#This Row],[ Back]],0),1)</f>
        <v>0.9</v>
      </c>
      <c r="I802" s="232">
        <v>1</v>
      </c>
      <c r="J802" s="232">
        <f>IF(OR(pairs[[#This Row],[Az*]]=0.5,pairs[[#This Row],[Back*]]=0.5),1,0)</f>
        <v>0</v>
      </c>
    </row>
    <row r="803" spans="1:10" ht="14.1">
      <c r="A803" s="23" t="s">
        <v>124</v>
      </c>
      <c r="B803" s="23" t="s">
        <v>155</v>
      </c>
      <c r="C803" s="229"/>
      <c r="D803" s="229">
        <v>89.92</v>
      </c>
      <c r="E803" s="25">
        <v>7.0710670000000002</v>
      </c>
      <c r="F803" s="230">
        <f>pairs[[#This Row],[ Dist]]*5280</f>
        <v>37335.233760000003</v>
      </c>
      <c r="G803" s="232">
        <f>ROUND(pairs[[#This Row],[ Az]]-ROUNDDOWN(pairs[[#This Row],[ Az]],0),1)</f>
        <v>0</v>
      </c>
      <c r="H803" s="232">
        <f>ROUND(pairs[[#This Row],[ Back]]-ROUNDDOWN(pairs[[#This Row],[ Back]],0),1)</f>
        <v>0.9</v>
      </c>
      <c r="I803" s="232">
        <f>IF( OR( OR(pairs[[#This Row],[Az*]]=0, pairs[[#This Row],[Back*]]=0), OR(pairs[[#This Row],[Az*]]=1, pairs[[#This Row],[Back*]]=1)), 1, 0)</f>
        <v>1</v>
      </c>
      <c r="J803" s="232">
        <f>IF(OR(pairs[[#This Row],[Az*]]=0.5,pairs[[#This Row],[Back*]]=0.5),1,0)</f>
        <v>0</v>
      </c>
    </row>
    <row r="804" spans="1:10">
      <c r="A804" s="231" t="s">
        <v>124</v>
      </c>
      <c r="B804" s="231" t="s">
        <v>158</v>
      </c>
      <c r="C804" s="232"/>
      <c r="D804" s="232">
        <v>87.13</v>
      </c>
      <c r="E804" s="233">
        <v>5.3347610000000003</v>
      </c>
      <c r="F804" s="234">
        <f>pairs[[#This Row],[ Dist]]*5280</f>
        <v>28167.538080000002</v>
      </c>
      <c r="G804" s="232">
        <f>ROUND(pairs[[#This Row],[ Az]]-ROUNDDOWN(pairs[[#This Row],[ Az]],0),1)</f>
        <v>0</v>
      </c>
      <c r="H804" s="232">
        <f>ROUND(pairs[[#This Row],[ Back]]-ROUNDDOWN(pairs[[#This Row],[ Back]],0),1)</f>
        <v>0.1</v>
      </c>
      <c r="I804" s="232">
        <f>IF( OR( OR(pairs[[#This Row],[Az*]]=0, pairs[[#This Row],[Back*]]=0), OR(pairs[[#This Row],[Az*]]=1, pairs[[#This Row],[Back*]]=1)), 1, 0)</f>
        <v>1</v>
      </c>
      <c r="J804" s="232">
        <f>IF(OR(pairs[[#This Row],[Az*]]=0.5,pairs[[#This Row],[Back*]]=0.5),1,0)</f>
        <v>0</v>
      </c>
    </row>
    <row r="805" spans="1:10">
      <c r="A805" s="231" t="s">
        <v>124</v>
      </c>
      <c r="B805" s="231" t="s">
        <v>159</v>
      </c>
      <c r="C805" s="232"/>
      <c r="D805" s="232">
        <v>89.74</v>
      </c>
      <c r="E805" s="233">
        <v>7.6155939999999998</v>
      </c>
      <c r="F805" s="234">
        <f>pairs[[#This Row],[ Dist]]*5280</f>
        <v>40210.336320000002</v>
      </c>
      <c r="G805" s="232">
        <f>ROUND(pairs[[#This Row],[ Az]]-ROUNDDOWN(pairs[[#This Row],[ Az]],0),1)</f>
        <v>0</v>
      </c>
      <c r="H805" s="232">
        <f>ROUND(pairs[[#This Row],[ Back]]-ROUNDDOWN(pairs[[#This Row],[ Back]],0),1)</f>
        <v>0.7</v>
      </c>
      <c r="I805" s="232">
        <f>IF( OR( OR(pairs[[#This Row],[Az*]]=0, pairs[[#This Row],[Back*]]=0), OR(pairs[[#This Row],[Az*]]=1, pairs[[#This Row],[Back*]]=1)), 1, 0)</f>
        <v>1</v>
      </c>
      <c r="J805" s="232">
        <f>IF(OR(pairs[[#This Row],[Az*]]=0.5,pairs[[#This Row],[Back*]]=0.5),1,0)</f>
        <v>0</v>
      </c>
    </row>
    <row r="806" spans="1:10" ht="14.1">
      <c r="A806" s="206" t="s">
        <v>124</v>
      </c>
      <c r="B806" s="206" t="s">
        <v>160</v>
      </c>
      <c r="C806" s="235"/>
      <c r="D806" s="235">
        <v>92.52</v>
      </c>
      <c r="E806" s="236">
        <v>6.7672749999999997</v>
      </c>
      <c r="F806" s="237">
        <f>pairs[[#This Row],[ Dist]]*5280</f>
        <v>35731.212</v>
      </c>
      <c r="G806" s="235">
        <f>ROUND(pairs[[#This Row],[ Az]]-ROUNDDOWN(pairs[[#This Row],[ Az]],0),1)</f>
        <v>0</v>
      </c>
      <c r="H806" s="235">
        <f>ROUND(pairs[[#This Row],[ Back]]-ROUNDDOWN(pairs[[#This Row],[ Back]],0),1)</f>
        <v>0.5</v>
      </c>
      <c r="I806" s="235">
        <f>IF( OR( OR(pairs[[#This Row],[Az*]]=0, pairs[[#This Row],[Back*]]=0), OR(pairs[[#This Row],[Az*]]=1, pairs[[#This Row],[Back*]]=1)), 1, 0)</f>
        <v>1</v>
      </c>
      <c r="J806" s="235">
        <f>IF(OR(pairs[[#This Row],[Az*]]=0.5,pairs[[#This Row],[Back*]]=0.5),1,0)</f>
        <v>1</v>
      </c>
    </row>
    <row r="807" spans="1:10">
      <c r="A807" s="231" t="s">
        <v>124</v>
      </c>
      <c r="B807" s="231" t="s">
        <v>146</v>
      </c>
      <c r="C807" s="232"/>
      <c r="D807" s="232">
        <v>91.13</v>
      </c>
      <c r="E807" s="233">
        <v>7.6513140000000002</v>
      </c>
      <c r="F807" s="234">
        <f>pairs[[#This Row],[ Dist]]*5280</f>
        <v>40398.937920000004</v>
      </c>
      <c r="G807" s="232">
        <f>ROUND(pairs[[#This Row],[ Az]]-ROUNDDOWN(pairs[[#This Row],[ Az]],0),1)</f>
        <v>0</v>
      </c>
      <c r="H807" s="232">
        <f>ROUND(pairs[[#This Row],[ Back]]-ROUNDDOWN(pairs[[#This Row],[ Back]],0),1)</f>
        <v>0.1</v>
      </c>
      <c r="I807" s="232">
        <f>IF( OR( OR(pairs[[#This Row],[Az*]]=0, pairs[[#This Row],[Back*]]=0), OR(pairs[[#This Row],[Az*]]=1, pairs[[#This Row],[Back*]]=1)), 1, 0)</f>
        <v>1</v>
      </c>
      <c r="J807" s="232">
        <f>IF(OR(pairs[[#This Row],[Az*]]=0.5,pairs[[#This Row],[Back*]]=0.5),1,0)</f>
        <v>0</v>
      </c>
    </row>
    <row r="808" spans="1:10">
      <c r="A808" s="231" t="s">
        <v>124</v>
      </c>
      <c r="B808" s="231" t="s">
        <v>145</v>
      </c>
      <c r="C808" s="232"/>
      <c r="D808" s="232">
        <v>88.19</v>
      </c>
      <c r="E808" s="233">
        <v>6.8534560000000004</v>
      </c>
      <c r="F808" s="234">
        <f>pairs[[#This Row],[ Dist]]*5280</f>
        <v>36186.24768</v>
      </c>
      <c r="G808" s="232">
        <f>ROUND(pairs[[#This Row],[ Az]]-ROUNDDOWN(pairs[[#This Row],[ Az]],0),1)</f>
        <v>0</v>
      </c>
      <c r="H808" s="232">
        <f>ROUND(pairs[[#This Row],[ Back]]-ROUNDDOWN(pairs[[#This Row],[ Back]],0),1)</f>
        <v>0.2</v>
      </c>
      <c r="I808" s="232">
        <f>IF( OR( OR(pairs[[#This Row],[Az*]]=0, pairs[[#This Row],[Back*]]=0), OR(pairs[[#This Row],[Az*]]=1, pairs[[#This Row],[Back*]]=1)), 1, 0)</f>
        <v>1</v>
      </c>
      <c r="J808" s="232">
        <f>IF(OR(pairs[[#This Row],[Az*]]=0.5,pairs[[#This Row],[Back*]]=0.5),1,0)</f>
        <v>0</v>
      </c>
    </row>
    <row r="809" spans="1:10" ht="14.1">
      <c r="A809" s="23" t="s">
        <v>124</v>
      </c>
      <c r="B809" s="23" t="s">
        <v>164</v>
      </c>
      <c r="C809" s="229"/>
      <c r="D809" s="229">
        <v>89.9</v>
      </c>
      <c r="E809" s="25">
        <v>7.6498309999999998</v>
      </c>
      <c r="F809" s="230">
        <f>pairs[[#This Row],[ Dist]]*5280</f>
        <v>40391.107680000001</v>
      </c>
      <c r="G809" s="232">
        <f>ROUND(pairs[[#This Row],[ Az]]-ROUNDDOWN(pairs[[#This Row],[ Az]],0),1)</f>
        <v>0</v>
      </c>
      <c r="H809" s="232">
        <f>ROUND(pairs[[#This Row],[ Back]]-ROUNDDOWN(pairs[[#This Row],[ Back]],0),1)</f>
        <v>0.9</v>
      </c>
      <c r="I809" s="232">
        <f>IF( OR( OR(pairs[[#This Row],[Az*]]=0, pairs[[#This Row],[Back*]]=0), OR(pairs[[#This Row],[Az*]]=1, pairs[[#This Row],[Back*]]=1)), 1, 0)</f>
        <v>1</v>
      </c>
      <c r="J809" s="232">
        <f>IF(OR(pairs[[#This Row],[Az*]]=0.5,pairs[[#This Row],[Back*]]=0.5),1,0)</f>
        <v>0</v>
      </c>
    </row>
    <row r="810" spans="1:10" ht="14.1">
      <c r="A810" s="23" t="s">
        <v>124</v>
      </c>
      <c r="B810" s="23" t="s">
        <v>144</v>
      </c>
      <c r="C810" s="229"/>
      <c r="D810" s="229">
        <v>87.97</v>
      </c>
      <c r="E810" s="25">
        <v>6.7835080000000003</v>
      </c>
      <c r="F810" s="230">
        <f>pairs[[#This Row],[ Dist]]*5280</f>
        <v>35816.92224</v>
      </c>
      <c r="G810" s="232">
        <f>ROUND(pairs[[#This Row],[ Az]]-ROUNDDOWN(pairs[[#This Row],[ Az]],0),1)</f>
        <v>0</v>
      </c>
      <c r="H810" s="232">
        <f>ROUND(pairs[[#This Row],[ Back]]-ROUNDDOWN(pairs[[#This Row],[ Back]],0),1)</f>
        <v>1</v>
      </c>
      <c r="I810" s="232">
        <f>IF( OR( OR(pairs[[#This Row],[Az*]]=0, pairs[[#This Row],[Back*]]=0), OR(pairs[[#This Row],[Az*]]=1, pairs[[#This Row],[Back*]]=1)), 1, 0)</f>
        <v>1</v>
      </c>
      <c r="J810" s="232">
        <f>IF(OR(pairs[[#This Row],[Az*]]=0.5,pairs[[#This Row],[Back*]]=0.5),1,0)</f>
        <v>0</v>
      </c>
    </row>
    <row r="811" spans="1:10">
      <c r="A811" s="231" t="s">
        <v>124</v>
      </c>
      <c r="B811" s="231" t="s">
        <v>148</v>
      </c>
      <c r="C811" s="232"/>
      <c r="D811" s="232">
        <v>135.12</v>
      </c>
      <c r="E811" s="233">
        <v>10.043956</v>
      </c>
      <c r="F811" s="234">
        <f>pairs[[#This Row],[ Dist]]*5280</f>
        <v>53032.087679999997</v>
      </c>
      <c r="G811" s="232">
        <f>ROUND(pairs[[#This Row],[ Az]]-ROUNDDOWN(pairs[[#This Row],[ Az]],0),1)</f>
        <v>0</v>
      </c>
      <c r="H811" s="232">
        <f>ROUND(pairs[[#This Row],[ Back]]-ROUNDDOWN(pairs[[#This Row],[ Back]],0),1)</f>
        <v>0.1</v>
      </c>
      <c r="I811" s="232">
        <f>IF( OR( OR(pairs[[#This Row],[Az*]]=0, pairs[[#This Row],[Back*]]=0), OR(pairs[[#This Row],[Az*]]=1, pairs[[#This Row],[Back*]]=1)), 1, 0)</f>
        <v>1</v>
      </c>
      <c r="J811" s="232">
        <f>IF(OR(pairs[[#This Row],[Az*]]=0.5,pairs[[#This Row],[Back*]]=0.5),1,0)</f>
        <v>0</v>
      </c>
    </row>
    <row r="812" spans="1:10">
      <c r="A812" s="231" t="s">
        <v>124</v>
      </c>
      <c r="B812" s="231" t="s">
        <v>152</v>
      </c>
      <c r="C812" s="232"/>
      <c r="D812" s="232">
        <v>90.37</v>
      </c>
      <c r="E812" s="233">
        <v>7.0876530000000004</v>
      </c>
      <c r="F812" s="234">
        <f>pairs[[#This Row],[ Dist]]*5280</f>
        <v>37422.807840000001</v>
      </c>
      <c r="G812" s="232">
        <f>ROUND(pairs[[#This Row],[ Az]]-ROUNDDOWN(pairs[[#This Row],[ Az]],0),1)</f>
        <v>0</v>
      </c>
      <c r="H812" s="232">
        <f>ROUND(pairs[[#This Row],[ Back]]-ROUNDDOWN(pairs[[#This Row],[ Back]],0),1)</f>
        <v>0.4</v>
      </c>
      <c r="I812" s="232">
        <f>IF( OR( OR(pairs[[#This Row],[Az*]]=0, pairs[[#This Row],[Back*]]=0), OR(pairs[[#This Row],[Az*]]=1, pairs[[#This Row],[Back*]]=1)), 1, 0)</f>
        <v>1</v>
      </c>
      <c r="J812" s="232">
        <f>IF(OR(pairs[[#This Row],[Az*]]=0.5,pairs[[#This Row],[Back*]]=0.5),1,0)</f>
        <v>0</v>
      </c>
    </row>
    <row r="813" spans="1:10">
      <c r="A813" s="231" t="s">
        <v>124</v>
      </c>
      <c r="B813" s="231" t="s">
        <v>147</v>
      </c>
      <c r="C813" s="232"/>
      <c r="D813" s="232">
        <v>79.14</v>
      </c>
      <c r="E813" s="233">
        <v>8.038017</v>
      </c>
      <c r="F813" s="234">
        <f>pairs[[#This Row],[ Dist]]*5280</f>
        <v>42440.729760000002</v>
      </c>
      <c r="G813" s="232">
        <f>ROUND(pairs[[#This Row],[ Az]]-ROUNDDOWN(pairs[[#This Row],[ Az]],0),1)</f>
        <v>0</v>
      </c>
      <c r="H813" s="232">
        <f>ROUND(pairs[[#This Row],[ Back]]-ROUNDDOWN(pairs[[#This Row],[ Back]],0),1)</f>
        <v>0.1</v>
      </c>
      <c r="I813" s="232">
        <f>IF( OR( OR(pairs[[#This Row],[Az*]]=0, pairs[[#This Row],[Back*]]=0), OR(pairs[[#This Row],[Az*]]=1, pairs[[#This Row],[Back*]]=1)), 1, 0)</f>
        <v>1</v>
      </c>
      <c r="J813" s="232">
        <f>IF(OR(pairs[[#This Row],[Az*]]=0.5,pairs[[#This Row],[Back*]]=0.5),1,0)</f>
        <v>0</v>
      </c>
    </row>
    <row r="814" spans="1:10">
      <c r="A814" s="231" t="s">
        <v>124</v>
      </c>
      <c r="B814" s="231" t="s">
        <v>161</v>
      </c>
      <c r="C814" s="232"/>
      <c r="D814" s="232">
        <v>104.18</v>
      </c>
      <c r="E814" s="233">
        <v>11.687374999999999</v>
      </c>
      <c r="F814" s="234">
        <f>pairs[[#This Row],[ Dist]]*5280</f>
        <v>61709.34</v>
      </c>
      <c r="G814" s="232">
        <f>ROUND(pairs[[#This Row],[ Az]]-ROUNDDOWN(pairs[[#This Row],[ Az]],0),1)</f>
        <v>0</v>
      </c>
      <c r="H814" s="232">
        <f>ROUND(pairs[[#This Row],[ Back]]-ROUNDDOWN(pairs[[#This Row],[ Back]],0),1)</f>
        <v>0.2</v>
      </c>
      <c r="I814" s="232">
        <f>IF( OR( OR(pairs[[#This Row],[Az*]]=0, pairs[[#This Row],[Back*]]=0), OR(pairs[[#This Row],[Az*]]=1, pairs[[#This Row],[Back*]]=1)), 1, 0)</f>
        <v>1</v>
      </c>
      <c r="J814" s="232">
        <f>IF(OR(pairs[[#This Row],[Az*]]=0.5,pairs[[#This Row],[Back*]]=0.5),1,0)</f>
        <v>0</v>
      </c>
    </row>
    <row r="815" spans="1:10" ht="14.1">
      <c r="A815" s="206" t="s">
        <v>124</v>
      </c>
      <c r="B815" s="206" t="s">
        <v>162</v>
      </c>
      <c r="C815" s="235"/>
      <c r="D815" s="235">
        <v>130.37</v>
      </c>
      <c r="E815" s="236">
        <v>10.060337000000001</v>
      </c>
      <c r="F815" s="237">
        <f>pairs[[#This Row],[ Dist]]*5280</f>
        <v>53118.579360000003</v>
      </c>
      <c r="G815" s="235">
        <f>ROUND(pairs[[#This Row],[ Az]]-ROUNDDOWN(pairs[[#This Row],[ Az]],0),1)</f>
        <v>0</v>
      </c>
      <c r="H815" s="235">
        <f>ROUND(pairs[[#This Row],[ Back]]-ROUNDDOWN(pairs[[#This Row],[ Back]],0),1)</f>
        <v>0.4</v>
      </c>
      <c r="I815" s="235">
        <f>IF( OR( OR(pairs[[#This Row],[Az*]]=0, pairs[[#This Row],[Back*]]=0), OR(pairs[[#This Row],[Az*]]=1, pairs[[#This Row],[Back*]]=1)), 1, 0)</f>
        <v>1</v>
      </c>
      <c r="J815" s="235">
        <f>IF(OR(pairs[[#This Row],[Az*]]=0.5,pairs[[#This Row],[Back*]]=0.5),1,0)</f>
        <v>0</v>
      </c>
    </row>
    <row r="816" spans="1:10" ht="14.1">
      <c r="A816" s="23" t="s">
        <v>124</v>
      </c>
      <c r="B816" s="23" t="s">
        <v>157</v>
      </c>
      <c r="C816" s="229"/>
      <c r="D816" s="229">
        <v>67.010000000000005</v>
      </c>
      <c r="E816" s="25">
        <v>6.6813739999999999</v>
      </c>
      <c r="F816" s="230">
        <f>pairs[[#This Row],[ Dist]]*5280</f>
        <v>35277.654719999999</v>
      </c>
      <c r="G816" s="232">
        <f>ROUND(pairs[[#This Row],[ Az]]-ROUNDDOWN(pairs[[#This Row],[ Az]],0),1)</f>
        <v>0</v>
      </c>
      <c r="H816" s="232">
        <f>ROUND(pairs[[#This Row],[ Back]]-ROUNDDOWN(pairs[[#This Row],[ Back]],0),1)</f>
        <v>0</v>
      </c>
      <c r="I816" s="232">
        <f>IF( OR( OR(pairs[[#This Row],[Az*]]=0, pairs[[#This Row],[Back*]]=0), OR(pairs[[#This Row],[Az*]]=1, pairs[[#This Row],[Back*]]=1)), 1, 0)</f>
        <v>1</v>
      </c>
      <c r="J816" s="232">
        <f>IF(OR(pairs[[#This Row],[Az*]]=0.5,pairs[[#This Row],[Back*]]=0.5),1,0)</f>
        <v>0</v>
      </c>
    </row>
    <row r="817" spans="1:10" ht="14.1">
      <c r="A817" s="23" t="s">
        <v>124</v>
      </c>
      <c r="B817" s="23" t="s">
        <v>149</v>
      </c>
      <c r="C817" s="229"/>
      <c r="D817" s="229">
        <v>44.91</v>
      </c>
      <c r="E817" s="25">
        <v>10.007903000000001</v>
      </c>
      <c r="F817" s="230">
        <f>pairs[[#This Row],[ Dist]]*5280</f>
        <v>52841.727840000007</v>
      </c>
      <c r="G817" s="232">
        <f>ROUND(pairs[[#This Row],[ Az]]-ROUNDDOWN(pairs[[#This Row],[ Az]],0),1)</f>
        <v>0</v>
      </c>
      <c r="H817" s="232">
        <f>ROUND(pairs[[#This Row],[ Back]]-ROUNDDOWN(pairs[[#This Row],[ Back]],0),1)</f>
        <v>0.9</v>
      </c>
      <c r="I817" s="232">
        <f>IF( OR( OR(pairs[[#This Row],[Az*]]=0, pairs[[#This Row],[Back*]]=0), OR(pairs[[#This Row],[Az*]]=1, pairs[[#This Row],[Back*]]=1)), 1, 0)</f>
        <v>1</v>
      </c>
      <c r="J817" s="232">
        <f>IF(OR(pairs[[#This Row],[Az*]]=0.5,pairs[[#This Row],[Back*]]=0.5),1,0)</f>
        <v>0</v>
      </c>
    </row>
    <row r="818" spans="1:10" ht="14.1">
      <c r="A818" s="23" t="s">
        <v>124</v>
      </c>
      <c r="B818" s="23" t="s">
        <v>153</v>
      </c>
      <c r="C818" s="229"/>
      <c r="D818" s="229">
        <v>89.87</v>
      </c>
      <c r="E818" s="25">
        <v>7.0660420000000004</v>
      </c>
      <c r="F818" s="230">
        <f>pairs[[#This Row],[ Dist]]*5280</f>
        <v>37308.701760000004</v>
      </c>
      <c r="G818" s="232">
        <f>ROUND(pairs[[#This Row],[ Az]]-ROUNDDOWN(pairs[[#This Row],[ Az]],0),1)</f>
        <v>0</v>
      </c>
      <c r="H818" s="232">
        <f>ROUND(pairs[[#This Row],[ Back]]-ROUNDDOWN(pairs[[#This Row],[ Back]],0),1)</f>
        <v>0.9</v>
      </c>
      <c r="I818" s="232">
        <v>1</v>
      </c>
      <c r="J818" s="232">
        <f>IF(OR(pairs[[#This Row],[Az*]]=0.5,pairs[[#This Row],[Back*]]=0.5),1,0)</f>
        <v>0</v>
      </c>
    </row>
    <row r="819" spans="1:10" ht="14.1">
      <c r="A819" s="23" t="s">
        <v>124</v>
      </c>
      <c r="B819" s="23" t="s">
        <v>150</v>
      </c>
      <c r="C819" s="229"/>
      <c r="D819" s="229">
        <v>90.02</v>
      </c>
      <c r="E819" s="25">
        <v>14.147874</v>
      </c>
      <c r="F819" s="230">
        <f>pairs[[#This Row],[ Dist]]*5280</f>
        <v>74700.774720000001</v>
      </c>
      <c r="G819" s="232">
        <f>ROUND(pairs[[#This Row],[ Az]]-ROUNDDOWN(pairs[[#This Row],[ Az]],0),1)</f>
        <v>0</v>
      </c>
      <c r="H819" s="232">
        <f>ROUND(pairs[[#This Row],[ Back]]-ROUNDDOWN(pairs[[#This Row],[ Back]],0),1)</f>
        <v>0</v>
      </c>
      <c r="I819" s="232">
        <f>IF( OR( OR(pairs[[#This Row],[Az*]]=0, pairs[[#This Row],[Back*]]=0), OR(pairs[[#This Row],[Az*]]=1, pairs[[#This Row],[Back*]]=1)), 1, 0)</f>
        <v>1</v>
      </c>
      <c r="J819" s="232">
        <f>IF(OR(pairs[[#This Row],[Az*]]=0.5,pairs[[#This Row],[Back*]]=0.5),1,0)</f>
        <v>0</v>
      </c>
    </row>
    <row r="820" spans="1:10">
      <c r="A820" s="231" t="s">
        <v>124</v>
      </c>
      <c r="B820" s="231" t="s">
        <v>154</v>
      </c>
      <c r="C820" s="232"/>
      <c r="D820" s="232">
        <v>90.13</v>
      </c>
      <c r="E820" s="233">
        <v>7.0768079999999998</v>
      </c>
      <c r="F820" s="234">
        <f>pairs[[#This Row],[ Dist]]*5280</f>
        <v>37365.546239999996</v>
      </c>
      <c r="G820" s="232">
        <f>ROUND(pairs[[#This Row],[ Az]]-ROUNDDOWN(pairs[[#This Row],[ Az]],0),1)</f>
        <v>0</v>
      </c>
      <c r="H820" s="232">
        <f>ROUND(pairs[[#This Row],[ Back]]-ROUNDDOWN(pairs[[#This Row],[ Back]],0),1)</f>
        <v>0.1</v>
      </c>
      <c r="I820" s="232">
        <f>IF( OR( OR(pairs[[#This Row],[Az*]]=0, pairs[[#This Row],[Back*]]=0), OR(pairs[[#This Row],[Az*]]=1, pairs[[#This Row],[Back*]]=1)), 1, 0)</f>
        <v>1</v>
      </c>
      <c r="J820" s="232">
        <f>IF(OR(pairs[[#This Row],[Az*]]=0.5,pairs[[#This Row],[Back*]]=0.5),1,0)</f>
        <v>0</v>
      </c>
    </row>
    <row r="821" spans="1:10">
      <c r="A821" s="231" t="s">
        <v>165</v>
      </c>
      <c r="B821" s="231" t="s">
        <v>179</v>
      </c>
      <c r="C821" s="232"/>
      <c r="D821" s="232">
        <v>195.8</v>
      </c>
      <c r="E821" s="233">
        <v>2.3330769999999998</v>
      </c>
      <c r="F821" s="234">
        <f>pairs[[#This Row],[ Dist]]*5280</f>
        <v>12318.646559999999</v>
      </c>
      <c r="G821" s="232">
        <f>ROUND(pairs[[#This Row],[ Az]]-ROUNDDOWN(pairs[[#This Row],[ Az]],0),1)</f>
        <v>0</v>
      </c>
      <c r="H821" s="232">
        <f>ROUND(pairs[[#This Row],[ Back]]-ROUNDDOWN(pairs[[#This Row],[ Back]],0),1)</f>
        <v>0.8</v>
      </c>
      <c r="I821" s="232">
        <f>IF( OR( OR(pairs[[#This Row],[Az*]]=0, pairs[[#This Row],[Back*]]=0), OR(pairs[[#This Row],[Az*]]=1, pairs[[#This Row],[Back*]]=1)), 1, 0)</f>
        <v>1</v>
      </c>
      <c r="J821" s="232">
        <f>IF(OR(pairs[[#This Row],[Az*]]=0.5,pairs[[#This Row],[Back*]]=0.5),1,0)</f>
        <v>0</v>
      </c>
    </row>
    <row r="822" spans="1:10">
      <c r="A822" s="231" t="s">
        <v>165</v>
      </c>
      <c r="B822" s="231" t="s">
        <v>178</v>
      </c>
      <c r="C822" s="232"/>
      <c r="D822" s="232">
        <v>195.87</v>
      </c>
      <c r="E822" s="233">
        <v>2.4020519999999999</v>
      </c>
      <c r="F822" s="234">
        <f>pairs[[#This Row],[ Dist]]*5280</f>
        <v>12682.834559999999</v>
      </c>
      <c r="G822" s="232">
        <f>ROUND(pairs[[#This Row],[ Az]]-ROUNDDOWN(pairs[[#This Row],[ Az]],0),1)</f>
        <v>0</v>
      </c>
      <c r="H822" s="232">
        <f>ROUND(pairs[[#This Row],[ Back]]-ROUNDDOWN(pairs[[#This Row],[ Back]],0),1)</f>
        <v>0.9</v>
      </c>
      <c r="I822" s="232">
        <f>IF( OR( OR(pairs[[#This Row],[Az*]]=0, pairs[[#This Row],[Back*]]=0), OR(pairs[[#This Row],[Az*]]=1, pairs[[#This Row],[Back*]]=1)), 1, 0)</f>
        <v>1</v>
      </c>
      <c r="J822" s="232">
        <f>IF(OR(pairs[[#This Row],[Az*]]=0.5,pairs[[#This Row],[Back*]]=0.5),1,0)</f>
        <v>0</v>
      </c>
    </row>
    <row r="823" spans="1:10">
      <c r="A823" s="231" t="s">
        <v>165</v>
      </c>
      <c r="B823" s="231" t="s">
        <v>177</v>
      </c>
      <c r="C823" s="232"/>
      <c r="D823" s="232">
        <v>194.82</v>
      </c>
      <c r="E823" s="233">
        <v>2.391327</v>
      </c>
      <c r="F823" s="234">
        <f>pairs[[#This Row],[ Dist]]*5280</f>
        <v>12626.206560000001</v>
      </c>
      <c r="G823" s="232">
        <f>ROUND(pairs[[#This Row],[ Az]]-ROUNDDOWN(pairs[[#This Row],[ Az]],0),1)</f>
        <v>0</v>
      </c>
      <c r="H823" s="232">
        <f>ROUND(pairs[[#This Row],[ Back]]-ROUNDDOWN(pairs[[#This Row],[ Back]],0),1)</f>
        <v>0.8</v>
      </c>
      <c r="I823" s="232">
        <f>IF( OR( OR(pairs[[#This Row],[Az*]]=0, pairs[[#This Row],[Back*]]=0), OR(pairs[[#This Row],[Az*]]=1, pairs[[#This Row],[Back*]]=1)), 1, 0)</f>
        <v>1</v>
      </c>
      <c r="J823" s="232">
        <f>IF(OR(pairs[[#This Row],[Az*]]=0.5,pairs[[#This Row],[Back*]]=0.5),1,0)</f>
        <v>0</v>
      </c>
    </row>
    <row r="824" spans="1:10">
      <c r="A824" s="231" t="s">
        <v>165</v>
      </c>
      <c r="B824" s="231" t="s">
        <v>176</v>
      </c>
      <c r="C824" s="232"/>
      <c r="D824" s="232">
        <v>196.88</v>
      </c>
      <c r="E824" s="233">
        <v>2.2736489999999998</v>
      </c>
      <c r="F824" s="234">
        <f>pairs[[#This Row],[ Dist]]*5280</f>
        <v>12004.866719999998</v>
      </c>
      <c r="G824" s="232">
        <f>ROUND(pairs[[#This Row],[ Az]]-ROUNDDOWN(pairs[[#This Row],[ Az]],0),1)</f>
        <v>0</v>
      </c>
      <c r="H824" s="232">
        <f>ROUND(pairs[[#This Row],[ Back]]-ROUNDDOWN(pairs[[#This Row],[ Back]],0),1)</f>
        <v>0.9</v>
      </c>
      <c r="I824" s="232">
        <f>IF( OR( OR(pairs[[#This Row],[Az*]]=0, pairs[[#This Row],[Back*]]=0), OR(pairs[[#This Row],[Az*]]=1, pairs[[#This Row],[Back*]]=1)), 1, 0)</f>
        <v>1</v>
      </c>
      <c r="J824" s="232">
        <f>IF(OR(pairs[[#This Row],[Az*]]=0.5,pairs[[#This Row],[Back*]]=0.5),1,0)</f>
        <v>0</v>
      </c>
    </row>
    <row r="825" spans="1:10">
      <c r="A825" s="231" t="s">
        <v>165</v>
      </c>
      <c r="B825" s="231" t="s">
        <v>175</v>
      </c>
      <c r="C825" s="232"/>
      <c r="D825" s="232">
        <v>195.73</v>
      </c>
      <c r="E825" s="233">
        <v>2.2619419999999999</v>
      </c>
      <c r="F825" s="234">
        <f>pairs[[#This Row],[ Dist]]*5280</f>
        <v>11943.053759999999</v>
      </c>
      <c r="G825" s="232">
        <f>ROUND(pairs[[#This Row],[ Az]]-ROUNDDOWN(pairs[[#This Row],[ Az]],0),1)</f>
        <v>0</v>
      </c>
      <c r="H825" s="232">
        <f>ROUND(pairs[[#This Row],[ Back]]-ROUNDDOWN(pairs[[#This Row],[ Back]],0),1)</f>
        <v>0.7</v>
      </c>
      <c r="I825" s="232">
        <f>IF( OR( OR(pairs[[#This Row],[Az*]]=0, pairs[[#This Row],[Back*]]=0), OR(pairs[[#This Row],[Az*]]=1, pairs[[#This Row],[Back*]]=1)), 1, 0)</f>
        <v>1</v>
      </c>
      <c r="J825" s="232">
        <f>IF(OR(pairs[[#This Row],[Az*]]=0.5,pairs[[#This Row],[Back*]]=0.5),1,0)</f>
        <v>0</v>
      </c>
    </row>
    <row r="826" spans="1:10" ht="14.1">
      <c r="A826" s="206" t="s">
        <v>165</v>
      </c>
      <c r="B826" s="206" t="s">
        <v>174</v>
      </c>
      <c r="C826" s="235"/>
      <c r="D826" s="235">
        <v>194.47</v>
      </c>
      <c r="E826" s="236">
        <v>2.317437</v>
      </c>
      <c r="F826" s="237">
        <f>pairs[[#This Row],[ Dist]]*5280</f>
        <v>12236.067359999999</v>
      </c>
      <c r="G826" s="235">
        <f>ROUND(pairs[[#This Row],[ Az]]-ROUNDDOWN(pairs[[#This Row],[ Az]],0),1)</f>
        <v>0</v>
      </c>
      <c r="H826" s="235">
        <f>ROUND(pairs[[#This Row],[ Back]]-ROUNDDOWN(pairs[[#This Row],[ Back]],0),1)</f>
        <v>0.5</v>
      </c>
      <c r="I826" s="235">
        <f>IF( OR( OR(pairs[[#This Row],[Az*]]=0, pairs[[#This Row],[Back*]]=0), OR(pairs[[#This Row],[Az*]]=1, pairs[[#This Row],[Back*]]=1)), 1, 0)</f>
        <v>1</v>
      </c>
      <c r="J826" s="235">
        <f>IF(OR(pairs[[#This Row],[Az*]]=0.5,pairs[[#This Row],[Back*]]=0.5),1,0)</f>
        <v>1</v>
      </c>
    </row>
    <row r="827" spans="1:10">
      <c r="A827" s="231" t="s">
        <v>165</v>
      </c>
      <c r="B827" s="231" t="s">
        <v>173</v>
      </c>
      <c r="C827" s="232"/>
      <c r="D827" s="232">
        <v>191.28</v>
      </c>
      <c r="E827" s="233">
        <v>2.3470339999999998</v>
      </c>
      <c r="F827" s="234">
        <f>pairs[[#This Row],[ Dist]]*5280</f>
        <v>12392.33952</v>
      </c>
      <c r="G827" s="232">
        <f>ROUND(pairs[[#This Row],[ Az]]-ROUNDDOWN(pairs[[#This Row],[ Az]],0),1)</f>
        <v>0</v>
      </c>
      <c r="H827" s="232">
        <f>ROUND(pairs[[#This Row],[ Back]]-ROUNDDOWN(pairs[[#This Row],[ Back]],0),1)</f>
        <v>0.3</v>
      </c>
      <c r="I827" s="232">
        <f>IF( OR( OR(pairs[[#This Row],[Az*]]=0, pairs[[#This Row],[Back*]]=0), OR(pairs[[#This Row],[Az*]]=1, pairs[[#This Row],[Back*]]=1)), 1, 0)</f>
        <v>1</v>
      </c>
      <c r="J827" s="232">
        <f>IF(OR(pairs[[#This Row],[Az*]]=0.5,pairs[[#This Row],[Back*]]=0.5),1,0)</f>
        <v>0</v>
      </c>
    </row>
    <row r="828" spans="1:10">
      <c r="A828" s="231" t="s">
        <v>165</v>
      </c>
      <c r="B828" s="231" t="s">
        <v>172</v>
      </c>
      <c r="C828" s="232"/>
      <c r="D828" s="232">
        <v>191.84</v>
      </c>
      <c r="E828" s="233">
        <v>2.2344200000000001</v>
      </c>
      <c r="F828" s="234">
        <f>pairs[[#This Row],[ Dist]]*5280</f>
        <v>11797.7376</v>
      </c>
      <c r="G828" s="232">
        <f>ROUND(pairs[[#This Row],[ Az]]-ROUNDDOWN(pairs[[#This Row],[ Az]],0),1)</f>
        <v>0</v>
      </c>
      <c r="H828" s="232">
        <f>ROUND(pairs[[#This Row],[ Back]]-ROUNDDOWN(pairs[[#This Row],[ Back]],0),1)</f>
        <v>0.8</v>
      </c>
      <c r="I828" s="232">
        <f>IF( OR( OR(pairs[[#This Row],[Az*]]=0, pairs[[#This Row],[Back*]]=0), OR(pairs[[#This Row],[Az*]]=1, pairs[[#This Row],[Back*]]=1)), 1, 0)</f>
        <v>1</v>
      </c>
      <c r="J828" s="232">
        <f>IF(OR(pairs[[#This Row],[Az*]]=0.5,pairs[[#This Row],[Back*]]=0.5),1,0)</f>
        <v>0</v>
      </c>
    </row>
    <row r="829" spans="1:10">
      <c r="A829" s="231" t="s">
        <v>165</v>
      </c>
      <c r="B829" s="231" t="s">
        <v>171</v>
      </c>
      <c r="C829" s="232"/>
      <c r="D829" s="232">
        <v>196.19</v>
      </c>
      <c r="E829" s="233">
        <v>2.2889889999999999</v>
      </c>
      <c r="F829" s="234">
        <f>pairs[[#This Row],[ Dist]]*5280</f>
        <v>12085.861919999999</v>
      </c>
      <c r="G829" s="232">
        <f>ROUND(pairs[[#This Row],[ Az]]-ROUNDDOWN(pairs[[#This Row],[ Az]],0),1)</f>
        <v>0</v>
      </c>
      <c r="H829" s="232">
        <f>ROUND(pairs[[#This Row],[ Back]]-ROUNDDOWN(pairs[[#This Row],[ Back]],0),1)</f>
        <v>0.2</v>
      </c>
      <c r="I829" s="232">
        <f>IF( OR( OR(pairs[[#This Row],[Az*]]=0, pairs[[#This Row],[Back*]]=0), OR(pairs[[#This Row],[Az*]]=1, pairs[[#This Row],[Back*]]=1)), 1, 0)</f>
        <v>1</v>
      </c>
      <c r="J829" s="232">
        <f>IF(OR(pairs[[#This Row],[Az*]]=0.5,pairs[[#This Row],[Back*]]=0.5),1,0)</f>
        <v>0</v>
      </c>
    </row>
    <row r="830" spans="1:10">
      <c r="A830" s="231" t="s">
        <v>165</v>
      </c>
      <c r="B830" s="231" t="s">
        <v>170</v>
      </c>
      <c r="C830" s="232"/>
      <c r="D830" s="232">
        <v>195.44</v>
      </c>
      <c r="E830" s="233">
        <v>2.3948999999999998</v>
      </c>
      <c r="F830" s="234">
        <f>pairs[[#This Row],[ Dist]]*5280</f>
        <v>12645.071999999998</v>
      </c>
      <c r="G830" s="232">
        <f>ROUND(pairs[[#This Row],[ Az]]-ROUNDDOWN(pairs[[#This Row],[ Az]],0),1)</f>
        <v>0</v>
      </c>
      <c r="H830" s="232">
        <f>ROUND(pairs[[#This Row],[ Back]]-ROUNDDOWN(pairs[[#This Row],[ Back]],0),1)</f>
        <v>0.4</v>
      </c>
      <c r="I830" s="232">
        <f>IF( OR( OR(pairs[[#This Row],[Az*]]=0, pairs[[#This Row],[Back*]]=0), OR(pairs[[#This Row],[Az*]]=1, pairs[[#This Row],[Back*]]=1)), 1, 0)</f>
        <v>1</v>
      </c>
      <c r="J830" s="232">
        <f>IF(OR(pairs[[#This Row],[Az*]]=0.5,pairs[[#This Row],[Back*]]=0.5),1,0)</f>
        <v>0</v>
      </c>
    </row>
    <row r="831" spans="1:10">
      <c r="A831" s="231" t="s">
        <v>165</v>
      </c>
      <c r="B831" s="231" t="s">
        <v>169</v>
      </c>
      <c r="C831" s="232"/>
      <c r="D831" s="232">
        <v>195.9</v>
      </c>
      <c r="E831" s="233">
        <v>2.810565</v>
      </c>
      <c r="F831" s="234">
        <f>pairs[[#This Row],[ Dist]]*5280</f>
        <v>14839.7832</v>
      </c>
      <c r="G831" s="232">
        <f>ROUND(pairs[[#This Row],[ Az]]-ROUNDDOWN(pairs[[#This Row],[ Az]],0),1)</f>
        <v>0</v>
      </c>
      <c r="H831" s="232">
        <f>ROUND(pairs[[#This Row],[ Back]]-ROUNDDOWN(pairs[[#This Row],[ Back]],0),1)</f>
        <v>0.9</v>
      </c>
      <c r="I831" s="232">
        <f>IF( OR( OR(pairs[[#This Row],[Az*]]=0, pairs[[#This Row],[Back*]]=0), OR(pairs[[#This Row],[Az*]]=1, pairs[[#This Row],[Back*]]=1)), 1, 0)</f>
        <v>1</v>
      </c>
      <c r="J831" s="232">
        <f>IF(OR(pairs[[#This Row],[Az*]]=0.5,pairs[[#This Row],[Back*]]=0.5),1,0)</f>
        <v>0</v>
      </c>
    </row>
    <row r="832" spans="1:10">
      <c r="A832" s="231" t="s">
        <v>165</v>
      </c>
      <c r="B832" s="231" t="s">
        <v>168</v>
      </c>
      <c r="C832" s="232"/>
      <c r="D832" s="232">
        <v>221.6</v>
      </c>
      <c r="E832" s="233">
        <v>1.456844</v>
      </c>
      <c r="F832" s="234">
        <f>pairs[[#This Row],[ Dist]]*5280</f>
        <v>7692.1363200000005</v>
      </c>
      <c r="G832" s="232">
        <f>ROUND(pairs[[#This Row],[ Az]]-ROUNDDOWN(pairs[[#This Row],[ Az]],0),1)</f>
        <v>0</v>
      </c>
      <c r="H832" s="232">
        <f>ROUND(pairs[[#This Row],[ Back]]-ROUNDDOWN(pairs[[#This Row],[ Back]],0),1)</f>
        <v>0.6</v>
      </c>
      <c r="I832" s="232">
        <f>IF( OR( OR(pairs[[#This Row],[Az*]]=0, pairs[[#This Row],[Back*]]=0), OR(pairs[[#This Row],[Az*]]=1, pairs[[#This Row],[Back*]]=1)), 1, 0)</f>
        <v>1</v>
      </c>
      <c r="J832" s="232">
        <f>IF(OR(pairs[[#This Row],[Az*]]=0.5,pairs[[#This Row],[Back*]]=0.5),1,0)</f>
        <v>0</v>
      </c>
    </row>
    <row r="833" spans="1:10">
      <c r="A833" s="231" t="s">
        <v>165</v>
      </c>
      <c r="B833" s="231" t="s">
        <v>167</v>
      </c>
      <c r="C833" s="232"/>
      <c r="D833" s="232">
        <v>198.76</v>
      </c>
      <c r="E833" s="233">
        <v>0.77318500000000001</v>
      </c>
      <c r="F833" s="234">
        <f>pairs[[#This Row],[ Dist]]*5280</f>
        <v>4082.4168</v>
      </c>
      <c r="G833" s="232">
        <f>ROUND(pairs[[#This Row],[ Az]]-ROUNDDOWN(pairs[[#This Row],[ Az]],0),1)</f>
        <v>0</v>
      </c>
      <c r="H833" s="232">
        <f>ROUND(pairs[[#This Row],[ Back]]-ROUNDDOWN(pairs[[#This Row],[ Back]],0),1)</f>
        <v>0.8</v>
      </c>
      <c r="I833" s="232">
        <f>IF( OR( OR(pairs[[#This Row],[Az*]]=0, pairs[[#This Row],[Back*]]=0), OR(pairs[[#This Row],[Az*]]=1, pairs[[#This Row],[Back*]]=1)), 1, 0)</f>
        <v>1</v>
      </c>
      <c r="J833" s="232">
        <f>IF(OR(pairs[[#This Row],[Az*]]=0.5,pairs[[#This Row],[Back*]]=0.5),1,0)</f>
        <v>0</v>
      </c>
    </row>
    <row r="834" spans="1:10">
      <c r="A834" s="231" t="s">
        <v>165</v>
      </c>
      <c r="B834" s="231" t="s">
        <v>166</v>
      </c>
      <c r="C834" s="232"/>
      <c r="D834" s="232">
        <v>195.68</v>
      </c>
      <c r="E834" s="233">
        <v>1.713015</v>
      </c>
      <c r="F834" s="234">
        <f>pairs[[#This Row],[ Dist]]*5280</f>
        <v>9044.7191999999995</v>
      </c>
      <c r="G834" s="232">
        <f>ROUND(pairs[[#This Row],[ Az]]-ROUNDDOWN(pairs[[#This Row],[ Az]],0),1)</f>
        <v>0</v>
      </c>
      <c r="H834" s="232">
        <f>ROUND(pairs[[#This Row],[ Back]]-ROUNDDOWN(pairs[[#This Row],[ Back]],0),1)</f>
        <v>0.7</v>
      </c>
      <c r="I834" s="232">
        <f>IF( OR( OR(pairs[[#This Row],[Az*]]=0, pairs[[#This Row],[Back*]]=0), OR(pairs[[#This Row],[Az*]]=1, pairs[[#This Row],[Back*]]=1)), 1, 0)</f>
        <v>1</v>
      </c>
      <c r="J834" s="232">
        <f>IF(OR(pairs[[#This Row],[Az*]]=0.5,pairs[[#This Row],[Back*]]=0.5),1,0)</f>
        <v>0</v>
      </c>
    </row>
    <row r="835" spans="1:10">
      <c r="A835" s="231" t="s">
        <v>180</v>
      </c>
      <c r="B835" s="231" t="s">
        <v>179</v>
      </c>
      <c r="C835" s="232"/>
      <c r="D835" s="232">
        <v>196.15</v>
      </c>
      <c r="E835" s="233">
        <v>0.62007699999999999</v>
      </c>
      <c r="F835" s="234">
        <f>pairs[[#This Row],[ Dist]]*5280</f>
        <v>3274.0065599999998</v>
      </c>
      <c r="G835" s="232">
        <f>ROUND(pairs[[#This Row],[ Az]]-ROUNDDOWN(pairs[[#This Row],[ Az]],0),1)</f>
        <v>0</v>
      </c>
      <c r="H835" s="232">
        <f>ROUND(pairs[[#This Row],[ Back]]-ROUNDDOWN(pairs[[#This Row],[ Back]],0),1)</f>
        <v>0.2</v>
      </c>
      <c r="I835" s="232">
        <f>IF( OR( OR(pairs[[#This Row],[Az*]]=0, pairs[[#This Row],[Back*]]=0), OR(pairs[[#This Row],[Az*]]=1, pairs[[#This Row],[Back*]]=1)), 1, 0)</f>
        <v>1</v>
      </c>
      <c r="J835" s="232">
        <f>IF(OR(pairs[[#This Row],[Az*]]=0.5,pairs[[#This Row],[Back*]]=0.5),1,0)</f>
        <v>0</v>
      </c>
    </row>
    <row r="836" spans="1:10">
      <c r="A836" s="231" t="s">
        <v>180</v>
      </c>
      <c r="B836" s="231" t="s">
        <v>178</v>
      </c>
      <c r="C836" s="232"/>
      <c r="D836" s="232">
        <v>196.35</v>
      </c>
      <c r="E836" s="233">
        <v>0.68907099999999999</v>
      </c>
      <c r="F836" s="234">
        <f>pairs[[#This Row],[ Dist]]*5280</f>
        <v>3638.2948799999999</v>
      </c>
      <c r="G836" s="232">
        <f>ROUND(pairs[[#This Row],[ Az]]-ROUNDDOWN(pairs[[#This Row],[ Az]],0),1)</f>
        <v>0</v>
      </c>
      <c r="H836" s="232">
        <f>ROUND(pairs[[#This Row],[ Back]]-ROUNDDOWN(pairs[[#This Row],[ Back]],0),1)</f>
        <v>0.3</v>
      </c>
      <c r="I836" s="232">
        <f>IF( OR( OR(pairs[[#This Row],[Az*]]=0, pairs[[#This Row],[Back*]]=0), OR(pairs[[#This Row],[Az*]]=1, pairs[[#This Row],[Back*]]=1)), 1, 0)</f>
        <v>1</v>
      </c>
      <c r="J836" s="232">
        <f>IF(OR(pairs[[#This Row],[Az*]]=0.5,pairs[[#This Row],[Back*]]=0.5),1,0)</f>
        <v>0</v>
      </c>
    </row>
    <row r="837" spans="1:10">
      <c r="A837" s="231" t="s">
        <v>180</v>
      </c>
      <c r="B837" s="231" t="s">
        <v>177</v>
      </c>
      <c r="C837" s="232"/>
      <c r="D837" s="232">
        <v>192.64</v>
      </c>
      <c r="E837" s="233">
        <v>0.67899699999999996</v>
      </c>
      <c r="F837" s="234">
        <f>pairs[[#This Row],[ Dist]]*5280</f>
        <v>3585.1041599999999</v>
      </c>
      <c r="G837" s="232">
        <f>ROUND(pairs[[#This Row],[ Az]]-ROUNDDOWN(pairs[[#This Row],[ Az]],0),1)</f>
        <v>0</v>
      </c>
      <c r="H837" s="232">
        <f>ROUND(pairs[[#This Row],[ Back]]-ROUNDDOWN(pairs[[#This Row],[ Back]],0),1)</f>
        <v>0.6</v>
      </c>
      <c r="I837" s="232">
        <f>IF( OR( OR(pairs[[#This Row],[Az*]]=0, pairs[[#This Row],[Back*]]=0), OR(pairs[[#This Row],[Az*]]=1, pairs[[#This Row],[Back*]]=1)), 1, 0)</f>
        <v>1</v>
      </c>
      <c r="J837" s="232">
        <f>IF(OR(pairs[[#This Row],[Az*]]=0.5,pairs[[#This Row],[Back*]]=0.5),1,0)</f>
        <v>0</v>
      </c>
    </row>
    <row r="838" spans="1:10" ht="14.1">
      <c r="A838" s="206" t="s">
        <v>180</v>
      </c>
      <c r="B838" s="206" t="s">
        <v>176</v>
      </c>
      <c r="C838" s="235"/>
      <c r="D838" s="235">
        <v>200.52</v>
      </c>
      <c r="E838" s="236">
        <v>0.56213999999999997</v>
      </c>
      <c r="F838" s="237">
        <f>pairs[[#This Row],[ Dist]]*5280</f>
        <v>2968.0991999999997</v>
      </c>
      <c r="G838" s="235">
        <f>ROUND(pairs[[#This Row],[ Az]]-ROUNDDOWN(pairs[[#This Row],[ Az]],0),1)</f>
        <v>0</v>
      </c>
      <c r="H838" s="235">
        <f>ROUND(pairs[[#This Row],[ Back]]-ROUNDDOWN(pairs[[#This Row],[ Back]],0),1)</f>
        <v>0.5</v>
      </c>
      <c r="I838" s="235">
        <f>IF( OR( OR(pairs[[#This Row],[Az*]]=0, pairs[[#This Row],[Back*]]=0), OR(pairs[[#This Row],[Az*]]=1, pairs[[#This Row],[Back*]]=1)), 1, 0)</f>
        <v>1</v>
      </c>
      <c r="J838" s="235">
        <f>IF(OR(pairs[[#This Row],[Az*]]=0.5,pairs[[#This Row],[Back*]]=0.5),1,0)</f>
        <v>1</v>
      </c>
    </row>
    <row r="839" spans="1:10">
      <c r="A839" s="231" t="s">
        <v>180</v>
      </c>
      <c r="B839" s="231" t="s">
        <v>175</v>
      </c>
      <c r="C839" s="232"/>
      <c r="D839" s="232">
        <v>195.88</v>
      </c>
      <c r="E839" s="233">
        <v>0.54893000000000003</v>
      </c>
      <c r="F839" s="234">
        <f>pairs[[#This Row],[ Dist]]*5280</f>
        <v>2898.3504000000003</v>
      </c>
      <c r="G839" s="232">
        <f>ROUND(pairs[[#This Row],[ Az]]-ROUNDDOWN(pairs[[#This Row],[ Az]],0),1)</f>
        <v>0</v>
      </c>
      <c r="H839" s="232">
        <f>ROUND(pairs[[#This Row],[ Back]]-ROUNDDOWN(pairs[[#This Row],[ Back]],0),1)</f>
        <v>0.9</v>
      </c>
      <c r="I839" s="232">
        <f>IF( OR( OR(pairs[[#This Row],[Az*]]=0, pairs[[#This Row],[Back*]]=0), OR(pairs[[#This Row],[Az*]]=1, pairs[[#This Row],[Back*]]=1)), 1, 0)</f>
        <v>1</v>
      </c>
      <c r="J839" s="232">
        <f>IF(OR(pairs[[#This Row],[Az*]]=0.5,pairs[[#This Row],[Back*]]=0.5),1,0)</f>
        <v>0</v>
      </c>
    </row>
    <row r="840" spans="1:10">
      <c r="A840" s="231" t="s">
        <v>180</v>
      </c>
      <c r="B840" s="231" t="s">
        <v>174</v>
      </c>
      <c r="C840" s="232"/>
      <c r="D840" s="232">
        <v>191.05</v>
      </c>
      <c r="E840" s="233">
        <v>0.60588200000000003</v>
      </c>
      <c r="F840" s="234">
        <f>pairs[[#This Row],[ Dist]]*5280</f>
        <v>3199.0569600000003</v>
      </c>
      <c r="G840" s="232">
        <f>ROUND(pairs[[#This Row],[ Az]]-ROUNDDOWN(pairs[[#This Row],[ Az]],0),1)</f>
        <v>0</v>
      </c>
      <c r="H840" s="232">
        <f>ROUND(pairs[[#This Row],[ Back]]-ROUNDDOWN(pairs[[#This Row],[ Back]],0),1)</f>
        <v>0.1</v>
      </c>
      <c r="I840" s="232">
        <f>IF( OR( OR(pairs[[#This Row],[Az*]]=0, pairs[[#This Row],[Back*]]=0), OR(pairs[[#This Row],[Az*]]=1, pairs[[#This Row],[Back*]]=1)), 1, 0)</f>
        <v>1</v>
      </c>
      <c r="J840" s="232">
        <f>IF(OR(pairs[[#This Row],[Az*]]=0.5,pairs[[#This Row],[Back*]]=0.5),1,0)</f>
        <v>0</v>
      </c>
    </row>
    <row r="841" spans="1:10">
      <c r="A841" s="231" t="s">
        <v>180</v>
      </c>
      <c r="B841" s="231" t="s">
        <v>173</v>
      </c>
      <c r="C841" s="232"/>
      <c r="D841" s="232">
        <v>179.66</v>
      </c>
      <c r="E841" s="233">
        <v>0.65242999999999995</v>
      </c>
      <c r="F841" s="234">
        <f>pairs[[#This Row],[ Dist]]*5280</f>
        <v>3444.8303999999998</v>
      </c>
      <c r="G841" s="232">
        <f>ROUND(pairs[[#This Row],[ Az]]-ROUNDDOWN(pairs[[#This Row],[ Az]],0),1)</f>
        <v>0</v>
      </c>
      <c r="H841" s="232">
        <f>ROUND(pairs[[#This Row],[ Back]]-ROUNDDOWN(pairs[[#This Row],[ Back]],0),1)</f>
        <v>0.7</v>
      </c>
      <c r="I841" s="232">
        <f>IF( OR( OR(pairs[[#This Row],[Az*]]=0, pairs[[#This Row],[Back*]]=0), OR(pairs[[#This Row],[Az*]]=1, pairs[[#This Row],[Back*]]=1)), 1, 0)</f>
        <v>1</v>
      </c>
      <c r="J841" s="232">
        <f>IF(OR(pairs[[#This Row],[Az*]]=0.5,pairs[[#This Row],[Back*]]=0.5),1,0)</f>
        <v>0</v>
      </c>
    </row>
    <row r="842" spans="1:10" ht="14.1">
      <c r="A842" s="206" t="s">
        <v>180</v>
      </c>
      <c r="B842" s="206" t="s">
        <v>172</v>
      </c>
      <c r="C842" s="235"/>
      <c r="D842" s="235">
        <v>179.54</v>
      </c>
      <c r="E842" s="236">
        <v>0.53759699999999999</v>
      </c>
      <c r="F842" s="237">
        <f>pairs[[#This Row],[ Dist]]*5280</f>
        <v>2838.5121599999998</v>
      </c>
      <c r="G842" s="235">
        <f>ROUND(pairs[[#This Row],[ Az]]-ROUNDDOWN(pairs[[#This Row],[ Az]],0),1)</f>
        <v>0</v>
      </c>
      <c r="H842" s="235">
        <f>ROUND(pairs[[#This Row],[ Back]]-ROUNDDOWN(pairs[[#This Row],[ Back]],0),1)</f>
        <v>0.5</v>
      </c>
      <c r="I842" s="235">
        <f>IF( OR( OR(pairs[[#This Row],[Az*]]=0, pairs[[#This Row],[Back*]]=0), OR(pairs[[#This Row],[Az*]]=1, pairs[[#This Row],[Back*]]=1)), 1, 0)</f>
        <v>1</v>
      </c>
      <c r="J842" s="235">
        <f>IF(OR(pairs[[#This Row],[Az*]]=0.5,pairs[[#This Row],[Back*]]=0.5),1,0)</f>
        <v>1</v>
      </c>
    </row>
    <row r="843" spans="1:10">
      <c r="A843" s="231" t="s">
        <v>180</v>
      </c>
      <c r="B843" s="231" t="s">
        <v>171</v>
      </c>
      <c r="C843" s="232"/>
      <c r="D843" s="232">
        <v>197.69</v>
      </c>
      <c r="E843" s="233">
        <v>0.57623899999999995</v>
      </c>
      <c r="F843" s="234">
        <f>pairs[[#This Row],[ Dist]]*5280</f>
        <v>3042.5419199999997</v>
      </c>
      <c r="G843" s="232">
        <f>ROUND(pairs[[#This Row],[ Az]]-ROUNDDOWN(pairs[[#This Row],[ Az]],0),1)</f>
        <v>0</v>
      </c>
      <c r="H843" s="232">
        <f>ROUND(pairs[[#This Row],[ Back]]-ROUNDDOWN(pairs[[#This Row],[ Back]],0),1)</f>
        <v>0.7</v>
      </c>
      <c r="I843" s="232">
        <f>IF( OR( OR(pairs[[#This Row],[Az*]]=0, pairs[[#This Row],[Back*]]=0), OR(pairs[[#This Row],[Az*]]=1, pairs[[#This Row],[Back*]]=1)), 1, 0)</f>
        <v>1</v>
      </c>
      <c r="J843" s="232">
        <f>IF(OR(pairs[[#This Row],[Az*]]=0.5,pairs[[#This Row],[Back*]]=0.5),1,0)</f>
        <v>0</v>
      </c>
    </row>
    <row r="844" spans="1:10">
      <c r="A844" s="231" t="s">
        <v>180</v>
      </c>
      <c r="B844" s="231" t="s">
        <v>170</v>
      </c>
      <c r="C844" s="232"/>
      <c r="D844" s="232">
        <v>194.84</v>
      </c>
      <c r="E844" s="233">
        <v>0.68193800000000004</v>
      </c>
      <c r="F844" s="234">
        <f>pairs[[#This Row],[ Dist]]*5280</f>
        <v>3600.6326400000003</v>
      </c>
      <c r="G844" s="232">
        <f>ROUND(pairs[[#This Row],[ Az]]-ROUNDDOWN(pairs[[#This Row],[ Az]],0),1)</f>
        <v>0</v>
      </c>
      <c r="H844" s="232">
        <f>ROUND(pairs[[#This Row],[ Back]]-ROUNDDOWN(pairs[[#This Row],[ Back]],0),1)</f>
        <v>0.8</v>
      </c>
      <c r="I844" s="232">
        <f>IF( OR( OR(pairs[[#This Row],[Az*]]=0, pairs[[#This Row],[Back*]]=0), OR(pairs[[#This Row],[Az*]]=1, pairs[[#This Row],[Back*]]=1)), 1, 0)</f>
        <v>1</v>
      </c>
      <c r="J844" s="232">
        <f>IF(OR(pairs[[#This Row],[Az*]]=0.5,pairs[[#This Row],[Back*]]=0.5),1,0)</f>
        <v>0</v>
      </c>
    </row>
    <row r="845" spans="1:10">
      <c r="A845" s="231" t="s">
        <v>180</v>
      </c>
      <c r="B845" s="231" t="s">
        <v>169</v>
      </c>
      <c r="C845" s="232"/>
      <c r="D845" s="232">
        <v>196.24</v>
      </c>
      <c r="E845" s="233">
        <v>1.0975809999999999</v>
      </c>
      <c r="F845" s="234">
        <f>pairs[[#This Row],[ Dist]]*5280</f>
        <v>5795.22768</v>
      </c>
      <c r="G845" s="232">
        <f>ROUND(pairs[[#This Row],[ Az]]-ROUNDDOWN(pairs[[#This Row],[ Az]],0),1)</f>
        <v>0</v>
      </c>
      <c r="H845" s="232">
        <f>ROUND(pairs[[#This Row],[ Back]]-ROUNDDOWN(pairs[[#This Row],[ Back]],0),1)</f>
        <v>0.2</v>
      </c>
      <c r="I845" s="232">
        <f>IF( OR( OR(pairs[[#This Row],[Az*]]=0, pairs[[#This Row],[Back*]]=0), OR(pairs[[#This Row],[Az*]]=1, pairs[[#This Row],[Back*]]=1)), 1, 0)</f>
        <v>1</v>
      </c>
      <c r="J845" s="232">
        <f>IF(OR(pairs[[#This Row],[Az*]]=0.5,pairs[[#This Row],[Back*]]=0.5),1,0)</f>
        <v>0</v>
      </c>
    </row>
    <row r="846" spans="1:10" ht="14.1">
      <c r="A846" s="23" t="s">
        <v>180</v>
      </c>
      <c r="B846" s="23" t="s">
        <v>168</v>
      </c>
      <c r="C846" s="229"/>
      <c r="D846" s="229">
        <v>317.99</v>
      </c>
      <c r="E846" s="25">
        <v>0.75342900000000002</v>
      </c>
      <c r="F846" s="230">
        <f>pairs[[#This Row],[ Dist]]*5280</f>
        <v>3978.1051200000002</v>
      </c>
      <c r="G846" s="232">
        <f>ROUND(pairs[[#This Row],[ Az]]-ROUNDDOWN(pairs[[#This Row],[ Az]],0),1)</f>
        <v>0</v>
      </c>
      <c r="H846" s="232">
        <f>ROUND(pairs[[#This Row],[ Back]]-ROUNDDOWN(pairs[[#This Row],[ Back]],0),1)</f>
        <v>1</v>
      </c>
      <c r="I846" s="232">
        <f>IF( OR( OR(pairs[[#This Row],[Az*]]=0, pairs[[#This Row],[Back*]]=0), OR(pairs[[#This Row],[Az*]]=1, pairs[[#This Row],[Back*]]=1)), 1, 0)</f>
        <v>1</v>
      </c>
      <c r="J846" s="232">
        <f>IF(OR(pairs[[#This Row],[Az*]]=0.5,pairs[[#This Row],[Back*]]=0.5),1,0)</f>
        <v>0</v>
      </c>
    </row>
    <row r="847" spans="1:10">
      <c r="A847" s="231" t="s">
        <v>180</v>
      </c>
      <c r="B847" s="231" t="s">
        <v>167</v>
      </c>
      <c r="C847" s="232"/>
      <c r="D847" s="232">
        <v>13.14</v>
      </c>
      <c r="E847" s="233">
        <v>0.94187100000000001</v>
      </c>
      <c r="F847" s="234">
        <f>pairs[[#This Row],[ Dist]]*5280</f>
        <v>4973.07888</v>
      </c>
      <c r="G847" s="232">
        <f>ROUND(pairs[[#This Row],[ Az]]-ROUNDDOWN(pairs[[#This Row],[ Az]],0),1)</f>
        <v>0</v>
      </c>
      <c r="H847" s="232">
        <f>ROUND(pairs[[#This Row],[ Back]]-ROUNDDOWN(pairs[[#This Row],[ Back]],0),1)</f>
        <v>0.1</v>
      </c>
      <c r="I847" s="232">
        <f>IF( OR( OR(pairs[[#This Row],[Az*]]=0, pairs[[#This Row],[Back*]]=0), OR(pairs[[#This Row],[Az*]]=1, pairs[[#This Row],[Back*]]=1)), 1, 0)</f>
        <v>1</v>
      </c>
      <c r="J847" s="232">
        <f>IF(OR(pairs[[#This Row],[Az*]]=0.5,pairs[[#This Row],[Back*]]=0.5),1,0)</f>
        <v>0</v>
      </c>
    </row>
    <row r="848" spans="1:10">
      <c r="A848" s="231" t="s">
        <v>180</v>
      </c>
      <c r="B848" s="231" t="s">
        <v>181</v>
      </c>
      <c r="C848" s="232"/>
      <c r="D848" s="232">
        <v>15.67</v>
      </c>
      <c r="E848" s="233">
        <v>1.713015</v>
      </c>
      <c r="F848" s="234">
        <f>pairs[[#This Row],[ Dist]]*5280</f>
        <v>9044.7191999999995</v>
      </c>
      <c r="G848" s="232">
        <f>ROUND(pairs[[#This Row],[ Az]]-ROUNDDOWN(pairs[[#This Row],[ Az]],0),1)</f>
        <v>0</v>
      </c>
      <c r="H848" s="232">
        <f>ROUND(pairs[[#This Row],[ Back]]-ROUNDDOWN(pairs[[#This Row],[ Back]],0),1)</f>
        <v>0.7</v>
      </c>
      <c r="I848" s="232">
        <f>IF( OR( OR(pairs[[#This Row],[Az*]]=0, pairs[[#This Row],[Back*]]=0), OR(pairs[[#This Row],[Az*]]=1, pairs[[#This Row],[Back*]]=1)), 1, 0)</f>
        <v>1</v>
      </c>
      <c r="J848" s="232">
        <f>IF(OR(pairs[[#This Row],[Az*]]=0.5,pairs[[#This Row],[Back*]]=0.5),1,0)</f>
        <v>0</v>
      </c>
    </row>
    <row r="849" spans="1:10">
      <c r="A849" s="231" t="s">
        <v>182</v>
      </c>
      <c r="B849" s="231" t="s">
        <v>179</v>
      </c>
      <c r="C849" s="232"/>
      <c r="D849" s="232">
        <v>194.34</v>
      </c>
      <c r="E849" s="233">
        <v>1.561436</v>
      </c>
      <c r="F849" s="234">
        <f>pairs[[#This Row],[ Dist]]*5280</f>
        <v>8244.3820799999994</v>
      </c>
      <c r="G849" s="232">
        <f>ROUND(pairs[[#This Row],[ Az]]-ROUNDDOWN(pairs[[#This Row],[ Az]],0),1)</f>
        <v>0</v>
      </c>
      <c r="H849" s="232">
        <f>ROUND(pairs[[#This Row],[ Back]]-ROUNDDOWN(pairs[[#This Row],[ Back]],0),1)</f>
        <v>0.3</v>
      </c>
      <c r="I849" s="232">
        <f>IF( OR( OR(pairs[[#This Row],[Az*]]=0, pairs[[#This Row],[Back*]]=0), OR(pairs[[#This Row],[Az*]]=1, pairs[[#This Row],[Back*]]=1)), 1, 0)</f>
        <v>1</v>
      </c>
      <c r="J849" s="232">
        <f>IF(OR(pairs[[#This Row],[Az*]]=0.5,pairs[[#This Row],[Back*]]=0.5),1,0)</f>
        <v>0</v>
      </c>
    </row>
    <row r="850" spans="1:10" ht="14.1">
      <c r="A850" s="206" t="s">
        <v>182</v>
      </c>
      <c r="B850" s="206" t="s">
        <v>178</v>
      </c>
      <c r="C850" s="235"/>
      <c r="D850" s="235">
        <v>194.5</v>
      </c>
      <c r="E850" s="236">
        <v>1.6303209999999999</v>
      </c>
      <c r="F850" s="237">
        <f>pairs[[#This Row],[ Dist]]*5280</f>
        <v>8608.0948799999987</v>
      </c>
      <c r="G850" s="235">
        <f>ROUND(pairs[[#This Row],[ Az]]-ROUNDDOWN(pairs[[#This Row],[ Az]],0),1)</f>
        <v>0</v>
      </c>
      <c r="H850" s="235">
        <f>ROUND(pairs[[#This Row],[ Back]]-ROUNDDOWN(pairs[[#This Row],[ Back]],0),1)</f>
        <v>0.5</v>
      </c>
      <c r="I850" s="235">
        <f>IF( OR( OR(pairs[[#This Row],[Az*]]=0, pairs[[#This Row],[Back*]]=0), OR(pairs[[#This Row],[Az*]]=1, pairs[[#This Row],[Back*]]=1)), 1, 0)</f>
        <v>1</v>
      </c>
      <c r="J850" s="235">
        <f>IF(OR(pairs[[#This Row],[Az*]]=0.5,pairs[[#This Row],[Back*]]=0.5),1,0)</f>
        <v>1</v>
      </c>
    </row>
    <row r="851" spans="1:10">
      <c r="A851" s="231" t="s">
        <v>182</v>
      </c>
      <c r="B851" s="231" t="s">
        <v>177</v>
      </c>
      <c r="C851" s="232"/>
      <c r="D851" s="232">
        <v>192.93</v>
      </c>
      <c r="E851" s="233">
        <v>1.6208530000000001</v>
      </c>
      <c r="F851" s="234">
        <f>pairs[[#This Row],[ Dist]]*5280</f>
        <v>8558.1038399999998</v>
      </c>
      <c r="G851" s="232">
        <f>ROUND(pairs[[#This Row],[ Az]]-ROUNDDOWN(pairs[[#This Row],[ Az]],0),1)</f>
        <v>0</v>
      </c>
      <c r="H851" s="232">
        <f>ROUND(pairs[[#This Row],[ Back]]-ROUNDDOWN(pairs[[#This Row],[ Back]],0),1)</f>
        <v>0.9</v>
      </c>
      <c r="I851" s="232">
        <f>IF( OR( OR(pairs[[#This Row],[Az*]]=0, pairs[[#This Row],[Back*]]=0), OR(pairs[[#This Row],[Az*]]=1, pairs[[#This Row],[Back*]]=1)), 1, 0)</f>
        <v>1</v>
      </c>
      <c r="J851" s="232">
        <f>IF(OR(pairs[[#This Row],[Az*]]=0.5,pairs[[#This Row],[Back*]]=0.5),1,0)</f>
        <v>0</v>
      </c>
    </row>
    <row r="852" spans="1:10">
      <c r="A852" s="231" t="s">
        <v>182</v>
      </c>
      <c r="B852" s="231" t="s">
        <v>176</v>
      </c>
      <c r="C852" s="232"/>
      <c r="D852" s="232">
        <v>195.9</v>
      </c>
      <c r="E852" s="233">
        <v>1.5011019999999999</v>
      </c>
      <c r="F852" s="234">
        <f>pairs[[#This Row],[ Dist]]*5280</f>
        <v>7925.8185599999997</v>
      </c>
      <c r="G852" s="232">
        <f>ROUND(pairs[[#This Row],[ Az]]-ROUNDDOWN(pairs[[#This Row],[ Az]],0),1)</f>
        <v>0</v>
      </c>
      <c r="H852" s="232">
        <f>ROUND(pairs[[#This Row],[ Back]]-ROUNDDOWN(pairs[[#This Row],[ Back]],0),1)</f>
        <v>0.9</v>
      </c>
      <c r="I852" s="232">
        <f>IF( OR( OR(pairs[[#This Row],[Az*]]=0, pairs[[#This Row],[Back*]]=0), OR(pairs[[#This Row],[Az*]]=1, pairs[[#This Row],[Back*]]=1)), 1, 0)</f>
        <v>1</v>
      </c>
      <c r="J852" s="232">
        <f>IF(OR(pairs[[#This Row],[Az*]]=0.5,pairs[[#This Row],[Back*]]=0.5),1,0)</f>
        <v>0</v>
      </c>
    </row>
    <row r="853" spans="1:10">
      <c r="A853" s="231" t="s">
        <v>182</v>
      </c>
      <c r="B853" s="231" t="s">
        <v>175</v>
      </c>
      <c r="C853" s="232"/>
      <c r="D853" s="232">
        <v>194.15</v>
      </c>
      <c r="E853" s="233">
        <v>1.4904059999999999</v>
      </c>
      <c r="F853" s="234">
        <f>pairs[[#This Row],[ Dist]]*5280</f>
        <v>7869.343679999999</v>
      </c>
      <c r="G853" s="232">
        <f>ROUND(pairs[[#This Row],[ Az]]-ROUNDDOWN(pairs[[#This Row],[ Az]],0),1)</f>
        <v>0</v>
      </c>
      <c r="H853" s="232">
        <f>ROUND(pairs[[#This Row],[ Back]]-ROUNDDOWN(pairs[[#This Row],[ Back]],0),1)</f>
        <v>0.2</v>
      </c>
      <c r="I853" s="232">
        <f>IF( OR( OR(pairs[[#This Row],[Az*]]=0, pairs[[#This Row],[Back*]]=0), OR(pairs[[#This Row],[Az*]]=1, pairs[[#This Row],[Back*]]=1)), 1, 0)</f>
        <v>1</v>
      </c>
      <c r="J853" s="232">
        <f>IF(OR(pairs[[#This Row],[Az*]]=0.5,pairs[[#This Row],[Back*]]=0.5),1,0)</f>
        <v>0</v>
      </c>
    </row>
    <row r="854" spans="1:10">
      <c r="A854" s="231" t="s">
        <v>182</v>
      </c>
      <c r="B854" s="231" t="s">
        <v>174</v>
      </c>
      <c r="C854" s="232"/>
      <c r="D854" s="232">
        <v>192.33</v>
      </c>
      <c r="E854" s="233">
        <v>1.547506</v>
      </c>
      <c r="F854" s="234">
        <f>pairs[[#This Row],[ Dist]]*5280</f>
        <v>8170.8316800000002</v>
      </c>
      <c r="G854" s="232">
        <f>ROUND(pairs[[#This Row],[ Az]]-ROUNDDOWN(pairs[[#This Row],[ Az]],0),1)</f>
        <v>0</v>
      </c>
      <c r="H854" s="232">
        <f>ROUND(pairs[[#This Row],[ Back]]-ROUNDDOWN(pairs[[#This Row],[ Back]],0),1)</f>
        <v>0.3</v>
      </c>
      <c r="I854" s="232">
        <f>IF( OR( OR(pairs[[#This Row],[Az*]]=0, pairs[[#This Row],[Back*]]=0), OR(pairs[[#This Row],[Az*]]=1, pairs[[#This Row],[Back*]]=1)), 1, 0)</f>
        <v>1</v>
      </c>
      <c r="J854" s="232">
        <f>IF(OR(pairs[[#This Row],[Az*]]=0.5,pairs[[#This Row],[Back*]]=0.5),1,0)</f>
        <v>0</v>
      </c>
    </row>
    <row r="855" spans="1:10">
      <c r="A855" s="231" t="s">
        <v>182</v>
      </c>
      <c r="B855" s="231" t="s">
        <v>173</v>
      </c>
      <c r="C855" s="232"/>
      <c r="D855" s="232">
        <v>187.63</v>
      </c>
      <c r="E855" s="233">
        <v>1.5836429999999999</v>
      </c>
      <c r="F855" s="234">
        <f>pairs[[#This Row],[ Dist]]*5280</f>
        <v>8361.6350399999992</v>
      </c>
      <c r="G855" s="232">
        <f>ROUND(pairs[[#This Row],[ Az]]-ROUNDDOWN(pairs[[#This Row],[ Az]],0),1)</f>
        <v>0</v>
      </c>
      <c r="H855" s="232">
        <f>ROUND(pairs[[#This Row],[ Back]]-ROUNDDOWN(pairs[[#This Row],[ Back]],0),1)</f>
        <v>0.6</v>
      </c>
      <c r="I855" s="232">
        <f>IF( OR( OR(pairs[[#This Row],[Az*]]=0, pairs[[#This Row],[Back*]]=0), OR(pairs[[#This Row],[Az*]]=1, pairs[[#This Row],[Back*]]=1)), 1, 0)</f>
        <v>1</v>
      </c>
      <c r="J855" s="232">
        <f>IF(OR(pairs[[#This Row],[Az*]]=0.5,pairs[[#This Row],[Back*]]=0.5),1,0)</f>
        <v>0</v>
      </c>
    </row>
    <row r="856" spans="1:10">
      <c r="A856" s="231" t="s">
        <v>182</v>
      </c>
      <c r="B856" s="231" t="s">
        <v>172</v>
      </c>
      <c r="C856" s="232"/>
      <c r="D856" s="232">
        <v>188.21</v>
      </c>
      <c r="E856" s="233">
        <v>1.469827</v>
      </c>
      <c r="F856" s="234">
        <f>pairs[[#This Row],[ Dist]]*5280</f>
        <v>7760.6865600000001</v>
      </c>
      <c r="G856" s="232">
        <f>ROUND(pairs[[#This Row],[ Az]]-ROUNDDOWN(pairs[[#This Row],[ Az]],0),1)</f>
        <v>0</v>
      </c>
      <c r="H856" s="232">
        <f>ROUND(pairs[[#This Row],[ Back]]-ROUNDDOWN(pairs[[#This Row],[ Back]],0),1)</f>
        <v>0.2</v>
      </c>
      <c r="I856" s="232">
        <f>IF( OR( OR(pairs[[#This Row],[Az*]]=0, pairs[[#This Row],[Back*]]=0), OR(pairs[[#This Row],[Az*]]=1, pairs[[#This Row],[Back*]]=1)), 1, 0)</f>
        <v>1</v>
      </c>
      <c r="J856" s="232">
        <f>IF(OR(pairs[[#This Row],[Az*]]=0.5,pairs[[#This Row],[Back*]]=0.5),1,0)</f>
        <v>0</v>
      </c>
    </row>
    <row r="857" spans="1:10">
      <c r="A857" s="231" t="s">
        <v>182</v>
      </c>
      <c r="B857" s="231" t="s">
        <v>171</v>
      </c>
      <c r="C857" s="232"/>
      <c r="D857" s="232">
        <v>194.87</v>
      </c>
      <c r="E857" s="233">
        <v>1.516988</v>
      </c>
      <c r="F857" s="234">
        <f>pairs[[#This Row],[ Dist]]*5280</f>
        <v>8009.6966400000001</v>
      </c>
      <c r="G857" s="232">
        <f>ROUND(pairs[[#This Row],[ Az]]-ROUNDDOWN(pairs[[#This Row],[ Az]],0),1)</f>
        <v>0</v>
      </c>
      <c r="H857" s="232">
        <f>ROUND(pairs[[#This Row],[ Back]]-ROUNDDOWN(pairs[[#This Row],[ Back]],0),1)</f>
        <v>0.9</v>
      </c>
      <c r="I857" s="232">
        <f>IF( OR( OR(pairs[[#This Row],[Az*]]=0, pairs[[#This Row],[Back*]]=0), OR(pairs[[#This Row],[Az*]]=1, pairs[[#This Row],[Back*]]=1)), 1, 0)</f>
        <v>1</v>
      </c>
      <c r="J857" s="232">
        <f>IF(OR(pairs[[#This Row],[Az*]]=0.5,pairs[[#This Row],[Back*]]=0.5),1,0)</f>
        <v>0</v>
      </c>
    </row>
    <row r="858" spans="1:10">
      <c r="A858" s="231" t="s">
        <v>182</v>
      </c>
      <c r="B858" s="231" t="s">
        <v>170</v>
      </c>
      <c r="C858" s="232"/>
      <c r="D858" s="232">
        <v>193.86</v>
      </c>
      <c r="E858" s="233">
        <v>1.623637</v>
      </c>
      <c r="F858" s="234">
        <f>pairs[[#This Row],[ Dist]]*5280</f>
        <v>8572.8033599999999</v>
      </c>
      <c r="G858" s="232">
        <f>ROUND(pairs[[#This Row],[ Az]]-ROUNDDOWN(pairs[[#This Row],[ Az]],0),1)</f>
        <v>0</v>
      </c>
      <c r="H858" s="232">
        <f>ROUND(pairs[[#This Row],[ Back]]-ROUNDDOWN(pairs[[#This Row],[ Back]],0),1)</f>
        <v>0.9</v>
      </c>
      <c r="I858" s="232">
        <f>IF( OR( OR(pairs[[#This Row],[Az*]]=0, pairs[[#This Row],[Back*]]=0), OR(pairs[[#This Row],[Az*]]=1, pairs[[#This Row],[Back*]]=1)), 1, 0)</f>
        <v>1</v>
      </c>
      <c r="J858" s="232">
        <f>IF(OR(pairs[[#This Row],[Az*]]=0.5,pairs[[#This Row],[Back*]]=0.5),1,0)</f>
        <v>0</v>
      </c>
    </row>
    <row r="859" spans="1:10">
      <c r="A859" s="231" t="s">
        <v>182</v>
      </c>
      <c r="B859" s="231" t="s">
        <v>169</v>
      </c>
      <c r="C859" s="232"/>
      <c r="D859" s="232">
        <v>194.81</v>
      </c>
      <c r="E859" s="233">
        <v>2.038716</v>
      </c>
      <c r="F859" s="234">
        <f>pairs[[#This Row],[ Dist]]*5280</f>
        <v>10764.420480000001</v>
      </c>
      <c r="G859" s="232">
        <f>ROUND(pairs[[#This Row],[ Az]]-ROUNDDOWN(pairs[[#This Row],[ Az]],0),1)</f>
        <v>0</v>
      </c>
      <c r="H859" s="232">
        <f>ROUND(pairs[[#This Row],[ Back]]-ROUNDDOWN(pairs[[#This Row],[ Back]],0),1)</f>
        <v>0.8</v>
      </c>
      <c r="I859" s="232">
        <f>IF( OR( OR(pairs[[#This Row],[Az*]]=0, pairs[[#This Row],[Back*]]=0), OR(pairs[[#This Row],[Az*]]=1, pairs[[#This Row],[Back*]]=1)), 1, 0)</f>
        <v>1</v>
      </c>
      <c r="J859" s="232">
        <f>IF(OR(pairs[[#This Row],[Az*]]=0.5,pairs[[#This Row],[Back*]]=0.5),1,0)</f>
        <v>0</v>
      </c>
    </row>
    <row r="860" spans="1:10" ht="14.1">
      <c r="A860" s="206" t="s">
        <v>182</v>
      </c>
      <c r="B860" s="206" t="s">
        <v>168</v>
      </c>
      <c r="C860" s="235"/>
      <c r="D860" s="235">
        <v>243.56</v>
      </c>
      <c r="E860" s="236">
        <v>0.80244000000000004</v>
      </c>
      <c r="F860" s="237">
        <f>pairs[[#This Row],[ Dist]]*5280</f>
        <v>4236.8832000000002</v>
      </c>
      <c r="G860" s="235">
        <f>ROUND(pairs[[#This Row],[ Az]]-ROUNDDOWN(pairs[[#This Row],[ Az]],0),1)</f>
        <v>0</v>
      </c>
      <c r="H860" s="235">
        <f>ROUND(pairs[[#This Row],[ Back]]-ROUNDDOWN(pairs[[#This Row],[ Back]],0),1)</f>
        <v>0.6</v>
      </c>
      <c r="I860" s="235">
        <f>IF( OR( OR(pairs[[#This Row],[Az*]]=0, pairs[[#This Row],[Back*]]=0), OR(pairs[[#This Row],[Az*]]=1, pairs[[#This Row],[Back*]]=1)), 1, 0)</f>
        <v>1</v>
      </c>
      <c r="J860" s="235">
        <f>IF(OR(pairs[[#This Row],[Az*]]=0.5,pairs[[#This Row],[Back*]]=0.5),1,0)</f>
        <v>0</v>
      </c>
    </row>
    <row r="861" spans="1:10">
      <c r="A861" s="231" t="s">
        <v>182</v>
      </c>
      <c r="B861" s="231" t="s">
        <v>166</v>
      </c>
      <c r="C861" s="232"/>
      <c r="D861" s="232">
        <v>193.15</v>
      </c>
      <c r="E861" s="233">
        <v>0.94187100000000001</v>
      </c>
      <c r="F861" s="234">
        <f>pairs[[#This Row],[ Dist]]*5280</f>
        <v>4973.07888</v>
      </c>
      <c r="G861" s="232">
        <f>ROUND(pairs[[#This Row],[ Az]]-ROUNDDOWN(pairs[[#This Row],[ Az]],0),1)</f>
        <v>0</v>
      </c>
      <c r="H861" s="232">
        <f>ROUND(pairs[[#This Row],[ Back]]-ROUNDDOWN(pairs[[#This Row],[ Back]],0),1)</f>
        <v>0.2</v>
      </c>
      <c r="I861" s="232">
        <f>IF( OR( OR(pairs[[#This Row],[Az*]]=0, pairs[[#This Row],[Back*]]=0), OR(pairs[[#This Row],[Az*]]=1, pairs[[#This Row],[Back*]]=1)), 1, 0)</f>
        <v>1</v>
      </c>
      <c r="J861" s="232">
        <f>IF(OR(pairs[[#This Row],[Az*]]=0.5,pairs[[#This Row],[Back*]]=0.5),1,0)</f>
        <v>0</v>
      </c>
    </row>
    <row r="862" spans="1:10">
      <c r="A862" s="231" t="s">
        <v>182</v>
      </c>
      <c r="B862" s="231" t="s">
        <v>181</v>
      </c>
      <c r="C862" s="232"/>
      <c r="D862" s="232">
        <v>18.760000000000002</v>
      </c>
      <c r="E862" s="233">
        <v>0.77318500000000001</v>
      </c>
      <c r="F862" s="234">
        <f>pairs[[#This Row],[ Dist]]*5280</f>
        <v>4082.4168</v>
      </c>
      <c r="G862" s="232">
        <f>ROUND(pairs[[#This Row],[ Az]]-ROUNDDOWN(pairs[[#This Row],[ Az]],0),1)</f>
        <v>0</v>
      </c>
      <c r="H862" s="232">
        <f>ROUND(pairs[[#This Row],[ Back]]-ROUNDDOWN(pairs[[#This Row],[ Back]],0),1)</f>
        <v>0.8</v>
      </c>
      <c r="I862" s="232">
        <f>IF( OR( OR(pairs[[#This Row],[Az*]]=0, pairs[[#This Row],[Back*]]=0), OR(pairs[[#This Row],[Az*]]=1, pairs[[#This Row],[Back*]]=1)), 1, 0)</f>
        <v>1</v>
      </c>
      <c r="J862" s="232">
        <f>IF(OR(pairs[[#This Row],[Az*]]=0.5,pairs[[#This Row],[Back*]]=0.5),1,0)</f>
        <v>0</v>
      </c>
    </row>
    <row r="863" spans="1:10" ht="14.1">
      <c r="A863" s="23" t="s">
        <v>183</v>
      </c>
      <c r="B863" s="23" t="s">
        <v>179</v>
      </c>
      <c r="C863" s="229"/>
      <c r="D863" s="229">
        <v>163.98</v>
      </c>
      <c r="E863" s="25">
        <v>1.2021440000000001</v>
      </c>
      <c r="F863" s="230">
        <f>pairs[[#This Row],[ Dist]]*5280</f>
        <v>6347.3203200000007</v>
      </c>
      <c r="G863" s="232">
        <f>ROUND(pairs[[#This Row],[ Az]]-ROUNDDOWN(pairs[[#This Row],[ Az]],0),1)</f>
        <v>0</v>
      </c>
      <c r="H863" s="232">
        <f>ROUND(pairs[[#This Row],[ Back]]-ROUNDDOWN(pairs[[#This Row],[ Back]],0),1)</f>
        <v>1</v>
      </c>
      <c r="I863" s="232">
        <f>IF( OR( OR(pairs[[#This Row],[Az*]]=0, pairs[[#This Row],[Back*]]=0), OR(pairs[[#This Row],[Az*]]=1, pairs[[#This Row],[Back*]]=1)), 1, 0)</f>
        <v>1</v>
      </c>
      <c r="J863" s="232">
        <f>IF(OR(pairs[[#This Row],[Az*]]=0.5,pairs[[#This Row],[Back*]]=0.5),1,0)</f>
        <v>0</v>
      </c>
    </row>
    <row r="864" spans="1:10">
      <c r="A864" s="231" t="s">
        <v>183</v>
      </c>
      <c r="B864" s="231" t="s">
        <v>178</v>
      </c>
      <c r="C864" s="232"/>
      <c r="D864" s="232">
        <v>165.74</v>
      </c>
      <c r="E864" s="233">
        <v>1.2598339999999999</v>
      </c>
      <c r="F864" s="234">
        <f>pairs[[#This Row],[ Dist]]*5280</f>
        <v>6651.9235199999994</v>
      </c>
      <c r="G864" s="232">
        <f>ROUND(pairs[[#This Row],[ Az]]-ROUNDDOWN(pairs[[#This Row],[ Az]],0),1)</f>
        <v>0</v>
      </c>
      <c r="H864" s="232">
        <f>ROUND(pairs[[#This Row],[ Back]]-ROUNDDOWN(pairs[[#This Row],[ Back]],0),1)</f>
        <v>0.7</v>
      </c>
      <c r="I864" s="232">
        <f>IF( OR( OR(pairs[[#This Row],[Az*]]=0, pairs[[#This Row],[Back*]]=0), OR(pairs[[#This Row],[Az*]]=1, pairs[[#This Row],[Back*]]=1)), 1, 0)</f>
        <v>1</v>
      </c>
      <c r="J864" s="232">
        <f>IF(OR(pairs[[#This Row],[Az*]]=0.5,pairs[[#This Row],[Back*]]=0.5),1,0)</f>
        <v>0</v>
      </c>
    </row>
    <row r="865" spans="1:10">
      <c r="A865" s="231" t="s">
        <v>183</v>
      </c>
      <c r="B865" s="231" t="s">
        <v>177</v>
      </c>
      <c r="C865" s="232"/>
      <c r="D865" s="232">
        <v>163.78</v>
      </c>
      <c r="E865" s="233">
        <v>1.273056</v>
      </c>
      <c r="F865" s="234">
        <f>pairs[[#This Row],[ Dist]]*5280</f>
        <v>6721.7356799999998</v>
      </c>
      <c r="G865" s="232">
        <f>ROUND(pairs[[#This Row],[ Az]]-ROUNDDOWN(pairs[[#This Row],[ Az]],0),1)</f>
        <v>0</v>
      </c>
      <c r="H865" s="232">
        <f>ROUND(pairs[[#This Row],[ Back]]-ROUNDDOWN(pairs[[#This Row],[ Back]],0),1)</f>
        <v>0.8</v>
      </c>
      <c r="I865" s="232">
        <f>IF( OR( OR(pairs[[#This Row],[Az*]]=0, pairs[[#This Row],[Back*]]=0), OR(pairs[[#This Row],[Az*]]=1, pairs[[#This Row],[Back*]]=1)), 1, 0)</f>
        <v>1</v>
      </c>
      <c r="J865" s="232">
        <f>IF(OR(pairs[[#This Row],[Az*]]=0.5,pairs[[#This Row],[Back*]]=0.5),1,0)</f>
        <v>0</v>
      </c>
    </row>
    <row r="866" spans="1:10">
      <c r="A866" s="231" t="s">
        <v>183</v>
      </c>
      <c r="B866" s="231" t="s">
        <v>176</v>
      </c>
      <c r="C866" s="232"/>
      <c r="D866" s="232">
        <v>164.21</v>
      </c>
      <c r="E866" s="233">
        <v>1.1289199999999999</v>
      </c>
      <c r="F866" s="234">
        <f>pairs[[#This Row],[ Dist]]*5280</f>
        <v>5960.6975999999995</v>
      </c>
      <c r="G866" s="232">
        <f>ROUND(pairs[[#This Row],[ Az]]-ROUNDDOWN(pairs[[#This Row],[ Az]],0),1)</f>
        <v>0</v>
      </c>
      <c r="H866" s="232">
        <f>ROUND(pairs[[#This Row],[ Back]]-ROUNDDOWN(pairs[[#This Row],[ Back]],0),1)</f>
        <v>0.2</v>
      </c>
      <c r="I866" s="232">
        <f>IF( OR( OR(pairs[[#This Row],[Az*]]=0, pairs[[#This Row],[Back*]]=0), OR(pairs[[#This Row],[Az*]]=1, pairs[[#This Row],[Back*]]=1)), 1, 0)</f>
        <v>1</v>
      </c>
      <c r="J866" s="232">
        <f>IF(OR(pairs[[#This Row],[Az*]]=0.5,pairs[[#This Row],[Back*]]=0.5),1,0)</f>
        <v>0</v>
      </c>
    </row>
    <row r="867" spans="1:10" ht="14.1">
      <c r="A867" s="23" t="s">
        <v>183</v>
      </c>
      <c r="B867" s="23" t="s">
        <v>175</v>
      </c>
      <c r="C867" s="229"/>
      <c r="D867" s="229">
        <v>161.97</v>
      </c>
      <c r="E867" s="25">
        <v>1.143961</v>
      </c>
      <c r="F867" s="230">
        <f>pairs[[#This Row],[ Dist]]*5280</f>
        <v>6040.1140800000003</v>
      </c>
      <c r="G867" s="232">
        <f>ROUND(pairs[[#This Row],[ Az]]-ROUNDDOWN(pairs[[#This Row],[ Az]],0),1)</f>
        <v>0</v>
      </c>
      <c r="H867" s="232">
        <f>ROUND(pairs[[#This Row],[ Back]]-ROUNDDOWN(pairs[[#This Row],[ Back]],0),1)</f>
        <v>1</v>
      </c>
      <c r="I867" s="232">
        <f>IF( OR( OR(pairs[[#This Row],[Az*]]=0, pairs[[#This Row],[Back*]]=0), OR(pairs[[#This Row],[Az*]]=1, pairs[[#This Row],[Back*]]=1)), 1, 0)</f>
        <v>1</v>
      </c>
      <c r="J867" s="232">
        <f>IF(OR(pairs[[#This Row],[Az*]]=0.5,pairs[[#This Row],[Back*]]=0.5),1,0)</f>
        <v>0</v>
      </c>
    </row>
    <row r="868" spans="1:10">
      <c r="A868" s="231" t="s">
        <v>183</v>
      </c>
      <c r="B868" s="231" t="s">
        <v>174</v>
      </c>
      <c r="C868" s="232"/>
      <c r="D868" s="232">
        <v>161.41999999999999</v>
      </c>
      <c r="E868" s="233">
        <v>1.217948</v>
      </c>
      <c r="F868" s="234">
        <f>pairs[[#This Row],[ Dist]]*5280</f>
        <v>6430.7654400000001</v>
      </c>
      <c r="G868" s="232">
        <f>ROUND(pairs[[#This Row],[ Az]]-ROUNDDOWN(pairs[[#This Row],[ Az]],0),1)</f>
        <v>0</v>
      </c>
      <c r="H868" s="232">
        <f>ROUND(pairs[[#This Row],[ Back]]-ROUNDDOWN(pairs[[#This Row],[ Back]],0),1)</f>
        <v>0.4</v>
      </c>
      <c r="I868" s="232">
        <f>IF( OR( OR(pairs[[#This Row],[Az*]]=0, pairs[[#This Row],[Back*]]=0), OR(pairs[[#This Row],[Az*]]=1, pairs[[#This Row],[Back*]]=1)), 1, 0)</f>
        <v>1</v>
      </c>
      <c r="J868" s="232">
        <f>IF(OR(pairs[[#This Row],[Az*]]=0.5,pairs[[#This Row],[Back*]]=0.5),1,0)</f>
        <v>0</v>
      </c>
    </row>
    <row r="869" spans="1:10">
      <c r="A869" s="231" t="s">
        <v>183</v>
      </c>
      <c r="B869" s="231" t="s">
        <v>173</v>
      </c>
      <c r="C869" s="232"/>
      <c r="D869" s="232">
        <v>157.26</v>
      </c>
      <c r="E869" s="233">
        <v>1.3143990000000001</v>
      </c>
      <c r="F869" s="234">
        <f>pairs[[#This Row],[ Dist]]*5280</f>
        <v>6940.0267200000008</v>
      </c>
      <c r="G869" s="232">
        <f>ROUND(pairs[[#This Row],[ Az]]-ROUNDDOWN(pairs[[#This Row],[ Az]],0),1)</f>
        <v>0</v>
      </c>
      <c r="H869" s="232">
        <f>ROUND(pairs[[#This Row],[ Back]]-ROUNDDOWN(pairs[[#This Row],[ Back]],0),1)</f>
        <v>0.3</v>
      </c>
      <c r="I869" s="232">
        <f>IF( OR( OR(pairs[[#This Row],[Az*]]=0, pairs[[#This Row],[Back*]]=0), OR(pairs[[#This Row],[Az*]]=1, pairs[[#This Row],[Back*]]=1)), 1, 0)</f>
        <v>1</v>
      </c>
      <c r="J869" s="232">
        <f>IF(OR(pairs[[#This Row],[Az*]]=0.5,pairs[[#This Row],[Back*]]=0.5),1,0)</f>
        <v>0</v>
      </c>
    </row>
    <row r="870" spans="1:10">
      <c r="A870" s="231" t="s">
        <v>183</v>
      </c>
      <c r="B870" s="231" t="s">
        <v>172</v>
      </c>
      <c r="C870" s="232"/>
      <c r="D870" s="232">
        <v>155.13</v>
      </c>
      <c r="E870" s="233">
        <v>1.2095180000000001</v>
      </c>
      <c r="F870" s="234">
        <f>pairs[[#This Row],[ Dist]]*5280</f>
        <v>6386.2550400000009</v>
      </c>
      <c r="G870" s="232">
        <f>ROUND(pairs[[#This Row],[ Az]]-ROUNDDOWN(pairs[[#This Row],[ Az]],0),1)</f>
        <v>0</v>
      </c>
      <c r="H870" s="232">
        <f>ROUND(pairs[[#This Row],[ Back]]-ROUNDDOWN(pairs[[#This Row],[ Back]],0),1)</f>
        <v>0.1</v>
      </c>
      <c r="I870" s="232">
        <f>IF( OR( OR(pairs[[#This Row],[Az*]]=0, pairs[[#This Row],[Back*]]=0), OR(pairs[[#This Row],[Az*]]=1, pairs[[#This Row],[Back*]]=1)), 1, 0)</f>
        <v>1</v>
      </c>
      <c r="J870" s="232">
        <f>IF(OR(pairs[[#This Row],[Az*]]=0.5,pairs[[#This Row],[Back*]]=0.5),1,0)</f>
        <v>0</v>
      </c>
    </row>
    <row r="871" spans="1:10" ht="14.1">
      <c r="A871" s="206" t="s">
        <v>183</v>
      </c>
      <c r="B871" s="206" t="s">
        <v>171</v>
      </c>
      <c r="C871" s="235"/>
      <c r="D871" s="235">
        <v>163.47</v>
      </c>
      <c r="E871" s="236">
        <v>1.156641</v>
      </c>
      <c r="F871" s="237">
        <f>pairs[[#This Row],[ Dist]]*5280</f>
        <v>6107.06448</v>
      </c>
      <c r="G871" s="235">
        <f>ROUND(pairs[[#This Row],[ Az]]-ROUNDDOWN(pairs[[#This Row],[ Az]],0),1)</f>
        <v>0</v>
      </c>
      <c r="H871" s="235">
        <f>ROUND(pairs[[#This Row],[ Back]]-ROUNDDOWN(pairs[[#This Row],[ Back]],0),1)</f>
        <v>0.5</v>
      </c>
      <c r="I871" s="235">
        <f>IF( OR( OR(pairs[[#This Row],[Az*]]=0, pairs[[#This Row],[Back*]]=0), OR(pairs[[#This Row],[Az*]]=1, pairs[[#This Row],[Back*]]=1)), 1, 0)</f>
        <v>1</v>
      </c>
      <c r="J871" s="235">
        <f>IF(OR(pairs[[#This Row],[Az*]]=0.5,pairs[[#This Row],[Back*]]=0.5),1,0)</f>
        <v>1</v>
      </c>
    </row>
    <row r="872" spans="1:10">
      <c r="A872" s="231" t="s">
        <v>183</v>
      </c>
      <c r="B872" s="231" t="s">
        <v>170</v>
      </c>
      <c r="C872" s="232"/>
      <c r="D872" s="232">
        <v>164.87</v>
      </c>
      <c r="E872" s="233">
        <v>1.2627919999999999</v>
      </c>
      <c r="F872" s="234">
        <f>pairs[[#This Row],[ Dist]]*5280</f>
        <v>6667.5417599999992</v>
      </c>
      <c r="G872" s="232">
        <f>ROUND(pairs[[#This Row],[ Az]]-ROUNDDOWN(pairs[[#This Row],[ Az]],0),1)</f>
        <v>0</v>
      </c>
      <c r="H872" s="232">
        <f>ROUND(pairs[[#This Row],[ Back]]-ROUNDDOWN(pairs[[#This Row],[ Back]],0),1)</f>
        <v>0.9</v>
      </c>
      <c r="I872" s="232">
        <f>IF( OR( OR(pairs[[#This Row],[Az*]]=0, pairs[[#This Row],[Back*]]=0), OR(pairs[[#This Row],[Az*]]=1, pairs[[#This Row],[Back*]]=1)), 1, 0)</f>
        <v>1</v>
      </c>
      <c r="J872" s="232">
        <f>IF(OR(pairs[[#This Row],[Az*]]=0.5,pairs[[#This Row],[Back*]]=0.5),1,0)</f>
        <v>0</v>
      </c>
    </row>
    <row r="873" spans="1:10" ht="14.1">
      <c r="A873" s="23" t="s">
        <v>183</v>
      </c>
      <c r="B873" s="23" t="s">
        <v>169</v>
      </c>
      <c r="C873" s="229"/>
      <c r="D873" s="229">
        <v>173.03</v>
      </c>
      <c r="E873" s="25">
        <v>1.6256550000000001</v>
      </c>
      <c r="F873" s="230">
        <f>pairs[[#This Row],[ Dist]]*5280</f>
        <v>8583.4583999999995</v>
      </c>
      <c r="G873" s="232">
        <f>ROUND(pairs[[#This Row],[ Az]]-ROUNDDOWN(pairs[[#This Row],[ Az]],0),1)</f>
        <v>0</v>
      </c>
      <c r="H873" s="232">
        <f>ROUND(pairs[[#This Row],[ Back]]-ROUNDDOWN(pairs[[#This Row],[ Back]],0),1)</f>
        <v>0</v>
      </c>
      <c r="I873" s="232">
        <f>IF( OR( OR(pairs[[#This Row],[Az*]]=0, pairs[[#This Row],[Back*]]=0), OR(pairs[[#This Row],[Az*]]=1, pairs[[#This Row],[Back*]]=1)), 1, 0)</f>
        <v>1</v>
      </c>
      <c r="J873" s="232">
        <f>IF(OR(pairs[[#This Row],[Az*]]=0.5,pairs[[#This Row],[Back*]]=0.5),1,0)</f>
        <v>0</v>
      </c>
    </row>
    <row r="874" spans="1:10" ht="14.1">
      <c r="A874" s="206" t="s">
        <v>183</v>
      </c>
      <c r="B874" s="206" t="s">
        <v>167</v>
      </c>
      <c r="C874" s="235"/>
      <c r="D874" s="235">
        <v>63.55</v>
      </c>
      <c r="E874" s="236">
        <v>0.80244000000000004</v>
      </c>
      <c r="F874" s="237">
        <f>pairs[[#This Row],[ Dist]]*5280</f>
        <v>4236.8832000000002</v>
      </c>
      <c r="G874" s="235">
        <f>ROUND(pairs[[#This Row],[ Az]]-ROUNDDOWN(pairs[[#This Row],[ Az]],0),1)</f>
        <v>0</v>
      </c>
      <c r="H874" s="235">
        <f>ROUND(pairs[[#This Row],[ Back]]-ROUNDDOWN(pairs[[#This Row],[ Back]],0),1)</f>
        <v>0.5</v>
      </c>
      <c r="I874" s="235">
        <f>IF( OR( OR(pairs[[#This Row],[Az*]]=0, pairs[[#This Row],[Back*]]=0), OR(pairs[[#This Row],[Az*]]=1, pairs[[#This Row],[Back*]]=1)), 1, 0)</f>
        <v>1</v>
      </c>
      <c r="J874" s="235">
        <f>IF(OR(pairs[[#This Row],[Az*]]=0.5,pairs[[#This Row],[Back*]]=0.5),1,0)</f>
        <v>1</v>
      </c>
    </row>
    <row r="875" spans="1:10" ht="14.1">
      <c r="A875" s="23" t="s">
        <v>183</v>
      </c>
      <c r="B875" s="23" t="s">
        <v>166</v>
      </c>
      <c r="C875" s="229"/>
      <c r="D875" s="229">
        <v>137.99</v>
      </c>
      <c r="E875" s="25">
        <v>0.75342900000000002</v>
      </c>
      <c r="F875" s="230">
        <f>pairs[[#This Row],[ Dist]]*5280</f>
        <v>3978.1051200000002</v>
      </c>
      <c r="G875" s="232">
        <f>ROUND(pairs[[#This Row],[ Az]]-ROUNDDOWN(pairs[[#This Row],[ Az]],0),1)</f>
        <v>0</v>
      </c>
      <c r="H875" s="232">
        <f>ROUND(pairs[[#This Row],[ Back]]-ROUNDDOWN(pairs[[#This Row],[ Back]],0),1)</f>
        <v>1</v>
      </c>
      <c r="I875" s="232">
        <f>IF( OR( OR(pairs[[#This Row],[Az*]]=0, pairs[[#This Row],[Back*]]=0), OR(pairs[[#This Row],[Az*]]=1, pairs[[#This Row],[Back*]]=1)), 1, 0)</f>
        <v>1</v>
      </c>
      <c r="J875" s="232">
        <f>IF(OR(pairs[[#This Row],[Az*]]=0.5,pairs[[#This Row],[Back*]]=0.5),1,0)</f>
        <v>0</v>
      </c>
    </row>
    <row r="876" spans="1:10">
      <c r="A876" s="231" t="s">
        <v>183</v>
      </c>
      <c r="B876" s="231" t="s">
        <v>181</v>
      </c>
      <c r="C876" s="232"/>
      <c r="D876" s="232">
        <v>41.59</v>
      </c>
      <c r="E876" s="233">
        <v>1.456844</v>
      </c>
      <c r="F876" s="234">
        <f>pairs[[#This Row],[ Dist]]*5280</f>
        <v>7692.1363200000005</v>
      </c>
      <c r="G876" s="232">
        <f>ROUND(pairs[[#This Row],[ Az]]-ROUNDDOWN(pairs[[#This Row],[ Az]],0),1)</f>
        <v>0</v>
      </c>
      <c r="H876" s="232">
        <f>ROUND(pairs[[#This Row],[ Back]]-ROUNDDOWN(pairs[[#This Row],[ Back]],0),1)</f>
        <v>0.6</v>
      </c>
      <c r="I876" s="232">
        <f>IF( OR( OR(pairs[[#This Row],[Az*]]=0, pairs[[#This Row],[Back*]]=0), OR(pairs[[#This Row],[Az*]]=1, pairs[[#This Row],[Back*]]=1)), 1, 0)</f>
        <v>1</v>
      </c>
      <c r="J876" s="232">
        <f>IF(OR(pairs[[#This Row],[Az*]]=0.5,pairs[[#This Row],[Back*]]=0.5),1,0)</f>
        <v>0</v>
      </c>
    </row>
    <row r="877" spans="1:10">
      <c r="A877" s="231" t="s">
        <v>184</v>
      </c>
      <c r="B877" s="231" t="s">
        <v>179</v>
      </c>
      <c r="C877" s="232"/>
      <c r="D877" s="232">
        <v>16.350000000000001</v>
      </c>
      <c r="E877" s="233">
        <v>0.47750599999999999</v>
      </c>
      <c r="F877" s="234">
        <f>pairs[[#This Row],[ Dist]]*5280</f>
        <v>2521.2316799999999</v>
      </c>
      <c r="G877" s="232">
        <f>ROUND(pairs[[#This Row],[ Az]]-ROUNDDOWN(pairs[[#This Row],[ Az]],0),1)</f>
        <v>0</v>
      </c>
      <c r="H877" s="232">
        <f>ROUND(pairs[[#This Row],[ Back]]-ROUNDDOWN(pairs[[#This Row],[ Back]],0),1)</f>
        <v>0.4</v>
      </c>
      <c r="I877" s="232">
        <f>IF( OR( OR(pairs[[#This Row],[Az*]]=0, pairs[[#This Row],[Back*]]=0), OR(pairs[[#This Row],[Az*]]=1, pairs[[#This Row],[Back*]]=1)), 1, 0)</f>
        <v>1</v>
      </c>
      <c r="J877" s="232">
        <f>IF(OR(pairs[[#This Row],[Az*]]=0.5,pairs[[#This Row],[Back*]]=0.5),1,0)</f>
        <v>0</v>
      </c>
    </row>
    <row r="878" spans="1:10">
      <c r="A878" s="231" t="s">
        <v>184</v>
      </c>
      <c r="B878" s="231" t="s">
        <v>178</v>
      </c>
      <c r="C878" s="232"/>
      <c r="D878" s="232">
        <v>16.05</v>
      </c>
      <c r="E878" s="233">
        <v>0.40851399999999999</v>
      </c>
      <c r="F878" s="234">
        <f>pairs[[#This Row],[ Dist]]*5280</f>
        <v>2156.9539199999999</v>
      </c>
      <c r="G878" s="232">
        <f>ROUND(pairs[[#This Row],[ Az]]-ROUNDDOWN(pairs[[#This Row],[ Az]],0),1)</f>
        <v>0</v>
      </c>
      <c r="H878" s="232">
        <f>ROUND(pairs[[#This Row],[ Back]]-ROUNDDOWN(pairs[[#This Row],[ Back]],0),1)</f>
        <v>0.1</v>
      </c>
      <c r="I878" s="232">
        <f>IF( OR( OR(pairs[[#This Row],[Az*]]=0, pairs[[#This Row],[Back*]]=0), OR(pairs[[#This Row],[Az*]]=1, pairs[[#This Row],[Back*]]=1)), 1, 0)</f>
        <v>1</v>
      </c>
      <c r="J878" s="232">
        <f>IF(OR(pairs[[#This Row],[Az*]]=0.5,pairs[[#This Row],[Back*]]=0.5),1,0)</f>
        <v>0</v>
      </c>
    </row>
    <row r="879" spans="1:10" ht="14.1">
      <c r="A879" s="23" t="s">
        <v>184</v>
      </c>
      <c r="B879" s="23" t="s">
        <v>177</v>
      </c>
      <c r="C879" s="229"/>
      <c r="D879" s="229">
        <v>22.03</v>
      </c>
      <c r="E879" s="25">
        <v>0.42207600000000001</v>
      </c>
      <c r="F879" s="230">
        <f>pairs[[#This Row],[ Dist]]*5280</f>
        <v>2228.5612799999999</v>
      </c>
      <c r="G879" s="232">
        <f>ROUND(pairs[[#This Row],[ Az]]-ROUNDDOWN(pairs[[#This Row],[ Az]],0),1)</f>
        <v>0</v>
      </c>
      <c r="H879" s="232">
        <f>ROUND(pairs[[#This Row],[ Back]]-ROUNDDOWN(pairs[[#This Row],[ Back]],0),1)</f>
        <v>0</v>
      </c>
      <c r="I879" s="232">
        <f>IF( OR( OR(pairs[[#This Row],[Az*]]=0, pairs[[#This Row],[Back*]]=0), OR(pairs[[#This Row],[Az*]]=1, pairs[[#This Row],[Back*]]=1)), 1, 0)</f>
        <v>1</v>
      </c>
      <c r="J879" s="232">
        <f>IF(OR(pairs[[#This Row],[Az*]]=0.5,pairs[[#This Row],[Back*]]=0.5),1,0)</f>
        <v>0</v>
      </c>
    </row>
    <row r="880" spans="1:10">
      <c r="A880" s="231" t="s">
        <v>184</v>
      </c>
      <c r="B880" s="231" t="s">
        <v>176</v>
      </c>
      <c r="C880" s="232"/>
      <c r="D880" s="232">
        <v>11.77</v>
      </c>
      <c r="E880" s="233">
        <v>0.53864400000000001</v>
      </c>
      <c r="F880" s="234">
        <f>pairs[[#This Row],[ Dist]]*5280</f>
        <v>2844.0403200000001</v>
      </c>
      <c r="G880" s="232">
        <f>ROUND(pairs[[#This Row],[ Az]]-ROUNDDOWN(pairs[[#This Row],[ Az]],0),1)</f>
        <v>0</v>
      </c>
      <c r="H880" s="232">
        <f>ROUND(pairs[[#This Row],[ Back]]-ROUNDDOWN(pairs[[#This Row],[ Back]],0),1)</f>
        <v>0.8</v>
      </c>
      <c r="I880" s="232">
        <f>IF( OR( OR(pairs[[#This Row],[Az*]]=0, pairs[[#This Row],[Back*]]=0), OR(pairs[[#This Row],[Az*]]=1, pairs[[#This Row],[Back*]]=1)), 1, 0)</f>
        <v>1</v>
      </c>
      <c r="J880" s="232">
        <f>IF(OR(pairs[[#This Row],[Az*]]=0.5,pairs[[#This Row],[Back*]]=0.5),1,0)</f>
        <v>0</v>
      </c>
    </row>
    <row r="881" spans="1:10">
      <c r="A881" s="231" t="s">
        <v>184</v>
      </c>
      <c r="B881" s="231" t="s">
        <v>175</v>
      </c>
      <c r="C881" s="232"/>
      <c r="D881" s="232">
        <v>16.59</v>
      </c>
      <c r="E881" s="233">
        <v>0.54867200000000005</v>
      </c>
      <c r="F881" s="234">
        <f>pairs[[#This Row],[ Dist]]*5280</f>
        <v>2896.9881600000003</v>
      </c>
      <c r="G881" s="232">
        <f>ROUND(pairs[[#This Row],[ Az]]-ROUNDDOWN(pairs[[#This Row],[ Az]],0),1)</f>
        <v>0</v>
      </c>
      <c r="H881" s="232">
        <f>ROUND(pairs[[#This Row],[ Back]]-ROUNDDOWN(pairs[[#This Row],[ Back]],0),1)</f>
        <v>0.6</v>
      </c>
      <c r="I881" s="232">
        <f>IF( OR( OR(pairs[[#This Row],[Az*]]=0, pairs[[#This Row],[Back*]]=0), OR(pairs[[#This Row],[Az*]]=1, pairs[[#This Row],[Back*]]=1)), 1, 0)</f>
        <v>1</v>
      </c>
      <c r="J881" s="232">
        <f>IF(OR(pairs[[#This Row],[Az*]]=0.5,pairs[[#This Row],[Back*]]=0.5),1,0)</f>
        <v>0</v>
      </c>
    </row>
    <row r="882" spans="1:10">
      <c r="A882" s="231" t="s">
        <v>184</v>
      </c>
      <c r="B882" s="231" t="s">
        <v>174</v>
      </c>
      <c r="C882" s="232"/>
      <c r="D882" s="232">
        <v>22.56</v>
      </c>
      <c r="E882" s="233">
        <v>0.497199</v>
      </c>
      <c r="F882" s="234">
        <f>pairs[[#This Row],[ Dist]]*5280</f>
        <v>2625.21072</v>
      </c>
      <c r="G882" s="232">
        <f>ROUND(pairs[[#This Row],[ Az]]-ROUNDDOWN(pairs[[#This Row],[ Az]],0),1)</f>
        <v>0</v>
      </c>
      <c r="H882" s="232">
        <f>ROUND(pairs[[#This Row],[ Back]]-ROUNDDOWN(pairs[[#This Row],[ Back]],0),1)</f>
        <v>0.6</v>
      </c>
      <c r="I882" s="232">
        <f>IF( OR( OR(pairs[[#This Row],[Az*]]=0, pairs[[#This Row],[Back*]]=0), OR(pairs[[#This Row],[Az*]]=1, pairs[[#This Row],[Back*]]=1)), 1, 0)</f>
        <v>1</v>
      </c>
      <c r="J882" s="232">
        <f>IF(OR(pairs[[#This Row],[Az*]]=0.5,pairs[[#This Row],[Back*]]=0.5),1,0)</f>
        <v>0</v>
      </c>
    </row>
    <row r="883" spans="1:10">
      <c r="A883" s="231" t="s">
        <v>184</v>
      </c>
      <c r="B883" s="231" t="s">
        <v>173</v>
      </c>
      <c r="C883" s="232"/>
      <c r="D883" s="232">
        <v>37.74</v>
      </c>
      <c r="E883" s="233">
        <v>0.50758499999999995</v>
      </c>
      <c r="F883" s="234">
        <f>pairs[[#This Row],[ Dist]]*5280</f>
        <v>2680.0487999999996</v>
      </c>
      <c r="G883" s="232">
        <f>ROUND(pairs[[#This Row],[ Az]]-ROUNDDOWN(pairs[[#This Row],[ Az]],0),1)</f>
        <v>0</v>
      </c>
      <c r="H883" s="232">
        <f>ROUND(pairs[[#This Row],[ Back]]-ROUNDDOWN(pairs[[#This Row],[ Back]],0),1)</f>
        <v>0.7</v>
      </c>
      <c r="I883" s="232">
        <f>IF( OR( OR(pairs[[#This Row],[Az*]]=0, pairs[[#This Row],[Back*]]=0), OR(pairs[[#This Row],[Az*]]=1, pairs[[#This Row],[Back*]]=1)), 1, 0)</f>
        <v>1</v>
      </c>
      <c r="J883" s="232">
        <f>IF(OR(pairs[[#This Row],[Az*]]=0.5,pairs[[#This Row],[Back*]]=0.5),1,0)</f>
        <v>0</v>
      </c>
    </row>
    <row r="884" spans="1:10">
      <c r="A884" s="231" t="s">
        <v>184</v>
      </c>
      <c r="B884" s="231" t="s">
        <v>172</v>
      </c>
      <c r="C884" s="232"/>
      <c r="D884" s="232">
        <v>31.08</v>
      </c>
      <c r="E884" s="233">
        <v>0.60277999999999998</v>
      </c>
      <c r="F884" s="234">
        <f>pairs[[#This Row],[ Dist]]*5280</f>
        <v>3182.6783999999998</v>
      </c>
      <c r="G884" s="232">
        <f>ROUND(pairs[[#This Row],[ Az]]-ROUNDDOWN(pairs[[#This Row],[ Az]],0),1)</f>
        <v>0</v>
      </c>
      <c r="H884" s="232">
        <f>ROUND(pairs[[#This Row],[ Back]]-ROUNDDOWN(pairs[[#This Row],[ Back]],0),1)</f>
        <v>0.1</v>
      </c>
      <c r="I884" s="232">
        <f>IF( OR( OR(pairs[[#This Row],[Az*]]=0, pairs[[#This Row],[Back*]]=0), OR(pairs[[#This Row],[Az*]]=1, pairs[[#This Row],[Back*]]=1)), 1, 0)</f>
        <v>1</v>
      </c>
      <c r="J884" s="232">
        <f>IF(OR(pairs[[#This Row],[Az*]]=0.5,pairs[[#This Row],[Back*]]=0.5),1,0)</f>
        <v>0</v>
      </c>
    </row>
    <row r="885" spans="1:10">
      <c r="A885" s="231" t="s">
        <v>184</v>
      </c>
      <c r="B885" s="231" t="s">
        <v>171</v>
      </c>
      <c r="C885" s="232"/>
      <c r="D885" s="232">
        <v>14.63</v>
      </c>
      <c r="E885" s="233">
        <v>0.52173199999999997</v>
      </c>
      <c r="F885" s="234">
        <f>pairs[[#This Row],[ Dist]]*5280</f>
        <v>2754.74496</v>
      </c>
      <c r="G885" s="232">
        <f>ROUND(pairs[[#This Row],[ Az]]-ROUNDDOWN(pairs[[#This Row],[ Az]],0),1)</f>
        <v>0</v>
      </c>
      <c r="H885" s="232">
        <f>ROUND(pairs[[#This Row],[ Back]]-ROUNDDOWN(pairs[[#This Row],[ Back]],0),1)</f>
        <v>0.6</v>
      </c>
      <c r="I885" s="232">
        <f>IF( OR( OR(pairs[[#This Row],[Az*]]=0, pairs[[#This Row],[Back*]]=0), OR(pairs[[#This Row],[Az*]]=1, pairs[[#This Row],[Back*]]=1)), 1, 0)</f>
        <v>1</v>
      </c>
      <c r="J885" s="232">
        <f>IF(OR(pairs[[#This Row],[Az*]]=0.5,pairs[[#This Row],[Back*]]=0.5),1,0)</f>
        <v>0</v>
      </c>
    </row>
    <row r="886" spans="1:10" ht="14.1">
      <c r="A886" s="206" t="s">
        <v>184</v>
      </c>
      <c r="B886" s="206" t="s">
        <v>170</v>
      </c>
      <c r="C886" s="235"/>
      <c r="D886" s="235">
        <v>18.53</v>
      </c>
      <c r="E886" s="236">
        <v>0.41617799999999999</v>
      </c>
      <c r="F886" s="237">
        <f>pairs[[#This Row],[ Dist]]*5280</f>
        <v>2197.41984</v>
      </c>
      <c r="G886" s="235">
        <f>ROUND(pairs[[#This Row],[ Az]]-ROUNDDOWN(pairs[[#This Row],[ Az]],0),1)</f>
        <v>0</v>
      </c>
      <c r="H886" s="235">
        <f>ROUND(pairs[[#This Row],[ Back]]-ROUNDDOWN(pairs[[#This Row],[ Back]],0),1)</f>
        <v>0.5</v>
      </c>
      <c r="I886" s="235">
        <f>IF( OR( OR(pairs[[#This Row],[Az*]]=0, pairs[[#This Row],[Back*]]=0), OR(pairs[[#This Row],[Az*]]=1, pairs[[#This Row],[Back*]]=1)), 1, 0)</f>
        <v>1</v>
      </c>
      <c r="J886" s="235">
        <f>IF(OR(pairs[[#This Row],[Az*]]=0.5,pairs[[#This Row],[Back*]]=0.5),1,0)</f>
        <v>1</v>
      </c>
    </row>
    <row r="887" spans="1:10" ht="14.1">
      <c r="A887" s="23" t="s">
        <v>184</v>
      </c>
      <c r="B887" s="23" t="s">
        <v>168</v>
      </c>
      <c r="C887" s="229"/>
      <c r="D887" s="229">
        <v>353.03</v>
      </c>
      <c r="E887" s="25">
        <v>1.6256550000000001</v>
      </c>
      <c r="F887" s="230">
        <f>pairs[[#This Row],[ Dist]]*5280</f>
        <v>8583.4583999999995</v>
      </c>
      <c r="G887" s="232">
        <f>ROUND(pairs[[#This Row],[ Az]]-ROUNDDOWN(pairs[[#This Row],[ Az]],0),1)</f>
        <v>0</v>
      </c>
      <c r="H887" s="232">
        <f>ROUND(pairs[[#This Row],[ Back]]-ROUNDDOWN(pairs[[#This Row],[ Back]],0),1)</f>
        <v>0</v>
      </c>
      <c r="I887" s="232">
        <f>IF( OR( OR(pairs[[#This Row],[Az*]]=0, pairs[[#This Row],[Back*]]=0), OR(pairs[[#This Row],[Az*]]=1, pairs[[#This Row],[Back*]]=1)), 1, 0)</f>
        <v>1</v>
      </c>
      <c r="J887" s="232">
        <f>IF(OR(pairs[[#This Row],[Az*]]=0.5,pairs[[#This Row],[Back*]]=0.5),1,0)</f>
        <v>0</v>
      </c>
    </row>
    <row r="888" spans="1:10">
      <c r="A888" s="231" t="s">
        <v>184</v>
      </c>
      <c r="B888" s="231" t="s">
        <v>167</v>
      </c>
      <c r="C888" s="232"/>
      <c r="D888" s="232">
        <v>14.81</v>
      </c>
      <c r="E888" s="233">
        <v>2.038716</v>
      </c>
      <c r="F888" s="234">
        <f>pairs[[#This Row],[ Dist]]*5280</f>
        <v>10764.420480000001</v>
      </c>
      <c r="G888" s="232">
        <f>ROUND(pairs[[#This Row],[ Az]]-ROUNDDOWN(pairs[[#This Row],[ Az]],0),1)</f>
        <v>0</v>
      </c>
      <c r="H888" s="232">
        <f>ROUND(pairs[[#This Row],[ Back]]-ROUNDDOWN(pairs[[#This Row],[ Back]],0),1)</f>
        <v>0.8</v>
      </c>
      <c r="I888" s="232">
        <f>IF( OR( OR(pairs[[#This Row],[Az*]]=0, pairs[[#This Row],[Back*]]=0), OR(pairs[[#This Row],[Az*]]=1, pairs[[#This Row],[Back*]]=1)), 1, 0)</f>
        <v>1</v>
      </c>
      <c r="J888" s="232">
        <f>IF(OR(pairs[[#This Row],[Az*]]=0.5,pairs[[#This Row],[Back*]]=0.5),1,0)</f>
        <v>0</v>
      </c>
    </row>
    <row r="889" spans="1:10">
      <c r="A889" s="231" t="s">
        <v>184</v>
      </c>
      <c r="B889" s="231" t="s">
        <v>166</v>
      </c>
      <c r="C889" s="232"/>
      <c r="D889" s="232">
        <v>16.23</v>
      </c>
      <c r="E889" s="233">
        <v>1.0975809999999999</v>
      </c>
      <c r="F889" s="234">
        <f>pairs[[#This Row],[ Dist]]*5280</f>
        <v>5795.22768</v>
      </c>
      <c r="G889" s="232">
        <f>ROUND(pairs[[#This Row],[ Az]]-ROUNDDOWN(pairs[[#This Row],[ Az]],0),1)</f>
        <v>0</v>
      </c>
      <c r="H889" s="232">
        <f>ROUND(pairs[[#This Row],[ Back]]-ROUNDDOWN(pairs[[#This Row],[ Back]],0),1)</f>
        <v>0.2</v>
      </c>
      <c r="I889" s="232">
        <f>IF( OR( OR(pairs[[#This Row],[Az*]]=0, pairs[[#This Row],[Back*]]=0), OR(pairs[[#This Row],[Az*]]=1, pairs[[#This Row],[Back*]]=1)), 1, 0)</f>
        <v>1</v>
      </c>
      <c r="J889" s="232">
        <f>IF(OR(pairs[[#This Row],[Az*]]=0.5,pairs[[#This Row],[Back*]]=0.5),1,0)</f>
        <v>0</v>
      </c>
    </row>
    <row r="890" spans="1:10">
      <c r="A890" s="231" t="s">
        <v>184</v>
      </c>
      <c r="B890" s="231" t="s">
        <v>181</v>
      </c>
      <c r="C890" s="232"/>
      <c r="D890" s="232">
        <v>15.89</v>
      </c>
      <c r="E890" s="233">
        <v>2.810565</v>
      </c>
      <c r="F890" s="234">
        <f>pairs[[#This Row],[ Dist]]*5280</f>
        <v>14839.7832</v>
      </c>
      <c r="G890" s="232">
        <f>ROUND(pairs[[#This Row],[ Az]]-ROUNDDOWN(pairs[[#This Row],[ Az]],0),1)</f>
        <v>0</v>
      </c>
      <c r="H890" s="232">
        <f>ROUND(pairs[[#This Row],[ Back]]-ROUNDDOWN(pairs[[#This Row],[ Back]],0),1)</f>
        <v>0.9</v>
      </c>
      <c r="I890" s="232">
        <f>IF( OR( OR(pairs[[#This Row],[Az*]]=0, pairs[[#This Row],[Back*]]=0), OR(pairs[[#This Row],[Az*]]=1, pairs[[#This Row],[Back*]]=1)), 1, 0)</f>
        <v>1</v>
      </c>
      <c r="J890" s="232">
        <f>IF(OR(pairs[[#This Row],[Az*]]=0.5,pairs[[#This Row],[Back*]]=0.5),1,0)</f>
        <v>0</v>
      </c>
    </row>
    <row r="891" spans="1:10" ht="14.1">
      <c r="A891" s="23" t="s">
        <v>185</v>
      </c>
      <c r="B891" s="23" t="s">
        <v>179</v>
      </c>
      <c r="C891" s="229"/>
      <c r="D891" s="229">
        <v>1.99</v>
      </c>
      <c r="E891" s="25">
        <v>6.3614000000000004E-2</v>
      </c>
      <c r="F891" s="230">
        <f>pairs[[#This Row],[ Dist]]*5280</f>
        <v>335.88192000000004</v>
      </c>
      <c r="G891" s="232">
        <f>ROUND(pairs[[#This Row],[ Az]]-ROUNDDOWN(pairs[[#This Row],[ Az]],0),1)</f>
        <v>0</v>
      </c>
      <c r="H891" s="232">
        <f>ROUND(pairs[[#This Row],[ Back]]-ROUNDDOWN(pairs[[#This Row],[ Back]],0),1)</f>
        <v>1</v>
      </c>
      <c r="I891" s="232">
        <f>IF( OR( OR(pairs[[#This Row],[Az*]]=0, pairs[[#This Row],[Back*]]=0), OR(pairs[[#This Row],[Az*]]=1, pairs[[#This Row],[Back*]]=1)), 1, 0)</f>
        <v>1</v>
      </c>
      <c r="J891" s="232">
        <f>IF(OR(pairs[[#This Row],[Az*]]=0.5,pairs[[#This Row],[Back*]]=0.5),1,0)</f>
        <v>0</v>
      </c>
    </row>
    <row r="892" spans="1:10">
      <c r="A892" s="231" t="s">
        <v>185</v>
      </c>
      <c r="B892" s="231" t="s">
        <v>178</v>
      </c>
      <c r="C892" s="232"/>
      <c r="D892" s="232">
        <v>264.06</v>
      </c>
      <c r="E892" s="233">
        <v>1.9432999999999999E-2</v>
      </c>
      <c r="F892" s="234">
        <f>pairs[[#This Row],[ Dist]]*5280</f>
        <v>102.60624</v>
      </c>
      <c r="G892" s="232">
        <f>ROUND(pairs[[#This Row],[ Az]]-ROUNDDOWN(pairs[[#This Row],[ Az]],0),1)</f>
        <v>0</v>
      </c>
      <c r="H892" s="232">
        <f>ROUND(pairs[[#This Row],[ Back]]-ROUNDDOWN(pairs[[#This Row],[ Back]],0),1)</f>
        <v>0.1</v>
      </c>
      <c r="I892" s="232">
        <f>IF( OR( OR(pairs[[#This Row],[Az*]]=0, pairs[[#This Row],[Back*]]=0), OR(pairs[[#This Row],[Az*]]=1, pairs[[#This Row],[Back*]]=1)), 1, 0)</f>
        <v>1</v>
      </c>
      <c r="J892" s="232">
        <f>IF(OR(pairs[[#This Row],[Az*]]=0.5,pairs[[#This Row],[Back*]]=0.5),1,0)</f>
        <v>0</v>
      </c>
    </row>
    <row r="893" spans="1:10">
      <c r="A893" s="231" t="s">
        <v>185</v>
      </c>
      <c r="B893" s="231" t="s">
        <v>177</v>
      </c>
      <c r="C893" s="232"/>
      <c r="D893" s="232">
        <v>97.31</v>
      </c>
      <c r="E893" s="233">
        <v>2.6277999999999999E-2</v>
      </c>
      <c r="F893" s="234">
        <f>pairs[[#This Row],[ Dist]]*5280</f>
        <v>138.74784</v>
      </c>
      <c r="G893" s="232">
        <f>ROUND(pairs[[#This Row],[ Az]]-ROUNDDOWN(pairs[[#This Row],[ Az]],0),1)</f>
        <v>0</v>
      </c>
      <c r="H893" s="232">
        <f>ROUND(pairs[[#This Row],[ Back]]-ROUNDDOWN(pairs[[#This Row],[ Back]],0),1)</f>
        <v>0.3</v>
      </c>
      <c r="I893" s="232">
        <f>IF( OR( OR(pairs[[#This Row],[Az*]]=0, pairs[[#This Row],[Back*]]=0), OR(pairs[[#This Row],[Az*]]=1, pairs[[#This Row],[Back*]]=1)), 1, 0)</f>
        <v>1</v>
      </c>
      <c r="J893" s="232">
        <f>IF(OR(pairs[[#This Row],[Az*]]=0.5,pairs[[#This Row],[Back*]]=0.5),1,0)</f>
        <v>0</v>
      </c>
    </row>
    <row r="894" spans="1:10">
      <c r="A894" s="231" t="s">
        <v>185</v>
      </c>
      <c r="B894" s="231" t="s">
        <v>176</v>
      </c>
      <c r="C894" s="232"/>
      <c r="D894" s="232">
        <v>350.43</v>
      </c>
      <c r="E894" s="233">
        <v>0.13458200000000001</v>
      </c>
      <c r="F894" s="234">
        <f>pairs[[#This Row],[ Dist]]*5280</f>
        <v>710.59296000000006</v>
      </c>
      <c r="G894" s="232">
        <f>ROUND(pairs[[#This Row],[ Az]]-ROUNDDOWN(pairs[[#This Row],[ Az]],0),1)</f>
        <v>0</v>
      </c>
      <c r="H894" s="232">
        <f>ROUND(pairs[[#This Row],[ Back]]-ROUNDDOWN(pairs[[#This Row],[ Back]],0),1)</f>
        <v>0.4</v>
      </c>
      <c r="I894" s="232">
        <f>IF( OR( OR(pairs[[#This Row],[Az*]]=0, pairs[[#This Row],[Back*]]=0), OR(pairs[[#This Row],[Az*]]=1, pairs[[#This Row],[Back*]]=1)), 1, 0)</f>
        <v>1</v>
      </c>
      <c r="J894" s="232">
        <f>IF(OR(pairs[[#This Row],[Az*]]=0.5,pairs[[#This Row],[Back*]]=0.5),1,0)</f>
        <v>0</v>
      </c>
    </row>
    <row r="895" spans="1:10">
      <c r="A895" s="231" t="s">
        <v>185</v>
      </c>
      <c r="B895" s="231" t="s">
        <v>175</v>
      </c>
      <c r="C895" s="232"/>
      <c r="D895" s="232">
        <v>10.55</v>
      </c>
      <c r="E895" s="233">
        <v>0.13347400000000001</v>
      </c>
      <c r="F895" s="234">
        <f>pairs[[#This Row],[ Dist]]*5280</f>
        <v>704.74272000000008</v>
      </c>
      <c r="G895" s="232">
        <f>ROUND(pairs[[#This Row],[ Az]]-ROUNDDOWN(pairs[[#This Row],[ Az]],0),1)</f>
        <v>0</v>
      </c>
      <c r="H895" s="232">
        <f>ROUND(pairs[[#This Row],[ Back]]-ROUNDDOWN(pairs[[#This Row],[ Back]],0),1)</f>
        <v>0.6</v>
      </c>
      <c r="I895" s="232">
        <f>IF( OR( OR(pairs[[#This Row],[Az*]]=0, pairs[[#This Row],[Back*]]=0), OR(pairs[[#This Row],[Az*]]=1, pairs[[#This Row],[Back*]]=1)), 1, 0)</f>
        <v>1</v>
      </c>
      <c r="J895" s="232">
        <f>IF(OR(pairs[[#This Row],[Az*]]=0.5,pairs[[#This Row],[Back*]]=0.5),1,0)</f>
        <v>0</v>
      </c>
    </row>
    <row r="896" spans="1:10">
      <c r="A896" s="231" t="s">
        <v>185</v>
      </c>
      <c r="B896" s="231" t="s">
        <v>174</v>
      </c>
      <c r="C896" s="232"/>
      <c r="D896" s="232">
        <v>42.17</v>
      </c>
      <c r="E896" s="233">
        <v>8.7106000000000003E-2</v>
      </c>
      <c r="F896" s="234">
        <f>pairs[[#This Row],[ Dist]]*5280</f>
        <v>459.91968000000003</v>
      </c>
      <c r="G896" s="232">
        <f>ROUND(pairs[[#This Row],[ Az]]-ROUNDDOWN(pairs[[#This Row],[ Az]],0),1)</f>
        <v>0</v>
      </c>
      <c r="H896" s="232">
        <f>ROUND(pairs[[#This Row],[ Back]]-ROUNDDOWN(pairs[[#This Row],[ Back]],0),1)</f>
        <v>0.2</v>
      </c>
      <c r="I896" s="232">
        <f>IF( OR( OR(pairs[[#This Row],[Az*]]=0, pairs[[#This Row],[Back*]]=0), OR(pairs[[#This Row],[Az*]]=1, pairs[[#This Row],[Back*]]=1)), 1, 0)</f>
        <v>1</v>
      </c>
      <c r="J896" s="232">
        <f>IF(OR(pairs[[#This Row],[Az*]]=0.5,pairs[[#This Row],[Back*]]=0.5),1,0)</f>
        <v>0</v>
      </c>
    </row>
    <row r="897" spans="1:10">
      <c r="A897" s="231" t="s">
        <v>185</v>
      </c>
      <c r="B897" s="231" t="s">
        <v>173</v>
      </c>
      <c r="C897" s="232"/>
      <c r="D897" s="232">
        <v>87.82</v>
      </c>
      <c r="E897" s="233">
        <v>0.17858299999999999</v>
      </c>
      <c r="F897" s="234">
        <f>pairs[[#This Row],[ Dist]]*5280</f>
        <v>942.91823999999997</v>
      </c>
      <c r="G897" s="232">
        <f>ROUND(pairs[[#This Row],[ Az]]-ROUNDDOWN(pairs[[#This Row],[ Az]],0),1)</f>
        <v>0</v>
      </c>
      <c r="H897" s="232">
        <f>ROUND(pairs[[#This Row],[ Back]]-ROUNDDOWN(pairs[[#This Row],[ Back]],0),1)</f>
        <v>0.8</v>
      </c>
      <c r="I897" s="232">
        <f>IF( OR( OR(pairs[[#This Row],[Az*]]=0, pairs[[#This Row],[Back*]]=0), OR(pairs[[#This Row],[Az*]]=1, pairs[[#This Row],[Back*]]=1)), 1, 0)</f>
        <v>1</v>
      </c>
      <c r="J897" s="232">
        <f>IF(OR(pairs[[#This Row],[Az*]]=0.5,pairs[[#This Row],[Back*]]=0.5),1,0)</f>
        <v>0</v>
      </c>
    </row>
    <row r="898" spans="1:10">
      <c r="A898" s="231" t="s">
        <v>185</v>
      </c>
      <c r="B898" s="231" t="s">
        <v>172</v>
      </c>
      <c r="C898" s="232"/>
      <c r="D898" s="232">
        <v>55.8</v>
      </c>
      <c r="E898" s="233">
        <v>0.21638499999999999</v>
      </c>
      <c r="F898" s="234">
        <f>pairs[[#This Row],[ Dist]]*5280</f>
        <v>1142.5128</v>
      </c>
      <c r="G898" s="232">
        <f>ROUND(pairs[[#This Row],[ Az]]-ROUNDDOWN(pairs[[#This Row],[ Az]],0),1)</f>
        <v>0</v>
      </c>
      <c r="H898" s="232">
        <f>ROUND(pairs[[#This Row],[ Back]]-ROUNDDOWN(pairs[[#This Row],[ Back]],0),1)</f>
        <v>0.8</v>
      </c>
      <c r="I898" s="232">
        <f>IF( OR( OR(pairs[[#This Row],[Az*]]=0, pairs[[#This Row],[Back*]]=0), OR(pairs[[#This Row],[Az*]]=1, pairs[[#This Row],[Back*]]=1)), 1, 0)</f>
        <v>1</v>
      </c>
      <c r="J898" s="232">
        <f>IF(OR(pairs[[#This Row],[Az*]]=0.5,pairs[[#This Row],[Back*]]=0.5),1,0)</f>
        <v>0</v>
      </c>
    </row>
    <row r="899" spans="1:10">
      <c r="A899" s="231" t="s">
        <v>185</v>
      </c>
      <c r="B899" s="231" t="s">
        <v>171</v>
      </c>
      <c r="C899" s="232"/>
      <c r="D899" s="232">
        <v>359.77</v>
      </c>
      <c r="E899" s="233">
        <v>0.11020199999999999</v>
      </c>
      <c r="F899" s="234">
        <f>pairs[[#This Row],[ Dist]]*5280</f>
        <v>581.86655999999994</v>
      </c>
      <c r="G899" s="232">
        <f>ROUND(pairs[[#This Row],[ Az]]-ROUNDDOWN(pairs[[#This Row],[ Az]],0),1)</f>
        <v>0</v>
      </c>
      <c r="H899" s="232">
        <f>ROUND(pairs[[#This Row],[ Back]]-ROUNDDOWN(pairs[[#This Row],[ Back]],0),1)</f>
        <v>0.8</v>
      </c>
      <c r="I899" s="232">
        <f>IF( OR( OR(pairs[[#This Row],[Az*]]=0, pairs[[#This Row],[Back*]]=0), OR(pairs[[#This Row],[Az*]]=1, pairs[[#This Row],[Back*]]=1)), 1, 0)</f>
        <v>1</v>
      </c>
      <c r="J899" s="232">
        <f>IF(OR(pairs[[#This Row],[Az*]]=0.5,pairs[[#This Row],[Back*]]=0.5),1,0)</f>
        <v>0</v>
      </c>
    </row>
    <row r="900" spans="1:10" ht="14.1">
      <c r="A900" s="206" t="s">
        <v>185</v>
      </c>
      <c r="B900" s="206" t="s">
        <v>169</v>
      </c>
      <c r="C900" s="235"/>
      <c r="D900" s="235">
        <v>198.53</v>
      </c>
      <c r="E900" s="236">
        <v>0.41617799999999999</v>
      </c>
      <c r="F900" s="237">
        <f>pairs[[#This Row],[ Dist]]*5280</f>
        <v>2197.41984</v>
      </c>
      <c r="G900" s="235">
        <f>ROUND(pairs[[#This Row],[ Az]]-ROUNDDOWN(pairs[[#This Row],[ Az]],0),1)</f>
        <v>0</v>
      </c>
      <c r="H900" s="235">
        <f>ROUND(pairs[[#This Row],[ Back]]-ROUNDDOWN(pairs[[#This Row],[ Back]],0),1)</f>
        <v>0.5</v>
      </c>
      <c r="I900" s="235">
        <f>IF( OR( OR(pairs[[#This Row],[Az*]]=0, pairs[[#This Row],[Back*]]=0), OR(pairs[[#This Row],[Az*]]=1, pairs[[#This Row],[Back*]]=1)), 1, 0)</f>
        <v>1</v>
      </c>
      <c r="J900" s="235">
        <f>IF(OR(pairs[[#This Row],[Az*]]=0.5,pairs[[#This Row],[Back*]]=0.5),1,0)</f>
        <v>1</v>
      </c>
    </row>
    <row r="901" spans="1:10">
      <c r="A901" s="231" t="s">
        <v>185</v>
      </c>
      <c r="B901" s="231" t="s">
        <v>168</v>
      </c>
      <c r="C901" s="232"/>
      <c r="D901" s="232">
        <v>344.87</v>
      </c>
      <c r="E901" s="233">
        <v>1.2627919999999999</v>
      </c>
      <c r="F901" s="234">
        <f>pairs[[#This Row],[ Dist]]*5280</f>
        <v>6667.5417599999992</v>
      </c>
      <c r="G901" s="232">
        <f>ROUND(pairs[[#This Row],[ Az]]-ROUNDDOWN(pairs[[#This Row],[ Az]],0),1)</f>
        <v>0</v>
      </c>
      <c r="H901" s="232">
        <f>ROUND(pairs[[#This Row],[ Back]]-ROUNDDOWN(pairs[[#This Row],[ Back]],0),1)</f>
        <v>0.9</v>
      </c>
      <c r="I901" s="232">
        <f>IF( OR( OR(pairs[[#This Row],[Az*]]=0, pairs[[#This Row],[Back*]]=0), OR(pairs[[#This Row],[Az*]]=1, pairs[[#This Row],[Back*]]=1)), 1, 0)</f>
        <v>1</v>
      </c>
      <c r="J901" s="232">
        <f>IF(OR(pairs[[#This Row],[Az*]]=0.5,pairs[[#This Row],[Back*]]=0.5),1,0)</f>
        <v>0</v>
      </c>
    </row>
    <row r="902" spans="1:10">
      <c r="A902" s="231" t="s">
        <v>185</v>
      </c>
      <c r="B902" s="231" t="s">
        <v>167</v>
      </c>
      <c r="C902" s="232"/>
      <c r="D902" s="232">
        <v>13.85</v>
      </c>
      <c r="E902" s="233">
        <v>1.623637</v>
      </c>
      <c r="F902" s="234">
        <f>pairs[[#This Row],[ Dist]]*5280</f>
        <v>8572.8033599999999</v>
      </c>
      <c r="G902" s="232">
        <f>ROUND(pairs[[#This Row],[ Az]]-ROUNDDOWN(pairs[[#This Row],[ Az]],0),1)</f>
        <v>0</v>
      </c>
      <c r="H902" s="232">
        <f>ROUND(pairs[[#This Row],[ Back]]-ROUNDDOWN(pairs[[#This Row],[ Back]],0),1)</f>
        <v>0.9</v>
      </c>
      <c r="I902" s="232">
        <f>IF( OR( OR(pairs[[#This Row],[Az*]]=0, pairs[[#This Row],[Back*]]=0), OR(pairs[[#This Row],[Az*]]=1, pairs[[#This Row],[Back*]]=1)), 1, 0)</f>
        <v>1</v>
      </c>
      <c r="J902" s="232">
        <f>IF(OR(pairs[[#This Row],[Az*]]=0.5,pairs[[#This Row],[Back*]]=0.5),1,0)</f>
        <v>0</v>
      </c>
    </row>
    <row r="903" spans="1:10">
      <c r="A903" s="231" t="s">
        <v>185</v>
      </c>
      <c r="B903" s="231" t="s">
        <v>166</v>
      </c>
      <c r="C903" s="232"/>
      <c r="D903" s="232">
        <v>14.84</v>
      </c>
      <c r="E903" s="233">
        <v>0.68193800000000004</v>
      </c>
      <c r="F903" s="234">
        <f>pairs[[#This Row],[ Dist]]*5280</f>
        <v>3600.6326400000003</v>
      </c>
      <c r="G903" s="232">
        <f>ROUND(pairs[[#This Row],[ Az]]-ROUNDDOWN(pairs[[#This Row],[ Az]],0),1)</f>
        <v>0</v>
      </c>
      <c r="H903" s="232">
        <f>ROUND(pairs[[#This Row],[ Back]]-ROUNDDOWN(pairs[[#This Row],[ Back]],0),1)</f>
        <v>0.8</v>
      </c>
      <c r="I903" s="232">
        <f>IF( OR( OR(pairs[[#This Row],[Az*]]=0, pairs[[#This Row],[Back*]]=0), OR(pairs[[#This Row],[Az*]]=1, pairs[[#This Row],[Back*]]=1)), 1, 0)</f>
        <v>1</v>
      </c>
      <c r="J903" s="232">
        <f>IF(OR(pairs[[#This Row],[Az*]]=0.5,pairs[[#This Row],[Back*]]=0.5),1,0)</f>
        <v>0</v>
      </c>
    </row>
    <row r="904" spans="1:10">
      <c r="A904" s="231" t="s">
        <v>185</v>
      </c>
      <c r="B904" s="231" t="s">
        <v>181</v>
      </c>
      <c r="C904" s="232"/>
      <c r="D904" s="232">
        <v>15.43</v>
      </c>
      <c r="E904" s="233">
        <v>2.3948999999999998</v>
      </c>
      <c r="F904" s="234">
        <f>pairs[[#This Row],[ Dist]]*5280</f>
        <v>12645.071999999998</v>
      </c>
      <c r="G904" s="232">
        <f>ROUND(pairs[[#This Row],[ Az]]-ROUNDDOWN(pairs[[#This Row],[ Az]],0),1)</f>
        <v>0</v>
      </c>
      <c r="H904" s="232">
        <f>ROUND(pairs[[#This Row],[ Back]]-ROUNDDOWN(pairs[[#This Row],[ Back]],0),1)</f>
        <v>0.4</v>
      </c>
      <c r="I904" s="232">
        <f>IF( OR( OR(pairs[[#This Row],[Az*]]=0, pairs[[#This Row],[Back*]]=0), OR(pairs[[#This Row],[Az*]]=1, pairs[[#This Row],[Back*]]=1)), 1, 0)</f>
        <v>1</v>
      </c>
      <c r="J904" s="232">
        <f>IF(OR(pairs[[#This Row],[Az*]]=0.5,pairs[[#This Row],[Back*]]=0.5),1,0)</f>
        <v>0</v>
      </c>
    </row>
    <row r="905" spans="1:10">
      <c r="A905" s="231" t="s">
        <v>186</v>
      </c>
      <c r="B905" s="231" t="s">
        <v>179</v>
      </c>
      <c r="C905" s="232"/>
      <c r="D905" s="232">
        <v>176.73</v>
      </c>
      <c r="E905" s="233">
        <v>4.6700999999999999E-2</v>
      </c>
      <c r="F905" s="234">
        <f>pairs[[#This Row],[ Dist]]*5280</f>
        <v>246.58127999999999</v>
      </c>
      <c r="G905" s="232">
        <f>ROUND(pairs[[#This Row],[ Az]]-ROUNDDOWN(pairs[[#This Row],[ Az]],0),1)</f>
        <v>0</v>
      </c>
      <c r="H905" s="232">
        <f>ROUND(pairs[[#This Row],[ Back]]-ROUNDDOWN(pairs[[#This Row],[ Back]],0),1)</f>
        <v>0.7</v>
      </c>
      <c r="I905" s="232">
        <f>IF( OR( OR(pairs[[#This Row],[Az*]]=0, pairs[[#This Row],[Back*]]=0), OR(pairs[[#This Row],[Az*]]=1, pairs[[#This Row],[Back*]]=1)), 1, 0)</f>
        <v>1</v>
      </c>
      <c r="J905" s="232">
        <f>IF(OR(pairs[[#This Row],[Az*]]=0.5,pairs[[#This Row],[Back*]]=0.5),1,0)</f>
        <v>0</v>
      </c>
    </row>
    <row r="906" spans="1:10">
      <c r="A906" s="231" t="s">
        <v>186</v>
      </c>
      <c r="B906" s="231" t="s">
        <v>178</v>
      </c>
      <c r="C906" s="232"/>
      <c r="D906" s="232">
        <v>189.55</v>
      </c>
      <c r="E906" s="233">
        <v>0.113789</v>
      </c>
      <c r="F906" s="234">
        <f>pairs[[#This Row],[ Dist]]*5280</f>
        <v>600.80592000000001</v>
      </c>
      <c r="G906" s="232">
        <f>ROUND(pairs[[#This Row],[ Az]]-ROUNDDOWN(pairs[[#This Row],[ Az]],0),1)</f>
        <v>0</v>
      </c>
      <c r="H906" s="232">
        <f>ROUND(pairs[[#This Row],[ Back]]-ROUNDDOWN(pairs[[#This Row],[ Back]],0),1)</f>
        <v>0.6</v>
      </c>
      <c r="I906" s="232">
        <f>IF( OR( OR(pairs[[#This Row],[Az*]]=0, pairs[[#This Row],[Back*]]=0), OR(pairs[[#This Row],[Az*]]=1, pairs[[#This Row],[Back*]]=1)), 1, 0)</f>
        <v>1</v>
      </c>
      <c r="J906" s="232">
        <f>IF(OR(pairs[[#This Row],[Az*]]=0.5,pairs[[#This Row],[Back*]]=0.5),1,0)</f>
        <v>0</v>
      </c>
    </row>
    <row r="907" spans="1:10">
      <c r="A907" s="231" t="s">
        <v>186</v>
      </c>
      <c r="B907" s="231" t="s">
        <v>177</v>
      </c>
      <c r="C907" s="232"/>
      <c r="D907" s="232">
        <v>166.86</v>
      </c>
      <c r="E907" s="233">
        <v>0.116601</v>
      </c>
      <c r="F907" s="234">
        <f>pairs[[#This Row],[ Dist]]*5280</f>
        <v>615.65328</v>
      </c>
      <c r="G907" s="232">
        <f>ROUND(pairs[[#This Row],[ Az]]-ROUNDDOWN(pairs[[#This Row],[ Az]],0),1)</f>
        <v>0</v>
      </c>
      <c r="H907" s="232">
        <f>ROUND(pairs[[#This Row],[ Back]]-ROUNDDOWN(pairs[[#This Row],[ Back]],0),1)</f>
        <v>0.9</v>
      </c>
      <c r="I907" s="232">
        <f>IF( OR( OR(pairs[[#This Row],[Az*]]=0, pairs[[#This Row],[Back*]]=0), OR(pairs[[#This Row],[Az*]]=1, pairs[[#This Row],[Back*]]=1)), 1, 0)</f>
        <v>1</v>
      </c>
      <c r="J907" s="232">
        <f>IF(OR(pairs[[#This Row],[Az*]]=0.5,pairs[[#This Row],[Back*]]=0.5),1,0)</f>
        <v>0</v>
      </c>
    </row>
    <row r="908" spans="1:10">
      <c r="A908" s="231" t="s">
        <v>186</v>
      </c>
      <c r="B908" s="231" t="s">
        <v>176</v>
      </c>
      <c r="C908" s="232"/>
      <c r="D908" s="232">
        <v>315.75</v>
      </c>
      <c r="E908" s="233">
        <v>3.1419999999999997E-2</v>
      </c>
      <c r="F908" s="234">
        <f>pairs[[#This Row],[ Dist]]*5280</f>
        <v>165.89759999999998</v>
      </c>
      <c r="G908" s="232">
        <f>ROUND(pairs[[#This Row],[ Az]]-ROUNDDOWN(pairs[[#This Row],[ Az]],0),1)</f>
        <v>0</v>
      </c>
      <c r="H908" s="232">
        <f>ROUND(pairs[[#This Row],[ Back]]-ROUNDDOWN(pairs[[#This Row],[ Back]],0),1)</f>
        <v>0.8</v>
      </c>
      <c r="I908" s="232">
        <f>IF( OR( OR(pairs[[#This Row],[Az*]]=0, pairs[[#This Row],[Back*]]=0), OR(pairs[[#This Row],[Az*]]=1, pairs[[#This Row],[Back*]]=1)), 1, 0)</f>
        <v>1</v>
      </c>
      <c r="J908" s="232">
        <f>IF(OR(pairs[[#This Row],[Az*]]=0.5,pairs[[#This Row],[Back*]]=0.5),1,0)</f>
        <v>0</v>
      </c>
    </row>
    <row r="909" spans="1:10">
      <c r="A909" s="231" t="s">
        <v>186</v>
      </c>
      <c r="B909" s="231" t="s">
        <v>175</v>
      </c>
      <c r="C909" s="232"/>
      <c r="D909" s="232">
        <v>49.81</v>
      </c>
      <c r="E909" s="233">
        <v>3.2566999999999999E-2</v>
      </c>
      <c r="F909" s="234">
        <f>pairs[[#This Row],[ Dist]]*5280</f>
        <v>171.95375999999999</v>
      </c>
      <c r="G909" s="232">
        <f>ROUND(pairs[[#This Row],[ Az]]-ROUNDDOWN(pairs[[#This Row],[ Az]],0),1)</f>
        <v>0</v>
      </c>
      <c r="H909" s="232">
        <f>ROUND(pairs[[#This Row],[ Back]]-ROUNDDOWN(pairs[[#This Row],[ Back]],0),1)</f>
        <v>0.8</v>
      </c>
      <c r="I909" s="232">
        <f>IF( OR( OR(pairs[[#This Row],[Az*]]=0, pairs[[#This Row],[Back*]]=0), OR(pairs[[#This Row],[Az*]]=1, pairs[[#This Row],[Back*]]=1)), 1, 0)</f>
        <v>1</v>
      </c>
      <c r="J909" s="232">
        <f>IF(OR(pairs[[#This Row],[Az*]]=0.5,pairs[[#This Row],[Back*]]=0.5),1,0)</f>
        <v>0</v>
      </c>
    </row>
    <row r="910" spans="1:10">
      <c r="A910" s="231" t="s">
        <v>186</v>
      </c>
      <c r="B910" s="231" t="s">
        <v>174</v>
      </c>
      <c r="C910" s="232"/>
      <c r="D910" s="232">
        <v>127.76</v>
      </c>
      <c r="E910" s="233">
        <v>7.4539999999999995E-2</v>
      </c>
      <c r="F910" s="234">
        <f>pairs[[#This Row],[ Dist]]*5280</f>
        <v>393.57119999999998</v>
      </c>
      <c r="G910" s="232">
        <f>ROUND(pairs[[#This Row],[ Az]]-ROUNDDOWN(pairs[[#This Row],[ Az]],0),1)</f>
        <v>0</v>
      </c>
      <c r="H910" s="232">
        <f>ROUND(pairs[[#This Row],[ Back]]-ROUNDDOWN(pairs[[#This Row],[ Back]],0),1)</f>
        <v>0.8</v>
      </c>
      <c r="I910" s="232">
        <f>IF( OR( OR(pairs[[#This Row],[Az*]]=0, pairs[[#This Row],[Back*]]=0), OR(pairs[[#This Row],[Az*]]=1, pairs[[#This Row],[Back*]]=1)), 1, 0)</f>
        <v>1</v>
      </c>
      <c r="J910" s="232">
        <f>IF(OR(pairs[[#This Row],[Az*]]=0.5,pairs[[#This Row],[Back*]]=0.5),1,0)</f>
        <v>0</v>
      </c>
    </row>
    <row r="911" spans="1:10" ht="14.1">
      <c r="A911" s="23" t="s">
        <v>186</v>
      </c>
      <c r="B911" s="23" t="s">
        <v>173</v>
      </c>
      <c r="C911" s="229"/>
      <c r="D911" s="229">
        <v>120.03</v>
      </c>
      <c r="E911" s="25">
        <v>0.20664399999999999</v>
      </c>
      <c r="F911" s="230">
        <f>pairs[[#This Row],[ Dist]]*5280</f>
        <v>1091.08032</v>
      </c>
      <c r="G911" s="232">
        <f>ROUND(pairs[[#This Row],[ Az]]-ROUNDDOWN(pairs[[#This Row],[ Az]],0),1)</f>
        <v>0</v>
      </c>
      <c r="H911" s="232">
        <f>ROUND(pairs[[#This Row],[ Back]]-ROUNDDOWN(pairs[[#This Row],[ Back]],0),1)</f>
        <v>0</v>
      </c>
      <c r="I911" s="232">
        <f>IF( OR( OR(pairs[[#This Row],[Az*]]=0, pairs[[#This Row],[Back*]]=0), OR(pairs[[#This Row],[Az*]]=1, pairs[[#This Row],[Back*]]=1)), 1, 0)</f>
        <v>1</v>
      </c>
      <c r="J911" s="232">
        <f>IF(OR(pairs[[#This Row],[Az*]]=0.5,pairs[[#This Row],[Back*]]=0.5),1,0)</f>
        <v>0</v>
      </c>
    </row>
    <row r="912" spans="1:10">
      <c r="A912" s="231" t="s">
        <v>186</v>
      </c>
      <c r="B912" s="231" t="s">
        <v>172</v>
      </c>
      <c r="C912" s="232"/>
      <c r="D912" s="232">
        <v>86.36</v>
      </c>
      <c r="E912" s="233">
        <v>0.179782</v>
      </c>
      <c r="F912" s="234">
        <f>pairs[[#This Row],[ Dist]]*5280</f>
        <v>949.24896000000001</v>
      </c>
      <c r="G912" s="232">
        <f>ROUND(pairs[[#This Row],[ Az]]-ROUNDDOWN(pairs[[#This Row],[ Az]],0),1)</f>
        <v>0</v>
      </c>
      <c r="H912" s="232">
        <f>ROUND(pairs[[#This Row],[ Back]]-ROUNDDOWN(pairs[[#This Row],[ Back]],0),1)</f>
        <v>0.4</v>
      </c>
      <c r="I912" s="232">
        <f>IF( OR( OR(pairs[[#This Row],[Az*]]=0, pairs[[#This Row],[Back*]]=0), OR(pairs[[#This Row],[Az*]]=1, pairs[[#This Row],[Back*]]=1)), 1, 0)</f>
        <v>1</v>
      </c>
      <c r="J912" s="232">
        <f>IF(OR(pairs[[#This Row],[Az*]]=0.5,pairs[[#This Row],[Back*]]=0.5),1,0)</f>
        <v>0</v>
      </c>
    </row>
    <row r="913" spans="1:10">
      <c r="A913" s="231" t="s">
        <v>186</v>
      </c>
      <c r="B913" s="231" t="s">
        <v>170</v>
      </c>
      <c r="C913" s="232"/>
      <c r="D913" s="232">
        <v>179.77</v>
      </c>
      <c r="E913" s="233">
        <v>0.11020199999999999</v>
      </c>
      <c r="F913" s="234">
        <f>pairs[[#This Row],[ Dist]]*5280</f>
        <v>581.86655999999994</v>
      </c>
      <c r="G913" s="232">
        <f>ROUND(pairs[[#This Row],[ Az]]-ROUNDDOWN(pairs[[#This Row],[ Az]],0),1)</f>
        <v>0</v>
      </c>
      <c r="H913" s="232">
        <f>ROUND(pairs[[#This Row],[ Back]]-ROUNDDOWN(pairs[[#This Row],[ Back]],0),1)</f>
        <v>0.8</v>
      </c>
      <c r="I913" s="232">
        <f>IF( OR( OR(pairs[[#This Row],[Az*]]=0, pairs[[#This Row],[Back*]]=0), OR(pairs[[#This Row],[Az*]]=1, pairs[[#This Row],[Back*]]=1)), 1, 0)</f>
        <v>1</v>
      </c>
      <c r="J913" s="232">
        <f>IF(OR(pairs[[#This Row],[Az*]]=0.5,pairs[[#This Row],[Back*]]=0.5),1,0)</f>
        <v>0</v>
      </c>
    </row>
    <row r="914" spans="1:10">
      <c r="A914" s="231" t="s">
        <v>186</v>
      </c>
      <c r="B914" s="231" t="s">
        <v>169</v>
      </c>
      <c r="C914" s="232"/>
      <c r="D914" s="232">
        <v>194.63</v>
      </c>
      <c r="E914" s="233">
        <v>0.52173199999999997</v>
      </c>
      <c r="F914" s="234">
        <f>pairs[[#This Row],[ Dist]]*5280</f>
        <v>2754.74496</v>
      </c>
      <c r="G914" s="232">
        <f>ROUND(pairs[[#This Row],[ Az]]-ROUNDDOWN(pairs[[#This Row],[ Az]],0),1)</f>
        <v>0</v>
      </c>
      <c r="H914" s="232">
        <f>ROUND(pairs[[#This Row],[ Back]]-ROUNDDOWN(pairs[[#This Row],[ Back]],0),1)</f>
        <v>0.6</v>
      </c>
      <c r="I914" s="232">
        <f>IF( OR( OR(pairs[[#This Row],[Az*]]=0, pairs[[#This Row],[Back*]]=0), OR(pairs[[#This Row],[Az*]]=1, pairs[[#This Row],[Back*]]=1)), 1, 0)</f>
        <v>1</v>
      </c>
      <c r="J914" s="232">
        <f>IF(OR(pairs[[#This Row],[Az*]]=0.5,pairs[[#This Row],[Back*]]=0.5),1,0)</f>
        <v>0</v>
      </c>
    </row>
    <row r="915" spans="1:10" ht="14.1">
      <c r="A915" s="206" t="s">
        <v>186</v>
      </c>
      <c r="B915" s="206" t="s">
        <v>168</v>
      </c>
      <c r="C915" s="235"/>
      <c r="D915" s="235">
        <v>343.47</v>
      </c>
      <c r="E915" s="236">
        <v>1.156641</v>
      </c>
      <c r="F915" s="237">
        <f>pairs[[#This Row],[ Dist]]*5280</f>
        <v>6107.06448</v>
      </c>
      <c r="G915" s="235">
        <f>ROUND(pairs[[#This Row],[ Az]]-ROUNDDOWN(pairs[[#This Row],[ Az]],0),1)</f>
        <v>0</v>
      </c>
      <c r="H915" s="235">
        <f>ROUND(pairs[[#This Row],[ Back]]-ROUNDDOWN(pairs[[#This Row],[ Back]],0),1)</f>
        <v>0.5</v>
      </c>
      <c r="I915" s="235">
        <f>IF( OR( OR(pairs[[#This Row],[Az*]]=0, pairs[[#This Row],[Back*]]=0), OR(pairs[[#This Row],[Az*]]=1, pairs[[#This Row],[Back*]]=1)), 1, 0)</f>
        <v>1</v>
      </c>
      <c r="J915" s="235">
        <f>IF(OR(pairs[[#This Row],[Az*]]=0.5,pairs[[#This Row],[Back*]]=0.5),1,0)</f>
        <v>1</v>
      </c>
    </row>
    <row r="916" spans="1:10">
      <c r="A916" s="231" t="s">
        <v>186</v>
      </c>
      <c r="B916" s="231" t="s">
        <v>167</v>
      </c>
      <c r="C916" s="232"/>
      <c r="D916" s="232">
        <v>14.87</v>
      </c>
      <c r="E916" s="233">
        <v>1.516988</v>
      </c>
      <c r="F916" s="234">
        <f>pairs[[#This Row],[ Dist]]*5280</f>
        <v>8009.6966400000001</v>
      </c>
      <c r="G916" s="232">
        <f>ROUND(pairs[[#This Row],[ Az]]-ROUNDDOWN(pairs[[#This Row],[ Az]],0),1)</f>
        <v>0</v>
      </c>
      <c r="H916" s="232">
        <f>ROUND(pairs[[#This Row],[ Back]]-ROUNDDOWN(pairs[[#This Row],[ Back]],0),1)</f>
        <v>0.9</v>
      </c>
      <c r="I916" s="232">
        <f>IF( OR( OR(pairs[[#This Row],[Az*]]=0, pairs[[#This Row],[Back*]]=0), OR(pairs[[#This Row],[Az*]]=1, pairs[[#This Row],[Back*]]=1)), 1, 0)</f>
        <v>1</v>
      </c>
      <c r="J916" s="232">
        <f>IF(OR(pairs[[#This Row],[Az*]]=0.5,pairs[[#This Row],[Back*]]=0.5),1,0)</f>
        <v>0</v>
      </c>
    </row>
    <row r="917" spans="1:10">
      <c r="A917" s="231" t="s">
        <v>186</v>
      </c>
      <c r="B917" s="231" t="s">
        <v>166</v>
      </c>
      <c r="C917" s="232"/>
      <c r="D917" s="232">
        <v>17.690000000000001</v>
      </c>
      <c r="E917" s="233">
        <v>0.57623899999999995</v>
      </c>
      <c r="F917" s="234">
        <f>pairs[[#This Row],[ Dist]]*5280</f>
        <v>3042.5419199999997</v>
      </c>
      <c r="G917" s="232">
        <f>ROUND(pairs[[#This Row],[ Az]]-ROUNDDOWN(pairs[[#This Row],[ Az]],0),1)</f>
        <v>0</v>
      </c>
      <c r="H917" s="232">
        <f>ROUND(pairs[[#This Row],[ Back]]-ROUNDDOWN(pairs[[#This Row],[ Back]],0),1)</f>
        <v>0.7</v>
      </c>
      <c r="I917" s="232">
        <f>IF( OR( OR(pairs[[#This Row],[Az*]]=0, pairs[[#This Row],[Back*]]=0), OR(pairs[[#This Row],[Az*]]=1, pairs[[#This Row],[Back*]]=1)), 1, 0)</f>
        <v>1</v>
      </c>
      <c r="J917" s="232">
        <f>IF(OR(pairs[[#This Row],[Az*]]=0.5,pairs[[#This Row],[Back*]]=0.5),1,0)</f>
        <v>0</v>
      </c>
    </row>
    <row r="918" spans="1:10">
      <c r="A918" s="231" t="s">
        <v>186</v>
      </c>
      <c r="B918" s="231" t="s">
        <v>181</v>
      </c>
      <c r="C918" s="232"/>
      <c r="D918" s="232">
        <v>16.18</v>
      </c>
      <c r="E918" s="233">
        <v>2.2889889999999999</v>
      </c>
      <c r="F918" s="234">
        <f>pairs[[#This Row],[ Dist]]*5280</f>
        <v>12085.861919999999</v>
      </c>
      <c r="G918" s="232">
        <f>ROUND(pairs[[#This Row],[ Az]]-ROUNDDOWN(pairs[[#This Row],[ Az]],0),1)</f>
        <v>0</v>
      </c>
      <c r="H918" s="232">
        <f>ROUND(pairs[[#This Row],[ Back]]-ROUNDDOWN(pairs[[#This Row],[ Back]],0),1)</f>
        <v>0.2</v>
      </c>
      <c r="I918" s="232">
        <f>IF( OR( OR(pairs[[#This Row],[Az*]]=0, pairs[[#This Row],[Back*]]=0), OR(pairs[[#This Row],[Az*]]=1, pairs[[#This Row],[Back*]]=1)), 1, 0)</f>
        <v>1</v>
      </c>
      <c r="J918" s="232">
        <f>IF(OR(pairs[[#This Row],[Az*]]=0.5,pairs[[#This Row],[Back*]]=0.5),1,0)</f>
        <v>0</v>
      </c>
    </row>
    <row r="919" spans="1:10">
      <c r="A919" s="231" t="s">
        <v>187</v>
      </c>
      <c r="B919" s="231" t="s">
        <v>179</v>
      </c>
      <c r="C919" s="232"/>
      <c r="D919" s="232">
        <v>251.82</v>
      </c>
      <c r="E919" s="233">
        <v>0.18604499999999999</v>
      </c>
      <c r="F919" s="234">
        <f>pairs[[#This Row],[ Dist]]*5280</f>
        <v>982.31759999999997</v>
      </c>
      <c r="G919" s="232">
        <f>ROUND(pairs[[#This Row],[ Az]]-ROUNDDOWN(pairs[[#This Row],[ Az]],0),1)</f>
        <v>0</v>
      </c>
      <c r="H919" s="232">
        <f>ROUND(pairs[[#This Row],[ Back]]-ROUNDDOWN(pairs[[#This Row],[ Back]],0),1)</f>
        <v>0.8</v>
      </c>
      <c r="I919" s="232">
        <f>IF( OR( OR(pairs[[#This Row],[Az*]]=0, pairs[[#This Row],[Back*]]=0), OR(pairs[[#This Row],[Az*]]=1, pairs[[#This Row],[Back*]]=1)), 1, 0)</f>
        <v>1</v>
      </c>
      <c r="J919" s="232">
        <f>IF(OR(pairs[[#This Row],[Az*]]=0.5,pairs[[#This Row],[Back*]]=0.5),1,0)</f>
        <v>0</v>
      </c>
    </row>
    <row r="920" spans="1:10">
      <c r="A920" s="231" t="s">
        <v>187</v>
      </c>
      <c r="B920" s="231" t="s">
        <v>178</v>
      </c>
      <c r="C920" s="232"/>
      <c r="D920" s="232">
        <v>238.06</v>
      </c>
      <c r="E920" s="233">
        <v>0.233682</v>
      </c>
      <c r="F920" s="234">
        <f>pairs[[#This Row],[ Dist]]*5280</f>
        <v>1233.84096</v>
      </c>
      <c r="G920" s="232">
        <f>ROUND(pairs[[#This Row],[ Az]]-ROUNDDOWN(pairs[[#This Row],[ Az]],0),1)</f>
        <v>0</v>
      </c>
      <c r="H920" s="232">
        <f>ROUND(pairs[[#This Row],[ Back]]-ROUNDDOWN(pairs[[#This Row],[ Back]],0),1)</f>
        <v>0.1</v>
      </c>
      <c r="I920" s="232">
        <f>IF( OR( OR(pairs[[#This Row],[Az*]]=0, pairs[[#This Row],[Back*]]=0), OR(pairs[[#This Row],[Az*]]=1, pairs[[#This Row],[Back*]]=1)), 1, 0)</f>
        <v>1</v>
      </c>
      <c r="J920" s="232">
        <f>IF(OR(pairs[[#This Row],[Az*]]=0.5,pairs[[#This Row],[Back*]]=0.5),1,0)</f>
        <v>0</v>
      </c>
    </row>
    <row r="921" spans="1:10">
      <c r="A921" s="231" t="s">
        <v>187</v>
      </c>
      <c r="B921" s="231" t="s">
        <v>177</v>
      </c>
      <c r="C921" s="232"/>
      <c r="D921" s="232">
        <v>230.74</v>
      </c>
      <c r="E921" s="233">
        <v>0.19747600000000001</v>
      </c>
      <c r="F921" s="234">
        <f>pairs[[#This Row],[ Dist]]*5280</f>
        <v>1042.67328</v>
      </c>
      <c r="G921" s="232">
        <f>ROUND(pairs[[#This Row],[ Az]]-ROUNDDOWN(pairs[[#This Row],[ Az]],0),1)</f>
        <v>0</v>
      </c>
      <c r="H921" s="232">
        <f>ROUND(pairs[[#This Row],[ Back]]-ROUNDDOWN(pairs[[#This Row],[ Back]],0),1)</f>
        <v>0.7</v>
      </c>
      <c r="I921" s="232">
        <f>IF( OR( OR(pairs[[#This Row],[Az*]]=0, pairs[[#This Row],[Back*]]=0), OR(pairs[[#This Row],[Az*]]=1, pairs[[#This Row],[Back*]]=1)), 1, 0)</f>
        <v>1</v>
      </c>
      <c r="J921" s="232">
        <f>IF(OR(pairs[[#This Row],[Az*]]=0.5,pairs[[#This Row],[Back*]]=0.5),1,0)</f>
        <v>0</v>
      </c>
    </row>
    <row r="922" spans="1:10">
      <c r="A922" s="231" t="s">
        <v>187</v>
      </c>
      <c r="B922" s="231" t="s">
        <v>176</v>
      </c>
      <c r="C922" s="232"/>
      <c r="D922" s="232">
        <v>273.14999999999998</v>
      </c>
      <c r="E922" s="233">
        <v>0.20164799999999999</v>
      </c>
      <c r="F922" s="234">
        <f>pairs[[#This Row],[ Dist]]*5280</f>
        <v>1064.70144</v>
      </c>
      <c r="G922" s="232">
        <f>ROUND(pairs[[#This Row],[ Az]]-ROUNDDOWN(pairs[[#This Row],[ Az]],0),1)</f>
        <v>0</v>
      </c>
      <c r="H922" s="232">
        <f>ROUND(pairs[[#This Row],[ Back]]-ROUNDDOWN(pairs[[#This Row],[ Back]],0),1)</f>
        <v>0.1</v>
      </c>
      <c r="I922" s="232">
        <f>IF( OR( OR(pairs[[#This Row],[Az*]]=0, pairs[[#This Row],[Back*]]=0), OR(pairs[[#This Row],[Az*]]=1, pairs[[#This Row],[Back*]]=1)), 1, 0)</f>
        <v>1</v>
      </c>
      <c r="J922" s="232">
        <f>IF(OR(pairs[[#This Row],[Az*]]=0.5,pairs[[#This Row],[Back*]]=0.5),1,0)</f>
        <v>0</v>
      </c>
    </row>
    <row r="923" spans="1:10" ht="14.1">
      <c r="A923" s="206" t="s">
        <v>187</v>
      </c>
      <c r="B923" s="206" t="s">
        <v>175</v>
      </c>
      <c r="C923" s="235"/>
      <c r="D923" s="235">
        <v>273.55</v>
      </c>
      <c r="E923" s="236">
        <v>0.15484100000000001</v>
      </c>
      <c r="F923" s="237">
        <f>pairs[[#This Row],[ Dist]]*5280</f>
        <v>817.56047999999998</v>
      </c>
      <c r="G923" s="235">
        <f>ROUND(pairs[[#This Row],[ Az]]-ROUNDDOWN(pairs[[#This Row],[ Az]],0),1)</f>
        <v>0</v>
      </c>
      <c r="H923" s="235">
        <f>ROUND(pairs[[#This Row],[ Back]]-ROUNDDOWN(pairs[[#This Row],[ Back]],0),1)</f>
        <v>0.6</v>
      </c>
      <c r="I923" s="235">
        <f>IF( OR( OR(pairs[[#This Row],[Az*]]=0, pairs[[#This Row],[Back*]]=0), OR(pairs[[#This Row],[Az*]]=1, pairs[[#This Row],[Back*]]=1)), 1, 0)</f>
        <v>1</v>
      </c>
      <c r="J923" s="235">
        <f>IF(OR(pairs[[#This Row],[Az*]]=0.5,pairs[[#This Row],[Back*]]=0.5),1,0)</f>
        <v>0</v>
      </c>
    </row>
    <row r="924" spans="1:10">
      <c r="A924" s="231" t="s">
        <v>187</v>
      </c>
      <c r="B924" s="231" t="s">
        <v>174</v>
      </c>
      <c r="C924" s="232"/>
      <c r="D924" s="232">
        <v>244.66</v>
      </c>
      <c r="E924" s="233">
        <v>0.13331999999999999</v>
      </c>
      <c r="F924" s="234">
        <f>pairs[[#This Row],[ Dist]]*5280</f>
        <v>703.92959999999994</v>
      </c>
      <c r="G924" s="232">
        <f>ROUND(pairs[[#This Row],[ Az]]-ROUNDDOWN(pairs[[#This Row],[ Az]],0),1)</f>
        <v>0</v>
      </c>
      <c r="H924" s="232">
        <f>ROUND(pairs[[#This Row],[ Back]]-ROUNDDOWN(pairs[[#This Row],[ Back]],0),1)</f>
        <v>0.7</v>
      </c>
      <c r="I924" s="232">
        <f>IF( OR( OR(pairs[[#This Row],[Az*]]=0, pairs[[#This Row],[Back*]]=0), OR(pairs[[#This Row],[Az*]]=1, pairs[[#This Row],[Back*]]=1)), 1, 0)</f>
        <v>1</v>
      </c>
      <c r="J924" s="232">
        <f>IF(OR(pairs[[#This Row],[Az*]]=0.5,pairs[[#This Row],[Back*]]=0.5),1,0)</f>
        <v>0</v>
      </c>
    </row>
    <row r="925" spans="1:10">
      <c r="A925" s="231" t="s">
        <v>187</v>
      </c>
      <c r="B925" s="231" t="s">
        <v>173</v>
      </c>
      <c r="C925" s="232"/>
      <c r="D925" s="232">
        <v>180.26</v>
      </c>
      <c r="E925" s="233">
        <v>0.114841</v>
      </c>
      <c r="F925" s="234">
        <f>pairs[[#This Row],[ Dist]]*5280</f>
        <v>606.36047999999994</v>
      </c>
      <c r="G925" s="232">
        <f>ROUND(pairs[[#This Row],[ Az]]-ROUNDDOWN(pairs[[#This Row],[ Az]],0),1)</f>
        <v>0</v>
      </c>
      <c r="H925" s="232">
        <f>ROUND(pairs[[#This Row],[ Back]]-ROUNDDOWN(pairs[[#This Row],[ Back]],0),1)</f>
        <v>0.3</v>
      </c>
      <c r="I925" s="232">
        <f>IF( OR( OR(pairs[[#This Row],[Az*]]=0, pairs[[#This Row],[Back*]]=0), OR(pairs[[#This Row],[Az*]]=1, pairs[[#This Row],[Back*]]=1)), 1, 0)</f>
        <v>1</v>
      </c>
      <c r="J925" s="232">
        <f>IF(OR(pairs[[#This Row],[Az*]]=0.5,pairs[[#This Row],[Back*]]=0.5),1,0)</f>
        <v>0</v>
      </c>
    </row>
    <row r="926" spans="1:10">
      <c r="A926" s="231" t="s">
        <v>187</v>
      </c>
      <c r="B926" s="231" t="s">
        <v>171</v>
      </c>
      <c r="C926" s="232"/>
      <c r="D926" s="232">
        <v>266.36</v>
      </c>
      <c r="E926" s="233">
        <v>0.179782</v>
      </c>
      <c r="F926" s="234">
        <f>pairs[[#This Row],[ Dist]]*5280</f>
        <v>949.24896000000001</v>
      </c>
      <c r="G926" s="232">
        <f>ROUND(pairs[[#This Row],[ Az]]-ROUNDDOWN(pairs[[#This Row],[ Az]],0),1)</f>
        <v>0</v>
      </c>
      <c r="H926" s="232">
        <f>ROUND(pairs[[#This Row],[ Back]]-ROUNDDOWN(pairs[[#This Row],[ Back]],0),1)</f>
        <v>0.4</v>
      </c>
      <c r="I926" s="232">
        <f>IF( OR( OR(pairs[[#This Row],[Az*]]=0, pairs[[#This Row],[Back*]]=0), OR(pairs[[#This Row],[Az*]]=1, pairs[[#This Row],[Back*]]=1)), 1, 0)</f>
        <v>1</v>
      </c>
      <c r="J926" s="232">
        <f>IF(OR(pairs[[#This Row],[Az*]]=0.5,pairs[[#This Row],[Back*]]=0.5),1,0)</f>
        <v>0</v>
      </c>
    </row>
    <row r="927" spans="1:10">
      <c r="A927" s="231" t="s">
        <v>187</v>
      </c>
      <c r="B927" s="231" t="s">
        <v>170</v>
      </c>
      <c r="C927" s="232"/>
      <c r="D927" s="232">
        <v>235.8</v>
      </c>
      <c r="E927" s="233">
        <v>0.21638499999999999</v>
      </c>
      <c r="F927" s="234">
        <f>pairs[[#This Row],[ Dist]]*5280</f>
        <v>1142.5128</v>
      </c>
      <c r="G927" s="232">
        <f>ROUND(pairs[[#This Row],[ Az]]-ROUNDDOWN(pairs[[#This Row],[ Az]],0),1)</f>
        <v>0</v>
      </c>
      <c r="H927" s="232">
        <f>ROUND(pairs[[#This Row],[ Back]]-ROUNDDOWN(pairs[[#This Row],[ Back]],0),1)</f>
        <v>0.8</v>
      </c>
      <c r="I927" s="232">
        <f>IF( OR( OR(pairs[[#This Row],[Az*]]=0, pairs[[#This Row],[Back*]]=0), OR(pairs[[#This Row],[Az*]]=1, pairs[[#This Row],[Back*]]=1)), 1, 0)</f>
        <v>1</v>
      </c>
      <c r="J927" s="232">
        <f>IF(OR(pairs[[#This Row],[Az*]]=0.5,pairs[[#This Row],[Back*]]=0.5),1,0)</f>
        <v>0</v>
      </c>
    </row>
    <row r="928" spans="1:10">
      <c r="A928" s="231" t="s">
        <v>187</v>
      </c>
      <c r="B928" s="231" t="s">
        <v>169</v>
      </c>
      <c r="C928" s="232"/>
      <c r="D928" s="232">
        <v>211.09</v>
      </c>
      <c r="E928" s="233">
        <v>0.60277999999999998</v>
      </c>
      <c r="F928" s="234">
        <f>pairs[[#This Row],[ Dist]]*5280</f>
        <v>3182.6783999999998</v>
      </c>
      <c r="G928" s="232">
        <f>ROUND(pairs[[#This Row],[ Az]]-ROUNDDOWN(pairs[[#This Row],[ Az]],0),1)</f>
        <v>0</v>
      </c>
      <c r="H928" s="232">
        <f>ROUND(pairs[[#This Row],[ Back]]-ROUNDDOWN(pairs[[#This Row],[ Back]],0),1)</f>
        <v>0.1</v>
      </c>
      <c r="I928" s="232">
        <f>IF( OR( OR(pairs[[#This Row],[Az*]]=0, pairs[[#This Row],[Back*]]=0), OR(pairs[[#This Row],[Az*]]=1, pairs[[#This Row],[Back*]]=1)), 1, 0)</f>
        <v>1</v>
      </c>
      <c r="J928" s="232">
        <f>IF(OR(pairs[[#This Row],[Az*]]=0.5,pairs[[#This Row],[Back*]]=0.5),1,0)</f>
        <v>0</v>
      </c>
    </row>
    <row r="929" spans="1:10">
      <c r="A929" s="231" t="s">
        <v>187</v>
      </c>
      <c r="B929" s="231" t="s">
        <v>168</v>
      </c>
      <c r="C929" s="232"/>
      <c r="D929" s="232">
        <v>335.14</v>
      </c>
      <c r="E929" s="233">
        <v>1.2095180000000001</v>
      </c>
      <c r="F929" s="234">
        <f>pairs[[#This Row],[ Dist]]*5280</f>
        <v>6386.2550400000009</v>
      </c>
      <c r="G929" s="232">
        <f>ROUND(pairs[[#This Row],[ Az]]-ROUNDDOWN(pairs[[#This Row],[ Az]],0),1)</f>
        <v>0</v>
      </c>
      <c r="H929" s="232">
        <f>ROUND(pairs[[#This Row],[ Back]]-ROUNDDOWN(pairs[[#This Row],[ Back]],0),1)</f>
        <v>0.1</v>
      </c>
      <c r="I929" s="232">
        <f>IF( OR( OR(pairs[[#This Row],[Az*]]=0, pairs[[#This Row],[Back*]]=0), OR(pairs[[#This Row],[Az*]]=1, pairs[[#This Row],[Back*]]=1)), 1, 0)</f>
        <v>1</v>
      </c>
      <c r="J929" s="232">
        <f>IF(OR(pairs[[#This Row],[Az*]]=0.5,pairs[[#This Row],[Back*]]=0.5),1,0)</f>
        <v>0</v>
      </c>
    </row>
    <row r="930" spans="1:10">
      <c r="A930" s="231" t="s">
        <v>187</v>
      </c>
      <c r="B930" s="231" t="s">
        <v>167</v>
      </c>
      <c r="C930" s="232"/>
      <c r="D930" s="232">
        <v>8.2100000000000009</v>
      </c>
      <c r="E930" s="233">
        <v>1.469827</v>
      </c>
      <c r="F930" s="234">
        <f>pairs[[#This Row],[ Dist]]*5280</f>
        <v>7760.6865600000001</v>
      </c>
      <c r="G930" s="232">
        <f>ROUND(pairs[[#This Row],[ Az]]-ROUNDDOWN(pairs[[#This Row],[ Az]],0),1)</f>
        <v>0</v>
      </c>
      <c r="H930" s="232">
        <f>ROUND(pairs[[#This Row],[ Back]]-ROUNDDOWN(pairs[[#This Row],[ Back]],0),1)</f>
        <v>0.2</v>
      </c>
      <c r="I930" s="232">
        <f>IF( OR( OR(pairs[[#This Row],[Az*]]=0, pairs[[#This Row],[Back*]]=0), OR(pairs[[#This Row],[Az*]]=1, pairs[[#This Row],[Back*]]=1)), 1, 0)</f>
        <v>1</v>
      </c>
      <c r="J930" s="232">
        <f>IF(OR(pairs[[#This Row],[Az*]]=0.5,pairs[[#This Row],[Back*]]=0.5),1,0)</f>
        <v>0</v>
      </c>
    </row>
    <row r="931" spans="1:10" ht="14.1">
      <c r="A931" s="206" t="s">
        <v>187</v>
      </c>
      <c r="B931" s="206" t="s">
        <v>166</v>
      </c>
      <c r="C931" s="235"/>
      <c r="D931" s="235">
        <v>359.54</v>
      </c>
      <c r="E931" s="236">
        <v>0.53759699999999999</v>
      </c>
      <c r="F931" s="237">
        <f>pairs[[#This Row],[ Dist]]*5280</f>
        <v>2838.5121599999998</v>
      </c>
      <c r="G931" s="235">
        <f>ROUND(pairs[[#This Row],[ Az]]-ROUNDDOWN(pairs[[#This Row],[ Az]],0),1)</f>
        <v>0</v>
      </c>
      <c r="H931" s="235">
        <f>ROUND(pairs[[#This Row],[ Back]]-ROUNDDOWN(pairs[[#This Row],[ Back]],0),1)</f>
        <v>0.5</v>
      </c>
      <c r="I931" s="235">
        <f>IF( OR( OR(pairs[[#This Row],[Az*]]=0, pairs[[#This Row],[Back*]]=0), OR(pairs[[#This Row],[Az*]]=1, pairs[[#This Row],[Back*]]=1)), 1, 0)</f>
        <v>1</v>
      </c>
      <c r="J931" s="235">
        <f>IF(OR(pairs[[#This Row],[Az*]]=0.5,pairs[[#This Row],[Back*]]=0.5),1,0)</f>
        <v>1</v>
      </c>
    </row>
    <row r="932" spans="1:10">
      <c r="A932" s="231" t="s">
        <v>187</v>
      </c>
      <c r="B932" s="231" t="s">
        <v>181</v>
      </c>
      <c r="C932" s="232"/>
      <c r="D932" s="232">
        <v>11.84</v>
      </c>
      <c r="E932" s="233">
        <v>2.2344200000000001</v>
      </c>
      <c r="F932" s="234">
        <f>pairs[[#This Row],[ Dist]]*5280</f>
        <v>11797.7376</v>
      </c>
      <c r="G932" s="232">
        <f>ROUND(pairs[[#This Row],[ Az]]-ROUNDDOWN(pairs[[#This Row],[ Az]],0),1)</f>
        <v>0</v>
      </c>
      <c r="H932" s="232">
        <f>ROUND(pairs[[#This Row],[ Back]]-ROUNDDOWN(pairs[[#This Row],[ Back]],0),1)</f>
        <v>0.8</v>
      </c>
      <c r="I932" s="232">
        <f>IF( OR( OR(pairs[[#This Row],[Az*]]=0, pairs[[#This Row],[Back*]]=0), OR(pairs[[#This Row],[Az*]]=1, pairs[[#This Row],[Back*]]=1)), 1, 0)</f>
        <v>1</v>
      </c>
      <c r="J932" s="232">
        <f>IF(OR(pairs[[#This Row],[Az*]]=0.5,pairs[[#This Row],[Back*]]=0.5),1,0)</f>
        <v>0</v>
      </c>
    </row>
    <row r="933" spans="1:10">
      <c r="A933" s="231" t="s">
        <v>188</v>
      </c>
      <c r="B933" s="231" t="s">
        <v>179</v>
      </c>
      <c r="C933" s="232"/>
      <c r="D933" s="232">
        <v>287.86</v>
      </c>
      <c r="E933" s="233">
        <v>0.185167</v>
      </c>
      <c r="F933" s="234">
        <f>pairs[[#This Row],[ Dist]]*5280</f>
        <v>977.68175999999994</v>
      </c>
      <c r="G933" s="232">
        <f>ROUND(pairs[[#This Row],[ Az]]-ROUNDDOWN(pairs[[#This Row],[ Az]],0),1)</f>
        <v>0</v>
      </c>
      <c r="H933" s="232">
        <f>ROUND(pairs[[#This Row],[ Back]]-ROUNDDOWN(pairs[[#This Row],[ Back]],0),1)</f>
        <v>0.9</v>
      </c>
      <c r="I933" s="232">
        <f>IF( OR( OR(pairs[[#This Row],[Az*]]=0, pairs[[#This Row],[Back*]]=0), OR(pairs[[#This Row],[Az*]]=1, pairs[[#This Row],[Back*]]=1)), 1, 0)</f>
        <v>1</v>
      </c>
      <c r="J933" s="232">
        <f>IF(OR(pairs[[#This Row],[Az*]]=0.5,pairs[[#This Row],[Back*]]=0.5),1,0)</f>
        <v>0</v>
      </c>
    </row>
    <row r="934" spans="1:10" ht="14.1">
      <c r="A934" s="206" t="s">
        <v>188</v>
      </c>
      <c r="B934" s="206" t="s">
        <v>178</v>
      </c>
      <c r="C934" s="235"/>
      <c r="D934" s="235">
        <v>267.45999999999998</v>
      </c>
      <c r="E934" s="236">
        <v>0.19797799999999999</v>
      </c>
      <c r="F934" s="237">
        <f>pairs[[#This Row],[ Dist]]*5280</f>
        <v>1045.32384</v>
      </c>
      <c r="G934" s="235">
        <f>ROUND(pairs[[#This Row],[ Az]]-ROUNDDOWN(pairs[[#This Row],[ Az]],0),1)</f>
        <v>0</v>
      </c>
      <c r="H934" s="235">
        <f>ROUND(pairs[[#This Row],[ Back]]-ROUNDDOWN(pairs[[#This Row],[ Back]],0),1)</f>
        <v>0.5</v>
      </c>
      <c r="I934" s="235">
        <f>IF( OR( OR(pairs[[#This Row],[Az*]]=0, pairs[[#This Row],[Back*]]=0), OR(pairs[[#This Row],[Az*]]=1, pairs[[#This Row],[Back*]]=1)), 1, 0)</f>
        <v>1</v>
      </c>
      <c r="J934" s="235">
        <f>IF(OR(pairs[[#This Row],[Az*]]=0.5,pairs[[#This Row],[Back*]]=0.5),1,0)</f>
        <v>1</v>
      </c>
    </row>
    <row r="935" spans="1:10">
      <c r="A935" s="231" t="s">
        <v>188</v>
      </c>
      <c r="B935" s="231" t="s">
        <v>177</v>
      </c>
      <c r="C935" s="232"/>
      <c r="D935" s="232">
        <v>266.2</v>
      </c>
      <c r="E935" s="233">
        <v>0.152726</v>
      </c>
      <c r="F935" s="234">
        <f>pairs[[#This Row],[ Dist]]*5280</f>
        <v>806.39328</v>
      </c>
      <c r="G935" s="232">
        <f>ROUND(pairs[[#This Row],[ Az]]-ROUNDDOWN(pairs[[#This Row],[ Az]],0),1)</f>
        <v>0</v>
      </c>
      <c r="H935" s="232">
        <f>ROUND(pairs[[#This Row],[ Back]]-ROUNDDOWN(pairs[[#This Row],[ Back]],0),1)</f>
        <v>0.2</v>
      </c>
      <c r="I935" s="232">
        <f>IF( OR( OR(pairs[[#This Row],[Az*]]=0, pairs[[#This Row],[Back*]]=0), OR(pairs[[#This Row],[Az*]]=1, pairs[[#This Row],[Back*]]=1)), 1, 0)</f>
        <v>1</v>
      </c>
      <c r="J935" s="232">
        <f>IF(OR(pairs[[#This Row],[Az*]]=0.5,pairs[[#This Row],[Back*]]=0.5),1,0)</f>
        <v>0</v>
      </c>
    </row>
    <row r="936" spans="1:10">
      <c r="A936" s="231" t="s">
        <v>188</v>
      </c>
      <c r="B936" s="231" t="s">
        <v>176</v>
      </c>
      <c r="C936" s="232"/>
      <c r="D936" s="232">
        <v>302.08999999999997</v>
      </c>
      <c r="E936" s="233">
        <v>0.237042</v>
      </c>
      <c r="F936" s="234">
        <f>pairs[[#This Row],[ Dist]]*5280</f>
        <v>1251.58176</v>
      </c>
      <c r="G936" s="232">
        <f>ROUND(pairs[[#This Row],[ Az]]-ROUNDDOWN(pairs[[#This Row],[ Az]],0),1)</f>
        <v>0</v>
      </c>
      <c r="H936" s="232">
        <f>ROUND(pairs[[#This Row],[ Back]]-ROUNDDOWN(pairs[[#This Row],[ Back]],0),1)</f>
        <v>0.1</v>
      </c>
      <c r="I936" s="232">
        <f>IF( OR( OR(pairs[[#This Row],[Az*]]=0, pairs[[#This Row],[Back*]]=0), OR(pairs[[#This Row],[Az*]]=1, pairs[[#This Row],[Back*]]=1)), 1, 0)</f>
        <v>1</v>
      </c>
      <c r="J936" s="232">
        <f>IF(OR(pairs[[#This Row],[Az*]]=0.5,pairs[[#This Row],[Back*]]=0.5),1,0)</f>
        <v>0</v>
      </c>
    </row>
    <row r="937" spans="1:10">
      <c r="A937" s="231" t="s">
        <v>188</v>
      </c>
      <c r="B937" s="231" t="s">
        <v>175</v>
      </c>
      <c r="C937" s="232"/>
      <c r="D937" s="232">
        <v>308.94</v>
      </c>
      <c r="E937" s="233">
        <v>0.19801199999999999</v>
      </c>
      <c r="F937" s="234">
        <f>pairs[[#This Row],[ Dist]]*5280</f>
        <v>1045.5033599999999</v>
      </c>
      <c r="G937" s="232">
        <f>ROUND(pairs[[#This Row],[ Az]]-ROUNDDOWN(pairs[[#This Row],[ Az]],0),1)</f>
        <v>0</v>
      </c>
      <c r="H937" s="232">
        <f>ROUND(pairs[[#This Row],[ Back]]-ROUNDDOWN(pairs[[#This Row],[ Back]],0),1)</f>
        <v>0.9</v>
      </c>
      <c r="I937" s="232">
        <f>IF( OR( OR(pairs[[#This Row],[Az*]]=0, pairs[[#This Row],[Back*]]=0), OR(pairs[[#This Row],[Az*]]=1, pairs[[#This Row],[Back*]]=1)), 1, 0)</f>
        <v>1</v>
      </c>
      <c r="J937" s="232">
        <f>IF(OR(pairs[[#This Row],[Az*]]=0.5,pairs[[#This Row],[Back*]]=0.5),1,0)</f>
        <v>0</v>
      </c>
    </row>
    <row r="938" spans="1:10">
      <c r="A938" s="231" t="s">
        <v>188</v>
      </c>
      <c r="B938" s="231" t="s">
        <v>174</v>
      </c>
      <c r="C938" s="232"/>
      <c r="D938" s="232">
        <v>295.70999999999998</v>
      </c>
      <c r="E938" s="233">
        <v>0.133159</v>
      </c>
      <c r="F938" s="234">
        <f>pairs[[#This Row],[ Dist]]*5280</f>
        <v>703.07952</v>
      </c>
      <c r="G938" s="232">
        <f>ROUND(pairs[[#This Row],[ Az]]-ROUNDDOWN(pairs[[#This Row],[ Az]],0),1)</f>
        <v>0</v>
      </c>
      <c r="H938" s="232">
        <f>ROUND(pairs[[#This Row],[ Back]]-ROUNDDOWN(pairs[[#This Row],[ Back]],0),1)</f>
        <v>0.7</v>
      </c>
      <c r="I938" s="232">
        <f>IF( OR( OR(pairs[[#This Row],[Az*]]=0, pairs[[#This Row],[Back*]]=0), OR(pairs[[#This Row],[Az*]]=1, pairs[[#This Row],[Back*]]=1)), 1, 0)</f>
        <v>1</v>
      </c>
      <c r="J938" s="232">
        <f>IF(OR(pairs[[#This Row],[Az*]]=0.5,pairs[[#This Row],[Back*]]=0.5),1,0)</f>
        <v>0</v>
      </c>
    </row>
    <row r="939" spans="1:10">
      <c r="A939" s="231" t="s">
        <v>188</v>
      </c>
      <c r="B939" s="231" t="s">
        <v>172</v>
      </c>
      <c r="C939" s="232"/>
      <c r="D939" s="232">
        <v>0.26</v>
      </c>
      <c r="E939" s="233">
        <v>0.114841</v>
      </c>
      <c r="F939" s="234">
        <f>pairs[[#This Row],[ Dist]]*5280</f>
        <v>606.36047999999994</v>
      </c>
      <c r="G939" s="232">
        <f>ROUND(pairs[[#This Row],[ Az]]-ROUNDDOWN(pairs[[#This Row],[ Az]],0),1)</f>
        <v>0</v>
      </c>
      <c r="H939" s="232">
        <f>ROUND(pairs[[#This Row],[ Back]]-ROUNDDOWN(pairs[[#This Row],[ Back]],0),1)</f>
        <v>0.3</v>
      </c>
      <c r="I939" s="232">
        <f>IF( OR( OR(pairs[[#This Row],[Az*]]=0, pairs[[#This Row],[Back*]]=0), OR(pairs[[#This Row],[Az*]]=1, pairs[[#This Row],[Back*]]=1)), 1, 0)</f>
        <v>1</v>
      </c>
      <c r="J939" s="232">
        <f>IF(OR(pairs[[#This Row],[Az*]]=0.5,pairs[[#This Row],[Back*]]=0.5),1,0)</f>
        <v>0</v>
      </c>
    </row>
    <row r="940" spans="1:10" ht="14.1">
      <c r="A940" s="23" t="s">
        <v>188</v>
      </c>
      <c r="B940" s="23" t="s">
        <v>171</v>
      </c>
      <c r="C940" s="229"/>
      <c r="D940" s="229">
        <v>300.02999999999997</v>
      </c>
      <c r="E940" s="25">
        <v>0.20664399999999999</v>
      </c>
      <c r="F940" s="230">
        <f>pairs[[#This Row],[ Dist]]*5280</f>
        <v>1091.08032</v>
      </c>
      <c r="G940" s="232">
        <f>ROUND(pairs[[#This Row],[ Az]]-ROUNDDOWN(pairs[[#This Row],[ Az]],0),1)</f>
        <v>0</v>
      </c>
      <c r="H940" s="232">
        <f>ROUND(pairs[[#This Row],[ Back]]-ROUNDDOWN(pairs[[#This Row],[ Back]],0),1)</f>
        <v>0</v>
      </c>
      <c r="I940" s="232">
        <f>IF( OR( OR(pairs[[#This Row],[Az*]]=0, pairs[[#This Row],[Back*]]=0), OR(pairs[[#This Row],[Az*]]=1, pairs[[#This Row],[Back*]]=1)), 1, 0)</f>
        <v>1</v>
      </c>
      <c r="J940" s="232">
        <f>IF(OR(pairs[[#This Row],[Az*]]=0.5,pairs[[#This Row],[Back*]]=0.5),1,0)</f>
        <v>0</v>
      </c>
    </row>
    <row r="941" spans="1:10">
      <c r="A941" s="231" t="s">
        <v>188</v>
      </c>
      <c r="B941" s="231" t="s">
        <v>170</v>
      </c>
      <c r="C941" s="232"/>
      <c r="D941" s="232">
        <v>267.82</v>
      </c>
      <c r="E941" s="233">
        <v>0.17858299999999999</v>
      </c>
      <c r="F941" s="234">
        <f>pairs[[#This Row],[ Dist]]*5280</f>
        <v>942.91823999999997</v>
      </c>
      <c r="G941" s="232">
        <f>ROUND(pairs[[#This Row],[ Az]]-ROUNDDOWN(pairs[[#This Row],[ Az]],0),1)</f>
        <v>0</v>
      </c>
      <c r="H941" s="232">
        <f>ROUND(pairs[[#This Row],[ Back]]-ROUNDDOWN(pairs[[#This Row],[ Back]],0),1)</f>
        <v>0.8</v>
      </c>
      <c r="I941" s="232">
        <f>IF( OR( OR(pairs[[#This Row],[Az*]]=0, pairs[[#This Row],[Back*]]=0), OR(pairs[[#This Row],[Az*]]=1, pairs[[#This Row],[Back*]]=1)), 1, 0)</f>
        <v>1</v>
      </c>
      <c r="J941" s="232">
        <f>IF(OR(pairs[[#This Row],[Az*]]=0.5,pairs[[#This Row],[Back*]]=0.5),1,0)</f>
        <v>0</v>
      </c>
    </row>
    <row r="942" spans="1:10">
      <c r="A942" s="231" t="s">
        <v>188</v>
      </c>
      <c r="B942" s="231" t="s">
        <v>169</v>
      </c>
      <c r="C942" s="232"/>
      <c r="D942" s="232">
        <v>217.74</v>
      </c>
      <c r="E942" s="233">
        <v>0.50758499999999995</v>
      </c>
      <c r="F942" s="234">
        <f>pairs[[#This Row],[ Dist]]*5280</f>
        <v>2680.0487999999996</v>
      </c>
      <c r="G942" s="232">
        <f>ROUND(pairs[[#This Row],[ Az]]-ROUNDDOWN(pairs[[#This Row],[ Az]],0),1)</f>
        <v>0</v>
      </c>
      <c r="H942" s="232">
        <f>ROUND(pairs[[#This Row],[ Back]]-ROUNDDOWN(pairs[[#This Row],[ Back]],0),1)</f>
        <v>0.7</v>
      </c>
      <c r="I942" s="232">
        <f>IF( OR( OR(pairs[[#This Row],[Az*]]=0, pairs[[#This Row],[Back*]]=0), OR(pairs[[#This Row],[Az*]]=1, pairs[[#This Row],[Back*]]=1)), 1, 0)</f>
        <v>1</v>
      </c>
      <c r="J942" s="232">
        <f>IF(OR(pairs[[#This Row],[Az*]]=0.5,pairs[[#This Row],[Back*]]=0.5),1,0)</f>
        <v>0</v>
      </c>
    </row>
    <row r="943" spans="1:10">
      <c r="A943" s="231" t="s">
        <v>188</v>
      </c>
      <c r="B943" s="231" t="s">
        <v>168</v>
      </c>
      <c r="C943" s="232"/>
      <c r="D943" s="232">
        <v>337.27</v>
      </c>
      <c r="E943" s="233">
        <v>1.3143990000000001</v>
      </c>
      <c r="F943" s="234">
        <f>pairs[[#This Row],[ Dist]]*5280</f>
        <v>6940.0267200000008</v>
      </c>
      <c r="G943" s="232">
        <f>ROUND(pairs[[#This Row],[ Az]]-ROUNDDOWN(pairs[[#This Row],[ Az]],0),1)</f>
        <v>0</v>
      </c>
      <c r="H943" s="232">
        <f>ROUND(pairs[[#This Row],[ Back]]-ROUNDDOWN(pairs[[#This Row],[ Back]],0),1)</f>
        <v>0.3</v>
      </c>
      <c r="I943" s="232">
        <f>IF( OR( OR(pairs[[#This Row],[Az*]]=0, pairs[[#This Row],[Back*]]=0), OR(pairs[[#This Row],[Az*]]=1, pairs[[#This Row],[Back*]]=1)), 1, 0)</f>
        <v>1</v>
      </c>
      <c r="J943" s="232">
        <f>IF(OR(pairs[[#This Row],[Az*]]=0.5,pairs[[#This Row],[Back*]]=0.5),1,0)</f>
        <v>0</v>
      </c>
    </row>
    <row r="944" spans="1:10">
      <c r="A944" s="231" t="s">
        <v>188</v>
      </c>
      <c r="B944" s="231" t="s">
        <v>167</v>
      </c>
      <c r="C944" s="232"/>
      <c r="D944" s="232">
        <v>7.63</v>
      </c>
      <c r="E944" s="233">
        <v>1.5836429999999999</v>
      </c>
      <c r="F944" s="234">
        <f>pairs[[#This Row],[ Dist]]*5280</f>
        <v>8361.6350399999992</v>
      </c>
      <c r="G944" s="232">
        <f>ROUND(pairs[[#This Row],[ Az]]-ROUNDDOWN(pairs[[#This Row],[ Az]],0),1)</f>
        <v>0</v>
      </c>
      <c r="H944" s="232">
        <f>ROUND(pairs[[#This Row],[ Back]]-ROUNDDOWN(pairs[[#This Row],[ Back]],0),1)</f>
        <v>0.6</v>
      </c>
      <c r="I944" s="232">
        <f>IF( OR( OR(pairs[[#This Row],[Az*]]=0, pairs[[#This Row],[Back*]]=0), OR(pairs[[#This Row],[Az*]]=1, pairs[[#This Row],[Back*]]=1)), 1, 0)</f>
        <v>1</v>
      </c>
      <c r="J944" s="232">
        <f>IF(OR(pairs[[#This Row],[Az*]]=0.5,pairs[[#This Row],[Back*]]=0.5),1,0)</f>
        <v>0</v>
      </c>
    </row>
    <row r="945" spans="1:10">
      <c r="A945" s="231" t="s">
        <v>188</v>
      </c>
      <c r="B945" s="231" t="s">
        <v>166</v>
      </c>
      <c r="C945" s="232"/>
      <c r="D945" s="232">
        <v>359.66</v>
      </c>
      <c r="E945" s="233">
        <v>0.65242999999999995</v>
      </c>
      <c r="F945" s="234">
        <f>pairs[[#This Row],[ Dist]]*5280</f>
        <v>3444.8303999999998</v>
      </c>
      <c r="G945" s="232">
        <f>ROUND(pairs[[#This Row],[ Az]]-ROUNDDOWN(pairs[[#This Row],[ Az]],0),1)</f>
        <v>0</v>
      </c>
      <c r="H945" s="232">
        <f>ROUND(pairs[[#This Row],[ Back]]-ROUNDDOWN(pairs[[#This Row],[ Back]],0),1)</f>
        <v>0.7</v>
      </c>
      <c r="I945" s="232">
        <f>IF( OR( OR(pairs[[#This Row],[Az*]]=0, pairs[[#This Row],[Back*]]=0), OR(pairs[[#This Row],[Az*]]=1, pairs[[#This Row],[Back*]]=1)), 1, 0)</f>
        <v>1</v>
      </c>
      <c r="J945" s="232">
        <f>IF(OR(pairs[[#This Row],[Az*]]=0.5,pairs[[#This Row],[Back*]]=0.5),1,0)</f>
        <v>0</v>
      </c>
    </row>
    <row r="946" spans="1:10">
      <c r="A946" s="231" t="s">
        <v>188</v>
      </c>
      <c r="B946" s="231" t="s">
        <v>181</v>
      </c>
      <c r="C946" s="232"/>
      <c r="D946" s="232">
        <v>11.27</v>
      </c>
      <c r="E946" s="233">
        <v>2.3470339999999998</v>
      </c>
      <c r="F946" s="234">
        <f>pairs[[#This Row],[ Dist]]*5280</f>
        <v>12392.33952</v>
      </c>
      <c r="G946" s="232">
        <f>ROUND(pairs[[#This Row],[ Az]]-ROUNDDOWN(pairs[[#This Row],[ Az]],0),1)</f>
        <v>0</v>
      </c>
      <c r="H946" s="232">
        <f>ROUND(pairs[[#This Row],[ Back]]-ROUNDDOWN(pairs[[#This Row],[ Back]],0),1)</f>
        <v>0.3</v>
      </c>
      <c r="I946" s="232">
        <f>IF( OR( OR(pairs[[#This Row],[Az*]]=0, pairs[[#This Row],[Back*]]=0), OR(pairs[[#This Row],[Az*]]=1, pairs[[#This Row],[Back*]]=1)), 1, 0)</f>
        <v>1</v>
      </c>
      <c r="J946" s="232">
        <f>IF(OR(pairs[[#This Row],[Az*]]=0.5,pairs[[#This Row],[Back*]]=0.5),1,0)</f>
        <v>0</v>
      </c>
    </row>
    <row r="947" spans="1:10" ht="14.1">
      <c r="A947" s="23" t="s">
        <v>189</v>
      </c>
      <c r="B947" s="23" t="s">
        <v>179</v>
      </c>
      <c r="C947" s="229"/>
      <c r="D947" s="229">
        <v>269</v>
      </c>
      <c r="E947" s="25">
        <v>5.6278000000000002E-2</v>
      </c>
      <c r="F947" s="230">
        <f>pairs[[#This Row],[ Dist]]*5280</f>
        <v>297.14784000000003</v>
      </c>
      <c r="G947" s="232">
        <f>ROUND(pairs[[#This Row],[ Az]]-ROUNDDOWN(pairs[[#This Row],[ Az]],0),1)</f>
        <v>0</v>
      </c>
      <c r="H947" s="232">
        <f>ROUND(pairs[[#This Row],[ Back]]-ROUNDDOWN(pairs[[#This Row],[ Back]],0),1)</f>
        <v>0</v>
      </c>
      <c r="I947" s="232">
        <f>IF( OR( OR(pairs[[#This Row],[Az*]]=0, pairs[[#This Row],[Back*]]=0), OR(pairs[[#This Row],[Az*]]=1, pairs[[#This Row],[Back*]]=1)), 1, 0)</f>
        <v>1</v>
      </c>
      <c r="J947" s="232">
        <f>IF(OR(pairs[[#This Row],[Az*]]=0.5,pairs[[#This Row],[Back*]]=0.5),1,0)</f>
        <v>0</v>
      </c>
    </row>
    <row r="948" spans="1:10" ht="14.1">
      <c r="A948" s="206" t="s">
        <v>189</v>
      </c>
      <c r="B948" s="206" t="s">
        <v>178</v>
      </c>
      <c r="C948" s="235"/>
      <c r="D948" s="235">
        <v>229.45</v>
      </c>
      <c r="E948" s="236">
        <v>0.102398</v>
      </c>
      <c r="F948" s="237">
        <f>pairs[[#This Row],[ Dist]]*5280</f>
        <v>540.66143999999997</v>
      </c>
      <c r="G948" s="235">
        <f>ROUND(pairs[[#This Row],[ Az]]-ROUNDDOWN(pairs[[#This Row],[ Az]],0),1)</f>
        <v>0</v>
      </c>
      <c r="H948" s="235">
        <f>ROUND(pairs[[#This Row],[ Back]]-ROUNDDOWN(pairs[[#This Row],[ Back]],0),1)</f>
        <v>0.4</v>
      </c>
      <c r="I948" s="235">
        <f>IF( OR( OR(pairs[[#This Row],[Az*]]=0, pairs[[#This Row],[Back*]]=0), OR(pairs[[#This Row],[Az*]]=1, pairs[[#This Row],[Back*]]=1)), 1, 0)</f>
        <v>1</v>
      </c>
      <c r="J948" s="235">
        <f>IF(OR(pairs[[#This Row],[Az*]]=0.5,pairs[[#This Row],[Back*]]=0.5),1,0)</f>
        <v>0</v>
      </c>
    </row>
    <row r="949" spans="1:10" ht="14.1">
      <c r="A949" s="206" t="s">
        <v>189</v>
      </c>
      <c r="B949" s="206" t="s">
        <v>177</v>
      </c>
      <c r="C949" s="235"/>
      <c r="D949" s="235">
        <v>205.52</v>
      </c>
      <c r="E949" s="236">
        <v>7.5242000000000003E-2</v>
      </c>
      <c r="F949" s="237">
        <f>pairs[[#This Row],[ Dist]]*5280</f>
        <v>397.27776</v>
      </c>
      <c r="G949" s="235">
        <f>ROUND(pairs[[#This Row],[ Az]]-ROUNDDOWN(pairs[[#This Row],[ Az]],0),1)</f>
        <v>0</v>
      </c>
      <c r="H949" s="235">
        <f>ROUND(pairs[[#This Row],[ Back]]-ROUNDDOWN(pairs[[#This Row],[ Back]],0),1)</f>
        <v>0.5</v>
      </c>
      <c r="I949" s="235">
        <f>IF( OR( OR(pairs[[#This Row],[Az*]]=0, pairs[[#This Row],[Back*]]=0), OR(pairs[[#This Row],[Az*]]=1, pairs[[#This Row],[Back*]]=1)), 1, 0)</f>
        <v>1</v>
      </c>
      <c r="J949" s="235">
        <f>IF(OR(pairs[[#This Row],[Az*]]=0.5,pairs[[#This Row],[Back*]]=0.5),1,0)</f>
        <v>1</v>
      </c>
    </row>
    <row r="950" spans="1:10">
      <c r="A950" s="231" t="s">
        <v>189</v>
      </c>
      <c r="B950" s="231" t="s">
        <v>176</v>
      </c>
      <c r="C950" s="232"/>
      <c r="D950" s="232">
        <v>310.13</v>
      </c>
      <c r="E950" s="233">
        <v>0.10574600000000001</v>
      </c>
      <c r="F950" s="234">
        <f>pairs[[#This Row],[ Dist]]*5280</f>
        <v>558.33888000000002</v>
      </c>
      <c r="G950" s="232">
        <f>ROUND(pairs[[#This Row],[ Az]]-ROUNDDOWN(pairs[[#This Row],[ Az]],0),1)</f>
        <v>0</v>
      </c>
      <c r="H950" s="232">
        <f>ROUND(pairs[[#This Row],[ Back]]-ROUNDDOWN(pairs[[#This Row],[ Back]],0),1)</f>
        <v>0.1</v>
      </c>
      <c r="I950" s="232">
        <f>IF( OR( OR(pairs[[#This Row],[Az*]]=0, pairs[[#This Row],[Back*]]=0), OR(pairs[[#This Row],[Az*]]=1, pairs[[#This Row],[Back*]]=1)), 1, 0)</f>
        <v>1</v>
      </c>
      <c r="J950" s="232">
        <f>IF(OR(pairs[[#This Row],[Az*]]=0.5,pairs[[#This Row],[Back*]]=0.5),1,0)</f>
        <v>0</v>
      </c>
    </row>
    <row r="951" spans="1:10">
      <c r="A951" s="231" t="s">
        <v>189</v>
      </c>
      <c r="B951" s="231" t="s">
        <v>175</v>
      </c>
      <c r="C951" s="232"/>
      <c r="D951" s="232">
        <v>332.94</v>
      </c>
      <c r="E951" s="233">
        <v>7.4857999999999994E-2</v>
      </c>
      <c r="F951" s="234">
        <f>pairs[[#This Row],[ Dist]]*5280</f>
        <v>395.25023999999996</v>
      </c>
      <c r="G951" s="232">
        <f>ROUND(pairs[[#This Row],[ Az]]-ROUNDDOWN(pairs[[#This Row],[ Az]],0),1)</f>
        <v>0</v>
      </c>
      <c r="H951" s="232">
        <f>ROUND(pairs[[#This Row],[ Back]]-ROUNDDOWN(pairs[[#This Row],[ Back]],0),1)</f>
        <v>0.9</v>
      </c>
      <c r="I951" s="232">
        <f>IF( OR( OR(pairs[[#This Row],[Az*]]=0, pairs[[#This Row],[Back*]]=0), OR(pairs[[#This Row],[Az*]]=1, pairs[[#This Row],[Back*]]=1)), 1, 0)</f>
        <v>1</v>
      </c>
      <c r="J951" s="232">
        <f>IF(OR(pairs[[#This Row],[Az*]]=0.5,pairs[[#This Row],[Back*]]=0.5),1,0)</f>
        <v>0</v>
      </c>
    </row>
    <row r="952" spans="1:10">
      <c r="A952" s="231" t="s">
        <v>189</v>
      </c>
      <c r="B952" s="231" t="s">
        <v>173</v>
      </c>
      <c r="C952" s="232"/>
      <c r="D952" s="232">
        <v>115.71</v>
      </c>
      <c r="E952" s="233">
        <v>0.133159</v>
      </c>
      <c r="F952" s="234">
        <f>pairs[[#This Row],[ Dist]]*5280</f>
        <v>703.07952</v>
      </c>
      <c r="G952" s="232">
        <f>ROUND(pairs[[#This Row],[ Az]]-ROUNDDOWN(pairs[[#This Row],[ Az]],0),1)</f>
        <v>0</v>
      </c>
      <c r="H952" s="232">
        <f>ROUND(pairs[[#This Row],[ Back]]-ROUNDDOWN(pairs[[#This Row],[ Back]],0),1)</f>
        <v>0.7</v>
      </c>
      <c r="I952" s="232">
        <f>IF( OR( OR(pairs[[#This Row],[Az*]]=0, pairs[[#This Row],[Back*]]=0), OR(pairs[[#This Row],[Az*]]=1, pairs[[#This Row],[Back*]]=1)), 1, 0)</f>
        <v>1</v>
      </c>
      <c r="J952" s="232">
        <f>IF(OR(pairs[[#This Row],[Az*]]=0.5,pairs[[#This Row],[Back*]]=0.5),1,0)</f>
        <v>0</v>
      </c>
    </row>
    <row r="953" spans="1:10">
      <c r="A953" s="231" t="s">
        <v>189</v>
      </c>
      <c r="B953" s="231" t="s">
        <v>172</v>
      </c>
      <c r="C953" s="232"/>
      <c r="D953" s="232">
        <v>64.66</v>
      </c>
      <c r="E953" s="233">
        <v>0.13331999999999999</v>
      </c>
      <c r="F953" s="234">
        <f>pairs[[#This Row],[ Dist]]*5280</f>
        <v>703.92959999999994</v>
      </c>
      <c r="G953" s="232">
        <f>ROUND(pairs[[#This Row],[ Az]]-ROUNDDOWN(pairs[[#This Row],[ Az]],0),1)</f>
        <v>0</v>
      </c>
      <c r="H953" s="232">
        <f>ROUND(pairs[[#This Row],[ Back]]-ROUNDDOWN(pairs[[#This Row],[ Back]],0),1)</f>
        <v>0.7</v>
      </c>
      <c r="I953" s="232">
        <f>IF( OR( OR(pairs[[#This Row],[Az*]]=0, pairs[[#This Row],[Back*]]=0), OR(pairs[[#This Row],[Az*]]=1, pairs[[#This Row],[Back*]]=1)), 1, 0)</f>
        <v>1</v>
      </c>
      <c r="J953" s="232">
        <f>IF(OR(pairs[[#This Row],[Az*]]=0.5,pairs[[#This Row],[Back*]]=0.5),1,0)</f>
        <v>0</v>
      </c>
    </row>
    <row r="954" spans="1:10">
      <c r="A954" s="231" t="s">
        <v>189</v>
      </c>
      <c r="B954" s="231" t="s">
        <v>171</v>
      </c>
      <c r="C954" s="232"/>
      <c r="D954" s="232">
        <v>307.76</v>
      </c>
      <c r="E954" s="233">
        <v>7.4539999999999995E-2</v>
      </c>
      <c r="F954" s="234">
        <f>pairs[[#This Row],[ Dist]]*5280</f>
        <v>393.57119999999998</v>
      </c>
      <c r="G954" s="232">
        <f>ROUND(pairs[[#This Row],[ Az]]-ROUNDDOWN(pairs[[#This Row],[ Az]],0),1)</f>
        <v>0</v>
      </c>
      <c r="H954" s="232">
        <f>ROUND(pairs[[#This Row],[ Back]]-ROUNDDOWN(pairs[[#This Row],[ Back]],0),1)</f>
        <v>0.8</v>
      </c>
      <c r="I954" s="232">
        <f>IF( OR( OR(pairs[[#This Row],[Az*]]=0, pairs[[#This Row],[Back*]]=0), OR(pairs[[#This Row],[Az*]]=1, pairs[[#This Row],[Back*]]=1)), 1, 0)</f>
        <v>1</v>
      </c>
      <c r="J954" s="232">
        <f>IF(OR(pairs[[#This Row],[Az*]]=0.5,pairs[[#This Row],[Back*]]=0.5),1,0)</f>
        <v>0</v>
      </c>
    </row>
    <row r="955" spans="1:10">
      <c r="A955" s="231" t="s">
        <v>189</v>
      </c>
      <c r="B955" s="231" t="s">
        <v>170</v>
      </c>
      <c r="C955" s="232"/>
      <c r="D955" s="232">
        <v>222.17</v>
      </c>
      <c r="E955" s="233">
        <v>8.7106000000000003E-2</v>
      </c>
      <c r="F955" s="234">
        <f>pairs[[#This Row],[ Dist]]*5280</f>
        <v>459.91968000000003</v>
      </c>
      <c r="G955" s="232">
        <f>ROUND(pairs[[#This Row],[ Az]]-ROUNDDOWN(pairs[[#This Row],[ Az]],0),1)</f>
        <v>0</v>
      </c>
      <c r="H955" s="232">
        <f>ROUND(pairs[[#This Row],[ Back]]-ROUNDDOWN(pairs[[#This Row],[ Back]],0),1)</f>
        <v>0.2</v>
      </c>
      <c r="I955" s="232">
        <f>IF( OR( OR(pairs[[#This Row],[Az*]]=0, pairs[[#This Row],[Back*]]=0), OR(pairs[[#This Row],[Az*]]=1, pairs[[#This Row],[Back*]]=1)), 1, 0)</f>
        <v>1</v>
      </c>
      <c r="J955" s="232">
        <f>IF(OR(pairs[[#This Row],[Az*]]=0.5,pairs[[#This Row],[Back*]]=0.5),1,0)</f>
        <v>0</v>
      </c>
    </row>
    <row r="956" spans="1:10">
      <c r="A956" s="231" t="s">
        <v>189</v>
      </c>
      <c r="B956" s="231" t="s">
        <v>169</v>
      </c>
      <c r="C956" s="232"/>
      <c r="D956" s="232">
        <v>202.56</v>
      </c>
      <c r="E956" s="233">
        <v>0.497199</v>
      </c>
      <c r="F956" s="234">
        <f>pairs[[#This Row],[ Dist]]*5280</f>
        <v>2625.21072</v>
      </c>
      <c r="G956" s="232">
        <f>ROUND(pairs[[#This Row],[ Az]]-ROUNDDOWN(pairs[[#This Row],[ Az]],0),1)</f>
        <v>0</v>
      </c>
      <c r="H956" s="232">
        <f>ROUND(pairs[[#This Row],[ Back]]-ROUNDDOWN(pairs[[#This Row],[ Back]],0),1)</f>
        <v>0.6</v>
      </c>
      <c r="I956" s="232">
        <f>IF( OR( OR(pairs[[#This Row],[Az*]]=0, pairs[[#This Row],[Back*]]=0), OR(pairs[[#This Row],[Az*]]=1, pairs[[#This Row],[Back*]]=1)), 1, 0)</f>
        <v>1</v>
      </c>
      <c r="J956" s="232">
        <f>IF(OR(pairs[[#This Row],[Az*]]=0.5,pairs[[#This Row],[Back*]]=0.5),1,0)</f>
        <v>0</v>
      </c>
    </row>
    <row r="957" spans="1:10">
      <c r="A957" s="231" t="s">
        <v>189</v>
      </c>
      <c r="B957" s="231" t="s">
        <v>168</v>
      </c>
      <c r="C957" s="232"/>
      <c r="D957" s="232">
        <v>341.42</v>
      </c>
      <c r="E957" s="233">
        <v>1.217948</v>
      </c>
      <c r="F957" s="234">
        <f>pairs[[#This Row],[ Dist]]*5280</f>
        <v>6430.7654400000001</v>
      </c>
      <c r="G957" s="232">
        <f>ROUND(pairs[[#This Row],[ Az]]-ROUNDDOWN(pairs[[#This Row],[ Az]],0),1)</f>
        <v>0</v>
      </c>
      <c r="H957" s="232">
        <f>ROUND(pairs[[#This Row],[ Back]]-ROUNDDOWN(pairs[[#This Row],[ Back]],0),1)</f>
        <v>0.4</v>
      </c>
      <c r="I957" s="232">
        <f>IF( OR( OR(pairs[[#This Row],[Az*]]=0, pairs[[#This Row],[Back*]]=0), OR(pairs[[#This Row],[Az*]]=1, pairs[[#This Row],[Back*]]=1)), 1, 0)</f>
        <v>1</v>
      </c>
      <c r="J957" s="232">
        <f>IF(OR(pairs[[#This Row],[Az*]]=0.5,pairs[[#This Row],[Back*]]=0.5),1,0)</f>
        <v>0</v>
      </c>
    </row>
    <row r="958" spans="1:10">
      <c r="A958" s="231" t="s">
        <v>189</v>
      </c>
      <c r="B958" s="231" t="s">
        <v>167</v>
      </c>
      <c r="C958" s="232"/>
      <c r="D958" s="232">
        <v>12.32</v>
      </c>
      <c r="E958" s="233">
        <v>1.547506</v>
      </c>
      <c r="F958" s="234">
        <f>pairs[[#This Row],[ Dist]]*5280</f>
        <v>8170.8316800000002</v>
      </c>
      <c r="G958" s="232">
        <f>ROUND(pairs[[#This Row],[ Az]]-ROUNDDOWN(pairs[[#This Row],[ Az]],0),1)</f>
        <v>0</v>
      </c>
      <c r="H958" s="232">
        <f>ROUND(pairs[[#This Row],[ Back]]-ROUNDDOWN(pairs[[#This Row],[ Back]],0),1)</f>
        <v>0.3</v>
      </c>
      <c r="I958" s="232">
        <f>IF( OR( OR(pairs[[#This Row],[Az*]]=0, pairs[[#This Row],[Back*]]=0), OR(pairs[[#This Row],[Az*]]=1, pairs[[#This Row],[Back*]]=1)), 1, 0)</f>
        <v>1</v>
      </c>
      <c r="J958" s="232">
        <f>IF(OR(pairs[[#This Row],[Az*]]=0.5,pairs[[#This Row],[Back*]]=0.5),1,0)</f>
        <v>0</v>
      </c>
    </row>
    <row r="959" spans="1:10">
      <c r="A959" s="231" t="s">
        <v>189</v>
      </c>
      <c r="B959" s="231" t="s">
        <v>166</v>
      </c>
      <c r="C959" s="232"/>
      <c r="D959" s="232">
        <v>11.05</v>
      </c>
      <c r="E959" s="233">
        <v>0.60588200000000003</v>
      </c>
      <c r="F959" s="234">
        <f>pairs[[#This Row],[ Dist]]*5280</f>
        <v>3199.0569600000003</v>
      </c>
      <c r="G959" s="232">
        <f>ROUND(pairs[[#This Row],[ Az]]-ROUNDDOWN(pairs[[#This Row],[ Az]],0),1)</f>
        <v>0</v>
      </c>
      <c r="H959" s="232">
        <f>ROUND(pairs[[#This Row],[ Back]]-ROUNDDOWN(pairs[[#This Row],[ Back]],0),1)</f>
        <v>0.1</v>
      </c>
      <c r="I959" s="232">
        <f>IF( OR( OR(pairs[[#This Row],[Az*]]=0, pairs[[#This Row],[Back*]]=0), OR(pairs[[#This Row],[Az*]]=1, pairs[[#This Row],[Back*]]=1)), 1, 0)</f>
        <v>1</v>
      </c>
      <c r="J959" s="232">
        <f>IF(OR(pairs[[#This Row],[Az*]]=0.5,pairs[[#This Row],[Back*]]=0.5),1,0)</f>
        <v>0</v>
      </c>
    </row>
    <row r="960" spans="1:10" ht="14.1">
      <c r="A960" s="206" t="s">
        <v>189</v>
      </c>
      <c r="B960" s="206" t="s">
        <v>181</v>
      </c>
      <c r="C960" s="235"/>
      <c r="D960" s="235">
        <v>14.46</v>
      </c>
      <c r="E960" s="236">
        <v>2.317437</v>
      </c>
      <c r="F960" s="237">
        <f>pairs[[#This Row],[ Dist]]*5280</f>
        <v>12236.067359999999</v>
      </c>
      <c r="G960" s="235">
        <f>ROUND(pairs[[#This Row],[ Az]]-ROUNDDOWN(pairs[[#This Row],[ Az]],0),1)</f>
        <v>0</v>
      </c>
      <c r="H960" s="235">
        <f>ROUND(pairs[[#This Row],[ Back]]-ROUNDDOWN(pairs[[#This Row],[ Back]],0),1)</f>
        <v>0.5</v>
      </c>
      <c r="I960" s="235">
        <f>IF( OR( OR(pairs[[#This Row],[Az*]]=0, pairs[[#This Row],[Back*]]=0), OR(pairs[[#This Row],[Az*]]=1, pairs[[#This Row],[Back*]]=1)), 1, 0)</f>
        <v>1</v>
      </c>
      <c r="J960" s="235">
        <f>IF(OR(pairs[[#This Row],[Az*]]=0.5,pairs[[#This Row],[Back*]]=0.5),1,0)</f>
        <v>1</v>
      </c>
    </row>
    <row r="961" spans="1:10">
      <c r="A961" s="231" t="s">
        <v>190</v>
      </c>
      <c r="B961" s="231" t="s">
        <v>179</v>
      </c>
      <c r="C961" s="232"/>
      <c r="D961" s="232">
        <v>198.18</v>
      </c>
      <c r="E961" s="233">
        <v>7.1197999999999997E-2</v>
      </c>
      <c r="F961" s="234">
        <f>pairs[[#This Row],[ Dist]]*5280</f>
        <v>375.92543999999998</v>
      </c>
      <c r="G961" s="232">
        <f>ROUND(pairs[[#This Row],[ Az]]-ROUNDDOWN(pairs[[#This Row],[ Az]],0),1)</f>
        <v>0</v>
      </c>
      <c r="H961" s="232">
        <f>ROUND(pairs[[#This Row],[ Back]]-ROUNDDOWN(pairs[[#This Row],[ Back]],0),1)</f>
        <v>0.2</v>
      </c>
      <c r="I961" s="232">
        <f>IF( OR( OR(pairs[[#This Row],[Az*]]=0, pairs[[#This Row],[Back*]]=0), OR(pairs[[#This Row],[Az*]]=1, pairs[[#This Row],[Back*]]=1)), 1, 0)</f>
        <v>1</v>
      </c>
      <c r="J961" s="232">
        <f>IF(OR(pairs[[#This Row],[Az*]]=0.5,pairs[[#This Row],[Back*]]=0.5),1,0)</f>
        <v>0</v>
      </c>
    </row>
    <row r="962" spans="1:10">
      <c r="A962" s="231" t="s">
        <v>190</v>
      </c>
      <c r="B962" s="231" t="s">
        <v>178</v>
      </c>
      <c r="C962" s="232"/>
      <c r="D962" s="232">
        <v>198.18</v>
      </c>
      <c r="E962" s="233">
        <v>0.14023099999999999</v>
      </c>
      <c r="F962" s="234">
        <f>pairs[[#This Row],[ Dist]]*5280</f>
        <v>740.41967999999997</v>
      </c>
      <c r="G962" s="232">
        <f>ROUND(pairs[[#This Row],[ Az]]-ROUNDDOWN(pairs[[#This Row],[ Az]],0),1)</f>
        <v>0</v>
      </c>
      <c r="H962" s="232">
        <f>ROUND(pairs[[#This Row],[ Back]]-ROUNDDOWN(pairs[[#This Row],[ Back]],0),1)</f>
        <v>0.2</v>
      </c>
      <c r="I962" s="232">
        <f>IF( OR( OR(pairs[[#This Row],[Az*]]=0, pairs[[#This Row],[Back*]]=0), OR(pairs[[#This Row],[Az*]]=1, pairs[[#This Row],[Back*]]=1)), 1, 0)</f>
        <v>1</v>
      </c>
      <c r="J962" s="232">
        <f>IF(OR(pairs[[#This Row],[Az*]]=0.5,pairs[[#This Row],[Back*]]=0.5),1,0)</f>
        <v>0</v>
      </c>
    </row>
    <row r="963" spans="1:10">
      <c r="A963" s="231" t="s">
        <v>190</v>
      </c>
      <c r="B963" s="231" t="s">
        <v>177</v>
      </c>
      <c r="C963" s="232"/>
      <c r="D963" s="232">
        <v>179.3</v>
      </c>
      <c r="E963" s="233">
        <v>0.134574</v>
      </c>
      <c r="F963" s="234">
        <f>pairs[[#This Row],[ Dist]]*5280</f>
        <v>710.55071999999996</v>
      </c>
      <c r="G963" s="232">
        <f>ROUND(pairs[[#This Row],[ Az]]-ROUNDDOWN(pairs[[#This Row],[ Az]],0),1)</f>
        <v>0</v>
      </c>
      <c r="H963" s="232">
        <f>ROUND(pairs[[#This Row],[ Back]]-ROUNDDOWN(pairs[[#This Row],[ Back]],0),1)</f>
        <v>0.3</v>
      </c>
      <c r="I963" s="232">
        <f>IF( OR( OR(pairs[[#This Row],[Az*]]=0, pairs[[#This Row],[Back*]]=0), OR(pairs[[#This Row],[Az*]]=1, pairs[[#This Row],[Back*]]=1)), 1, 0)</f>
        <v>1</v>
      </c>
      <c r="J963" s="232">
        <f>IF(OR(pairs[[#This Row],[Az*]]=0.5,pairs[[#This Row],[Back*]]=0.5),1,0)</f>
        <v>0</v>
      </c>
    </row>
    <row r="964" spans="1:10">
      <c r="A964" s="231" t="s">
        <v>190</v>
      </c>
      <c r="B964" s="231" t="s">
        <v>176</v>
      </c>
      <c r="C964" s="232"/>
      <c r="D964" s="232">
        <v>271.82</v>
      </c>
      <c r="E964" s="233">
        <v>4.6823999999999998E-2</v>
      </c>
      <c r="F964" s="234">
        <f>pairs[[#This Row],[ Dist]]*5280</f>
        <v>247.23071999999999</v>
      </c>
      <c r="G964" s="232">
        <f>ROUND(pairs[[#This Row],[ Az]]-ROUNDDOWN(pairs[[#This Row],[ Az]],0),1)</f>
        <v>0</v>
      </c>
      <c r="H964" s="232">
        <f>ROUND(pairs[[#This Row],[ Back]]-ROUNDDOWN(pairs[[#This Row],[ Back]],0),1)</f>
        <v>0.8</v>
      </c>
      <c r="I964" s="232">
        <f>IF( OR( OR(pairs[[#This Row],[Az*]]=0, pairs[[#This Row],[Back*]]=0), OR(pairs[[#This Row],[Az*]]=1, pairs[[#This Row],[Back*]]=1)), 1, 0)</f>
        <v>1</v>
      </c>
      <c r="J964" s="232">
        <f>IF(OR(pairs[[#This Row],[Az*]]=0.5,pairs[[#This Row],[Back*]]=0.5),1,0)</f>
        <v>0</v>
      </c>
    </row>
    <row r="965" spans="1:10">
      <c r="A965" s="231" t="s">
        <v>190</v>
      </c>
      <c r="B965" s="231" t="s">
        <v>174</v>
      </c>
      <c r="C965" s="232"/>
      <c r="D965" s="232">
        <v>152.94</v>
      </c>
      <c r="E965" s="233">
        <v>7.4857999999999994E-2</v>
      </c>
      <c r="F965" s="234">
        <f>pairs[[#This Row],[ Dist]]*5280</f>
        <v>395.25023999999996</v>
      </c>
      <c r="G965" s="232">
        <f>ROUND(pairs[[#This Row],[ Az]]-ROUNDDOWN(pairs[[#This Row],[ Az]],0),1)</f>
        <v>0</v>
      </c>
      <c r="H965" s="232">
        <f>ROUND(pairs[[#This Row],[ Back]]-ROUNDDOWN(pairs[[#This Row],[ Back]],0),1)</f>
        <v>0.9</v>
      </c>
      <c r="I965" s="232">
        <f>IF( OR( OR(pairs[[#This Row],[Az*]]=0, pairs[[#This Row],[Back*]]=0), OR(pairs[[#This Row],[Az*]]=1, pairs[[#This Row],[Back*]]=1)), 1, 0)</f>
        <v>1</v>
      </c>
      <c r="J965" s="232">
        <f>IF(OR(pairs[[#This Row],[Az*]]=0.5,pairs[[#This Row],[Back*]]=0.5),1,0)</f>
        <v>0</v>
      </c>
    </row>
    <row r="966" spans="1:10">
      <c r="A966" s="231" t="s">
        <v>190</v>
      </c>
      <c r="B966" s="231" t="s">
        <v>173</v>
      </c>
      <c r="C966" s="232"/>
      <c r="D966" s="232">
        <v>128.93</v>
      </c>
      <c r="E966" s="233">
        <v>0.19801199999999999</v>
      </c>
      <c r="F966" s="234">
        <f>pairs[[#This Row],[ Dist]]*5280</f>
        <v>1045.5033599999999</v>
      </c>
      <c r="G966" s="232">
        <f>ROUND(pairs[[#This Row],[ Az]]-ROUNDDOWN(pairs[[#This Row],[ Az]],0),1)</f>
        <v>0</v>
      </c>
      <c r="H966" s="232">
        <f>ROUND(pairs[[#This Row],[ Back]]-ROUNDDOWN(pairs[[#This Row],[ Back]],0),1)</f>
        <v>0.9</v>
      </c>
      <c r="I966" s="232">
        <f>IF( OR( OR(pairs[[#This Row],[Az*]]=0, pairs[[#This Row],[Back*]]=0), OR(pairs[[#This Row],[Az*]]=1, pairs[[#This Row],[Back*]]=1)), 1, 0)</f>
        <v>1</v>
      </c>
      <c r="J966" s="232">
        <f>IF(OR(pairs[[#This Row],[Az*]]=0.5,pairs[[#This Row],[Back*]]=0.5),1,0)</f>
        <v>0</v>
      </c>
    </row>
    <row r="967" spans="1:10" ht="14.1">
      <c r="A967" s="206" t="s">
        <v>190</v>
      </c>
      <c r="B967" s="206" t="s">
        <v>172</v>
      </c>
      <c r="C967" s="235"/>
      <c r="D967" s="235">
        <v>93.55</v>
      </c>
      <c r="E967" s="236">
        <v>0.15484100000000001</v>
      </c>
      <c r="F967" s="237">
        <f>pairs[[#This Row],[ Dist]]*5280</f>
        <v>817.56047999999998</v>
      </c>
      <c r="G967" s="235">
        <f>ROUND(pairs[[#This Row],[ Az]]-ROUNDDOWN(pairs[[#This Row],[ Az]],0),1)</f>
        <v>0</v>
      </c>
      <c r="H967" s="235">
        <f>ROUND(pairs[[#This Row],[ Back]]-ROUNDDOWN(pairs[[#This Row],[ Back]],0),1)</f>
        <v>0.5</v>
      </c>
      <c r="I967" s="235">
        <f>IF( OR( OR(pairs[[#This Row],[Az*]]=0, pairs[[#This Row],[Back*]]=0), OR(pairs[[#This Row],[Az*]]=1, pairs[[#This Row],[Back*]]=1)), 1, 0)</f>
        <v>1</v>
      </c>
      <c r="J967" s="235">
        <f>IF(OR(pairs[[#This Row],[Az*]]=0.5,pairs[[#This Row],[Back*]]=0.5),1,0)</f>
        <v>1</v>
      </c>
    </row>
    <row r="968" spans="1:10">
      <c r="A968" s="231" t="s">
        <v>190</v>
      </c>
      <c r="B968" s="231" t="s">
        <v>171</v>
      </c>
      <c r="C968" s="232"/>
      <c r="D968" s="232">
        <v>229.81</v>
      </c>
      <c r="E968" s="233">
        <v>3.2566999999999999E-2</v>
      </c>
      <c r="F968" s="234">
        <f>pairs[[#This Row],[ Dist]]*5280</f>
        <v>171.95375999999999</v>
      </c>
      <c r="G968" s="232">
        <f>ROUND(pairs[[#This Row],[ Az]]-ROUNDDOWN(pairs[[#This Row],[ Az]],0),1)</f>
        <v>0</v>
      </c>
      <c r="H968" s="232">
        <f>ROUND(pairs[[#This Row],[ Back]]-ROUNDDOWN(pairs[[#This Row],[ Back]],0),1)</f>
        <v>0.8</v>
      </c>
      <c r="I968" s="232">
        <f>IF( OR( OR(pairs[[#This Row],[Az*]]=0, pairs[[#This Row],[Back*]]=0), OR(pairs[[#This Row],[Az*]]=1, pairs[[#This Row],[Back*]]=1)), 1, 0)</f>
        <v>1</v>
      </c>
      <c r="J968" s="232">
        <f>IF(OR(pairs[[#This Row],[Az*]]=0.5,pairs[[#This Row],[Back*]]=0.5),1,0)</f>
        <v>0</v>
      </c>
    </row>
    <row r="969" spans="1:10">
      <c r="A969" s="231" t="s">
        <v>190</v>
      </c>
      <c r="B969" s="231" t="s">
        <v>170</v>
      </c>
      <c r="C969" s="232"/>
      <c r="D969" s="232">
        <v>190.55</v>
      </c>
      <c r="E969" s="233">
        <v>0.13347400000000001</v>
      </c>
      <c r="F969" s="234">
        <f>pairs[[#This Row],[ Dist]]*5280</f>
        <v>704.74272000000008</v>
      </c>
      <c r="G969" s="232">
        <f>ROUND(pairs[[#This Row],[ Az]]-ROUNDDOWN(pairs[[#This Row],[ Az]],0),1)</f>
        <v>0</v>
      </c>
      <c r="H969" s="232">
        <f>ROUND(pairs[[#This Row],[ Back]]-ROUNDDOWN(pairs[[#This Row],[ Back]],0),1)</f>
        <v>0.6</v>
      </c>
      <c r="I969" s="232">
        <f>IF( OR( OR(pairs[[#This Row],[Az*]]=0, pairs[[#This Row],[Back*]]=0), OR(pairs[[#This Row],[Az*]]=1, pairs[[#This Row],[Back*]]=1)), 1, 0)</f>
        <v>1</v>
      </c>
      <c r="J969" s="232">
        <f>IF(OR(pairs[[#This Row],[Az*]]=0.5,pairs[[#This Row],[Back*]]=0.5),1,0)</f>
        <v>0</v>
      </c>
    </row>
    <row r="970" spans="1:10">
      <c r="A970" s="231" t="s">
        <v>190</v>
      </c>
      <c r="B970" s="231" t="s">
        <v>169</v>
      </c>
      <c r="C970" s="232"/>
      <c r="D970" s="232">
        <v>196.59</v>
      </c>
      <c r="E970" s="233">
        <v>0.54867200000000005</v>
      </c>
      <c r="F970" s="234">
        <f>pairs[[#This Row],[ Dist]]*5280</f>
        <v>2896.9881600000003</v>
      </c>
      <c r="G970" s="232">
        <f>ROUND(pairs[[#This Row],[ Az]]-ROUNDDOWN(pairs[[#This Row],[ Az]],0),1)</f>
        <v>0</v>
      </c>
      <c r="H970" s="232">
        <f>ROUND(pairs[[#This Row],[ Back]]-ROUNDDOWN(pairs[[#This Row],[ Back]],0),1)</f>
        <v>0.6</v>
      </c>
      <c r="I970" s="232">
        <f>IF( OR( OR(pairs[[#This Row],[Az*]]=0, pairs[[#This Row],[Back*]]=0), OR(pairs[[#This Row],[Az*]]=1, pairs[[#This Row],[Back*]]=1)), 1, 0)</f>
        <v>1</v>
      </c>
      <c r="J970" s="232">
        <f>IF(OR(pairs[[#This Row],[Az*]]=0.5,pairs[[#This Row],[Back*]]=0.5),1,0)</f>
        <v>0</v>
      </c>
    </row>
    <row r="971" spans="1:10" ht="14.1">
      <c r="A971" s="23" t="s">
        <v>190</v>
      </c>
      <c r="B971" s="23" t="s">
        <v>168</v>
      </c>
      <c r="C971" s="229"/>
      <c r="D971" s="229">
        <v>341.98</v>
      </c>
      <c r="E971" s="25">
        <v>1.143961</v>
      </c>
      <c r="F971" s="230">
        <f>pairs[[#This Row],[ Dist]]*5280</f>
        <v>6040.1140800000003</v>
      </c>
      <c r="G971" s="232">
        <f>ROUND(pairs[[#This Row],[ Az]]-ROUNDDOWN(pairs[[#This Row],[ Az]],0),1)</f>
        <v>0</v>
      </c>
      <c r="H971" s="232">
        <f>ROUND(pairs[[#This Row],[ Back]]-ROUNDDOWN(pairs[[#This Row],[ Back]],0),1)</f>
        <v>1</v>
      </c>
      <c r="I971" s="232">
        <f>IF( OR( OR(pairs[[#This Row],[Az*]]=0, pairs[[#This Row],[Back*]]=0), OR(pairs[[#This Row],[Az*]]=1, pairs[[#This Row],[Back*]]=1)), 1, 0)</f>
        <v>1</v>
      </c>
      <c r="J971" s="232">
        <f>IF(OR(pairs[[#This Row],[Az*]]=0.5,pairs[[#This Row],[Back*]]=0.5),1,0)</f>
        <v>0</v>
      </c>
    </row>
    <row r="972" spans="1:10">
      <c r="A972" s="231" t="s">
        <v>190</v>
      </c>
      <c r="B972" s="231" t="s">
        <v>167</v>
      </c>
      <c r="C972" s="232"/>
      <c r="D972" s="232">
        <v>14.15</v>
      </c>
      <c r="E972" s="233">
        <v>1.4904059999999999</v>
      </c>
      <c r="F972" s="234">
        <f>pairs[[#This Row],[ Dist]]*5280</f>
        <v>7869.343679999999</v>
      </c>
      <c r="G972" s="232">
        <f>ROUND(pairs[[#This Row],[ Az]]-ROUNDDOWN(pairs[[#This Row],[ Az]],0),1)</f>
        <v>0</v>
      </c>
      <c r="H972" s="232">
        <f>ROUND(pairs[[#This Row],[ Back]]-ROUNDDOWN(pairs[[#This Row],[ Back]],0),1)</f>
        <v>0.2</v>
      </c>
      <c r="I972" s="232">
        <f>IF( OR( OR(pairs[[#This Row],[Az*]]=0, pairs[[#This Row],[Back*]]=0), OR(pairs[[#This Row],[Az*]]=1, pairs[[#This Row],[Back*]]=1)), 1, 0)</f>
        <v>1</v>
      </c>
      <c r="J972" s="232">
        <f>IF(OR(pairs[[#This Row],[Az*]]=0.5,pairs[[#This Row],[Back*]]=0.5),1,0)</f>
        <v>0</v>
      </c>
    </row>
    <row r="973" spans="1:10">
      <c r="A973" s="231" t="s">
        <v>190</v>
      </c>
      <c r="B973" s="231" t="s">
        <v>166</v>
      </c>
      <c r="C973" s="232"/>
      <c r="D973" s="232">
        <v>15.88</v>
      </c>
      <c r="E973" s="233">
        <v>0.54893000000000003</v>
      </c>
      <c r="F973" s="234">
        <f>pairs[[#This Row],[ Dist]]*5280</f>
        <v>2898.3504000000003</v>
      </c>
      <c r="G973" s="232">
        <f>ROUND(pairs[[#This Row],[ Az]]-ROUNDDOWN(pairs[[#This Row],[ Az]],0),1)</f>
        <v>0</v>
      </c>
      <c r="H973" s="232">
        <f>ROUND(pairs[[#This Row],[ Back]]-ROUNDDOWN(pairs[[#This Row],[ Back]],0),1)</f>
        <v>0.9</v>
      </c>
      <c r="I973" s="232">
        <f>IF( OR( OR(pairs[[#This Row],[Az*]]=0, pairs[[#This Row],[Back*]]=0), OR(pairs[[#This Row],[Az*]]=1, pairs[[#This Row],[Back*]]=1)), 1, 0)</f>
        <v>1</v>
      </c>
      <c r="J973" s="232">
        <f>IF(OR(pairs[[#This Row],[Az*]]=0.5,pairs[[#This Row],[Back*]]=0.5),1,0)</f>
        <v>0</v>
      </c>
    </row>
    <row r="974" spans="1:10">
      <c r="A974" s="231" t="s">
        <v>190</v>
      </c>
      <c r="B974" s="231" t="s">
        <v>181</v>
      </c>
      <c r="C974" s="232"/>
      <c r="D974" s="232">
        <v>15.72</v>
      </c>
      <c r="E974" s="233">
        <v>2.2619419999999999</v>
      </c>
      <c r="F974" s="234">
        <f>pairs[[#This Row],[ Dist]]*5280</f>
        <v>11943.053759999999</v>
      </c>
      <c r="G974" s="232">
        <f>ROUND(pairs[[#This Row],[ Az]]-ROUNDDOWN(pairs[[#This Row],[ Az]],0),1)</f>
        <v>0</v>
      </c>
      <c r="H974" s="232">
        <f>ROUND(pairs[[#This Row],[ Back]]-ROUNDDOWN(pairs[[#This Row],[ Back]],0),1)</f>
        <v>0.7</v>
      </c>
      <c r="I974" s="232">
        <f>IF( OR( OR(pairs[[#This Row],[Az*]]=0, pairs[[#This Row],[Back*]]=0), OR(pairs[[#This Row],[Az*]]=1, pairs[[#This Row],[Back*]]=1)), 1, 0)</f>
        <v>1</v>
      </c>
      <c r="J974" s="232">
        <f>IF(OR(pairs[[#This Row],[Az*]]=0.5,pairs[[#This Row],[Back*]]=0.5),1,0)</f>
        <v>0</v>
      </c>
    </row>
    <row r="975" spans="1:10">
      <c r="A975" s="231" t="s">
        <v>191</v>
      </c>
      <c r="B975" s="231" t="s">
        <v>179</v>
      </c>
      <c r="C975" s="232"/>
      <c r="D975" s="232">
        <v>160.43</v>
      </c>
      <c r="E975" s="233">
        <v>7.3373999999999995E-2</v>
      </c>
      <c r="F975" s="234">
        <f>pairs[[#This Row],[ Dist]]*5280</f>
        <v>387.41471999999999</v>
      </c>
      <c r="G975" s="232">
        <f>ROUND(pairs[[#This Row],[ Az]]-ROUNDDOWN(pairs[[#This Row],[ Az]],0),1)</f>
        <v>0</v>
      </c>
      <c r="H975" s="232">
        <f>ROUND(pairs[[#This Row],[ Back]]-ROUNDDOWN(pairs[[#This Row],[ Back]],0),1)</f>
        <v>0.4</v>
      </c>
      <c r="I975" s="232">
        <f>IF( OR( OR(pairs[[#This Row],[Az*]]=0, pairs[[#This Row],[Back*]]=0), OR(pairs[[#This Row],[Az*]]=1, pairs[[#This Row],[Back*]]=1)), 1, 0)</f>
        <v>1</v>
      </c>
      <c r="J975" s="232">
        <f>IF(OR(pairs[[#This Row],[Az*]]=0.5,pairs[[#This Row],[Back*]]=0.5),1,0)</f>
        <v>0</v>
      </c>
    </row>
    <row r="976" spans="1:10">
      <c r="A976" s="231" t="s">
        <v>191</v>
      </c>
      <c r="B976" s="231" t="s">
        <v>178</v>
      </c>
      <c r="C976" s="232"/>
      <c r="D976" s="232">
        <v>178.71</v>
      </c>
      <c r="E976" s="233">
        <v>0.13475400000000001</v>
      </c>
      <c r="F976" s="234">
        <f>pairs[[#This Row],[ Dist]]*5280</f>
        <v>711.50112000000001</v>
      </c>
      <c r="G976" s="232">
        <f>ROUND(pairs[[#This Row],[ Az]]-ROUNDDOWN(pairs[[#This Row],[ Az]],0),1)</f>
        <v>0</v>
      </c>
      <c r="H976" s="232">
        <f>ROUND(pairs[[#This Row],[ Back]]-ROUNDDOWN(pairs[[#This Row],[ Back]],0),1)</f>
        <v>0.7</v>
      </c>
      <c r="I976" s="232">
        <f>IF( OR( OR(pairs[[#This Row],[Az*]]=0, pairs[[#This Row],[Back*]]=0), OR(pairs[[#This Row],[Az*]]=1, pairs[[#This Row],[Back*]]=1)), 1, 0)</f>
        <v>1</v>
      </c>
      <c r="J976" s="232">
        <f>IF(OR(pairs[[#This Row],[Az*]]=0.5,pairs[[#This Row],[Back*]]=0.5),1,0)</f>
        <v>0</v>
      </c>
    </row>
    <row r="977" spans="1:10">
      <c r="A977" s="231" t="s">
        <v>191</v>
      </c>
      <c r="B977" s="231" t="s">
        <v>177</v>
      </c>
      <c r="C977" s="232"/>
      <c r="D977" s="232">
        <v>160.4</v>
      </c>
      <c r="E977" s="233">
        <v>0.14441899999999999</v>
      </c>
      <c r="F977" s="234">
        <f>pairs[[#This Row],[ Dist]]*5280</f>
        <v>762.53231999999991</v>
      </c>
      <c r="G977" s="232">
        <f>ROUND(pairs[[#This Row],[ Az]]-ROUNDDOWN(pairs[[#This Row],[ Az]],0),1)</f>
        <v>0</v>
      </c>
      <c r="H977" s="232">
        <f>ROUND(pairs[[#This Row],[ Back]]-ROUNDDOWN(pairs[[#This Row],[ Back]],0),1)</f>
        <v>0.4</v>
      </c>
      <c r="I977" s="232">
        <f>IF( OR( OR(pairs[[#This Row],[Az*]]=0, pairs[[#This Row],[Back*]]=0), OR(pairs[[#This Row],[Az*]]=1, pairs[[#This Row],[Back*]]=1)), 1, 0)</f>
        <v>1</v>
      </c>
      <c r="J977" s="232">
        <f>IF(OR(pairs[[#This Row],[Az*]]=0.5,pairs[[#This Row],[Back*]]=0.5),1,0)</f>
        <v>0</v>
      </c>
    </row>
    <row r="978" spans="1:10">
      <c r="A978" s="231" t="s">
        <v>191</v>
      </c>
      <c r="B978" s="231" t="s">
        <v>175</v>
      </c>
      <c r="C978" s="232"/>
      <c r="D978" s="232">
        <v>91.82</v>
      </c>
      <c r="E978" s="233">
        <v>4.6823999999999998E-2</v>
      </c>
      <c r="F978" s="234">
        <f>pairs[[#This Row],[ Dist]]*5280</f>
        <v>247.23071999999999</v>
      </c>
      <c r="G978" s="232">
        <f>ROUND(pairs[[#This Row],[ Az]]-ROUNDDOWN(pairs[[#This Row],[ Az]],0),1)</f>
        <v>0</v>
      </c>
      <c r="H978" s="232">
        <f>ROUND(pairs[[#This Row],[ Back]]-ROUNDDOWN(pairs[[#This Row],[ Back]],0),1)</f>
        <v>0.8</v>
      </c>
      <c r="I978" s="232">
        <f>IF( OR( OR(pairs[[#This Row],[Az*]]=0, pairs[[#This Row],[Back*]]=0), OR(pairs[[#This Row],[Az*]]=1, pairs[[#This Row],[Back*]]=1)), 1, 0)</f>
        <v>1</v>
      </c>
      <c r="J978" s="232">
        <f>IF(OR(pairs[[#This Row],[Az*]]=0.5,pairs[[#This Row],[Back*]]=0.5),1,0)</f>
        <v>0</v>
      </c>
    </row>
    <row r="979" spans="1:10">
      <c r="A979" s="231" t="s">
        <v>191</v>
      </c>
      <c r="B979" s="231" t="s">
        <v>174</v>
      </c>
      <c r="C979" s="232"/>
      <c r="D979" s="232">
        <v>130.13</v>
      </c>
      <c r="E979" s="233">
        <v>0.10574600000000001</v>
      </c>
      <c r="F979" s="234">
        <f>pairs[[#This Row],[ Dist]]*5280</f>
        <v>558.33888000000002</v>
      </c>
      <c r="G979" s="232">
        <f>ROUND(pairs[[#This Row],[ Az]]-ROUNDDOWN(pairs[[#This Row],[ Az]],0),1)</f>
        <v>0</v>
      </c>
      <c r="H979" s="232">
        <f>ROUND(pairs[[#This Row],[ Back]]-ROUNDDOWN(pairs[[#This Row],[ Back]],0),1)</f>
        <v>0.1</v>
      </c>
      <c r="I979" s="232">
        <f>IF( OR( OR(pairs[[#This Row],[Az*]]=0, pairs[[#This Row],[Back*]]=0), OR(pairs[[#This Row],[Az*]]=1, pairs[[#This Row],[Back*]]=1)), 1, 0)</f>
        <v>1</v>
      </c>
      <c r="J979" s="232">
        <f>IF(OR(pairs[[#This Row],[Az*]]=0.5,pairs[[#This Row],[Back*]]=0.5),1,0)</f>
        <v>0</v>
      </c>
    </row>
    <row r="980" spans="1:10">
      <c r="A980" s="231" t="s">
        <v>191</v>
      </c>
      <c r="B980" s="231" t="s">
        <v>173</v>
      </c>
      <c r="C980" s="232"/>
      <c r="D980" s="232">
        <v>122.09</v>
      </c>
      <c r="E980" s="233">
        <v>0.237042</v>
      </c>
      <c r="F980" s="234">
        <f>pairs[[#This Row],[ Dist]]*5280</f>
        <v>1251.58176</v>
      </c>
      <c r="G980" s="232">
        <f>ROUND(pairs[[#This Row],[ Az]]-ROUNDDOWN(pairs[[#This Row],[ Az]],0),1)</f>
        <v>0</v>
      </c>
      <c r="H980" s="232">
        <f>ROUND(pairs[[#This Row],[ Back]]-ROUNDDOWN(pairs[[#This Row],[ Back]],0),1)</f>
        <v>0.1</v>
      </c>
      <c r="I980" s="232">
        <f>IF( OR( OR(pairs[[#This Row],[Az*]]=0, pairs[[#This Row],[Back*]]=0), OR(pairs[[#This Row],[Az*]]=1, pairs[[#This Row],[Back*]]=1)), 1, 0)</f>
        <v>1</v>
      </c>
      <c r="J980" s="232">
        <f>IF(OR(pairs[[#This Row],[Az*]]=0.5,pairs[[#This Row],[Back*]]=0.5),1,0)</f>
        <v>0</v>
      </c>
    </row>
    <row r="981" spans="1:10">
      <c r="A981" s="231" t="s">
        <v>191</v>
      </c>
      <c r="B981" s="231" t="s">
        <v>172</v>
      </c>
      <c r="C981" s="232"/>
      <c r="D981" s="232">
        <v>93.15</v>
      </c>
      <c r="E981" s="233">
        <v>0.20164799999999999</v>
      </c>
      <c r="F981" s="234">
        <f>pairs[[#This Row],[ Dist]]*5280</f>
        <v>1064.70144</v>
      </c>
      <c r="G981" s="232">
        <f>ROUND(pairs[[#This Row],[ Az]]-ROUNDDOWN(pairs[[#This Row],[ Az]],0),1)</f>
        <v>0</v>
      </c>
      <c r="H981" s="232">
        <f>ROUND(pairs[[#This Row],[ Back]]-ROUNDDOWN(pairs[[#This Row],[ Back]],0),1)</f>
        <v>0.2</v>
      </c>
      <c r="I981" s="232">
        <f>IF( OR( OR(pairs[[#This Row],[Az*]]=0, pairs[[#This Row],[Back*]]=0), OR(pairs[[#This Row],[Az*]]=1, pairs[[#This Row],[Back*]]=1)), 1, 0)</f>
        <v>1</v>
      </c>
      <c r="J981" s="232">
        <f>IF(OR(pairs[[#This Row],[Az*]]=0.5,pairs[[#This Row],[Back*]]=0.5),1,0)</f>
        <v>0</v>
      </c>
    </row>
    <row r="982" spans="1:10">
      <c r="A982" s="231" t="s">
        <v>191</v>
      </c>
      <c r="B982" s="231" t="s">
        <v>171</v>
      </c>
      <c r="C982" s="232"/>
      <c r="D982" s="232">
        <v>135.75</v>
      </c>
      <c r="E982" s="233">
        <v>3.1419999999999997E-2</v>
      </c>
      <c r="F982" s="234">
        <f>pairs[[#This Row],[ Dist]]*5280</f>
        <v>165.89759999999998</v>
      </c>
      <c r="G982" s="232">
        <f>ROUND(pairs[[#This Row],[ Az]]-ROUNDDOWN(pairs[[#This Row],[ Az]],0),1)</f>
        <v>0</v>
      </c>
      <c r="H982" s="232">
        <f>ROUND(pairs[[#This Row],[ Back]]-ROUNDDOWN(pairs[[#This Row],[ Back]],0),1)</f>
        <v>0.8</v>
      </c>
      <c r="I982" s="232">
        <f>IF( OR( OR(pairs[[#This Row],[Az*]]=0, pairs[[#This Row],[Back*]]=0), OR(pairs[[#This Row],[Az*]]=1, pairs[[#This Row],[Back*]]=1)), 1, 0)</f>
        <v>1</v>
      </c>
      <c r="J982" s="232">
        <f>IF(OR(pairs[[#This Row],[Az*]]=0.5,pairs[[#This Row],[Back*]]=0.5),1,0)</f>
        <v>0</v>
      </c>
    </row>
    <row r="983" spans="1:10">
      <c r="A983" s="231" t="s">
        <v>191</v>
      </c>
      <c r="B983" s="231" t="s">
        <v>170</v>
      </c>
      <c r="C983" s="232"/>
      <c r="D983" s="232">
        <v>170.43</v>
      </c>
      <c r="E983" s="233">
        <v>0.13458200000000001</v>
      </c>
      <c r="F983" s="234">
        <f>pairs[[#This Row],[ Dist]]*5280</f>
        <v>710.59296000000006</v>
      </c>
      <c r="G983" s="232">
        <f>ROUND(pairs[[#This Row],[ Az]]-ROUNDDOWN(pairs[[#This Row],[ Az]],0),1)</f>
        <v>0</v>
      </c>
      <c r="H983" s="232">
        <f>ROUND(pairs[[#This Row],[ Back]]-ROUNDDOWN(pairs[[#This Row],[ Back]],0),1)</f>
        <v>0.4</v>
      </c>
      <c r="I983" s="232">
        <f>IF( OR( OR(pairs[[#This Row],[Az*]]=0, pairs[[#This Row],[Back*]]=0), OR(pairs[[#This Row],[Az*]]=1, pairs[[#This Row],[Back*]]=1)), 1, 0)</f>
        <v>1</v>
      </c>
      <c r="J983" s="232">
        <f>IF(OR(pairs[[#This Row],[Az*]]=0.5,pairs[[#This Row],[Back*]]=0.5),1,0)</f>
        <v>0</v>
      </c>
    </row>
    <row r="984" spans="1:10">
      <c r="A984" s="231" t="s">
        <v>191</v>
      </c>
      <c r="B984" s="231" t="s">
        <v>169</v>
      </c>
      <c r="C984" s="232"/>
      <c r="D984" s="232">
        <v>191.77</v>
      </c>
      <c r="E984" s="233">
        <v>0.53864400000000001</v>
      </c>
      <c r="F984" s="234">
        <f>pairs[[#This Row],[ Dist]]*5280</f>
        <v>2844.0403200000001</v>
      </c>
      <c r="G984" s="232">
        <f>ROUND(pairs[[#This Row],[ Az]]-ROUNDDOWN(pairs[[#This Row],[ Az]],0),1)</f>
        <v>0</v>
      </c>
      <c r="H984" s="232">
        <f>ROUND(pairs[[#This Row],[ Back]]-ROUNDDOWN(pairs[[#This Row],[ Back]],0),1)</f>
        <v>0.8</v>
      </c>
      <c r="I984" s="232">
        <f>IF( OR( OR(pairs[[#This Row],[Az*]]=0, pairs[[#This Row],[Back*]]=0), OR(pairs[[#This Row],[Az*]]=1, pairs[[#This Row],[Back*]]=1)), 1, 0)</f>
        <v>1</v>
      </c>
      <c r="J984" s="232">
        <f>IF(OR(pairs[[#This Row],[Az*]]=0.5,pairs[[#This Row],[Back*]]=0.5),1,0)</f>
        <v>0</v>
      </c>
    </row>
    <row r="985" spans="1:10">
      <c r="A985" s="231" t="s">
        <v>191</v>
      </c>
      <c r="B985" s="231" t="s">
        <v>168</v>
      </c>
      <c r="C985" s="232"/>
      <c r="D985" s="232">
        <v>344.21</v>
      </c>
      <c r="E985" s="233">
        <v>1.1289199999999999</v>
      </c>
      <c r="F985" s="234">
        <f>pairs[[#This Row],[ Dist]]*5280</f>
        <v>5960.6975999999995</v>
      </c>
      <c r="G985" s="232">
        <f>ROUND(pairs[[#This Row],[ Az]]-ROUNDDOWN(pairs[[#This Row],[ Az]],0),1)</f>
        <v>0</v>
      </c>
      <c r="H985" s="232">
        <f>ROUND(pairs[[#This Row],[ Back]]-ROUNDDOWN(pairs[[#This Row],[ Back]],0),1)</f>
        <v>0.2</v>
      </c>
      <c r="I985" s="232">
        <f>IF( OR( OR(pairs[[#This Row],[Az*]]=0, pairs[[#This Row],[Back*]]=0), OR(pairs[[#This Row],[Az*]]=1, pairs[[#This Row],[Back*]]=1)), 1, 0)</f>
        <v>1</v>
      </c>
      <c r="J985" s="232">
        <f>IF(OR(pairs[[#This Row],[Az*]]=0.5,pairs[[#This Row],[Back*]]=0.5),1,0)</f>
        <v>0</v>
      </c>
    </row>
    <row r="986" spans="1:10">
      <c r="A986" s="231" t="s">
        <v>191</v>
      </c>
      <c r="B986" s="231" t="s">
        <v>167</v>
      </c>
      <c r="C986" s="232"/>
      <c r="D986" s="232">
        <v>15.9</v>
      </c>
      <c r="E986" s="233">
        <v>1.5011019999999999</v>
      </c>
      <c r="F986" s="234">
        <f>pairs[[#This Row],[ Dist]]*5280</f>
        <v>7925.8185599999997</v>
      </c>
      <c r="G986" s="232">
        <f>ROUND(pairs[[#This Row],[ Az]]-ROUNDDOWN(pairs[[#This Row],[ Az]],0),1)</f>
        <v>0</v>
      </c>
      <c r="H986" s="232">
        <f>ROUND(pairs[[#This Row],[ Back]]-ROUNDDOWN(pairs[[#This Row],[ Back]],0),1)</f>
        <v>0.9</v>
      </c>
      <c r="I986" s="232">
        <f>IF( OR( OR(pairs[[#This Row],[Az*]]=0, pairs[[#This Row],[Back*]]=0), OR(pairs[[#This Row],[Az*]]=1, pairs[[#This Row],[Back*]]=1)), 1, 0)</f>
        <v>1</v>
      </c>
      <c r="J986" s="232">
        <f>IF(OR(pairs[[#This Row],[Az*]]=0.5,pairs[[#This Row],[Back*]]=0.5),1,0)</f>
        <v>0</v>
      </c>
    </row>
    <row r="987" spans="1:10" ht="14.1">
      <c r="A987" s="206" t="s">
        <v>191</v>
      </c>
      <c r="B987" s="206" t="s">
        <v>166</v>
      </c>
      <c r="C987" s="235"/>
      <c r="D987" s="235">
        <v>20.51</v>
      </c>
      <c r="E987" s="236">
        <v>0.56213999999999997</v>
      </c>
      <c r="F987" s="237">
        <f>pairs[[#This Row],[ Dist]]*5280</f>
        <v>2968.0991999999997</v>
      </c>
      <c r="G987" s="235">
        <f>ROUND(pairs[[#This Row],[ Az]]-ROUNDDOWN(pairs[[#This Row],[ Az]],0),1)</f>
        <v>0</v>
      </c>
      <c r="H987" s="235">
        <f>ROUND(pairs[[#This Row],[ Back]]-ROUNDDOWN(pairs[[#This Row],[ Back]],0),1)</f>
        <v>0.5</v>
      </c>
      <c r="I987" s="235">
        <f>IF( OR( OR(pairs[[#This Row],[Az*]]=0, pairs[[#This Row],[Back*]]=0), OR(pairs[[#This Row],[Az*]]=1, pairs[[#This Row],[Back*]]=1)), 1, 0)</f>
        <v>1</v>
      </c>
      <c r="J987" s="235">
        <f>IF(OR(pairs[[#This Row],[Az*]]=0.5,pairs[[#This Row],[Back*]]=0.5),1,0)</f>
        <v>1</v>
      </c>
    </row>
    <row r="988" spans="1:10">
      <c r="A988" s="231" t="s">
        <v>191</v>
      </c>
      <c r="B988" s="231" t="s">
        <v>181</v>
      </c>
      <c r="C988" s="232"/>
      <c r="D988" s="232">
        <v>16.87</v>
      </c>
      <c r="E988" s="233">
        <v>2.2736489999999998</v>
      </c>
      <c r="F988" s="234">
        <f>pairs[[#This Row],[ Dist]]*5280</f>
        <v>12004.866719999998</v>
      </c>
      <c r="G988" s="232">
        <f>ROUND(pairs[[#This Row],[ Az]]-ROUNDDOWN(pairs[[#This Row],[ Az]],0),1)</f>
        <v>0</v>
      </c>
      <c r="H988" s="232">
        <f>ROUND(pairs[[#This Row],[ Back]]-ROUNDDOWN(pairs[[#This Row],[ Back]],0),1)</f>
        <v>0.9</v>
      </c>
      <c r="I988" s="232">
        <f>IF( OR( OR(pairs[[#This Row],[Az*]]=0, pairs[[#This Row],[Back*]]=0), OR(pairs[[#This Row],[Az*]]=1, pairs[[#This Row],[Back*]]=1)), 1, 0)</f>
        <v>1</v>
      </c>
      <c r="J988" s="232">
        <f>IF(OR(pairs[[#This Row],[Az*]]=0.5,pairs[[#This Row],[Back*]]=0.5),1,0)</f>
        <v>0</v>
      </c>
    </row>
    <row r="989" spans="1:10">
      <c r="A989" s="231" t="s">
        <v>192</v>
      </c>
      <c r="B989" s="231" t="s">
        <v>179</v>
      </c>
      <c r="C989" s="232"/>
      <c r="D989" s="232">
        <v>340.38</v>
      </c>
      <c r="E989" s="233">
        <v>7.1044999999999997E-2</v>
      </c>
      <c r="F989" s="234">
        <f>pairs[[#This Row],[ Dist]]*5280</f>
        <v>375.11759999999998</v>
      </c>
      <c r="G989" s="232">
        <f>ROUND(pairs[[#This Row],[ Az]]-ROUNDDOWN(pairs[[#This Row],[ Az]],0),1)</f>
        <v>0</v>
      </c>
      <c r="H989" s="232">
        <f>ROUND(pairs[[#This Row],[ Back]]-ROUNDDOWN(pairs[[#This Row],[ Back]],0),1)</f>
        <v>0.4</v>
      </c>
      <c r="I989" s="232">
        <f>IF( OR( OR(pairs[[#This Row],[Az*]]=0, pairs[[#This Row],[Back*]]=0), OR(pairs[[#This Row],[Az*]]=1, pairs[[#This Row],[Back*]]=1)), 1, 0)</f>
        <v>1</v>
      </c>
      <c r="J989" s="232">
        <f>IF(OR(pairs[[#This Row],[Az*]]=0.5,pairs[[#This Row],[Back*]]=0.5),1,0)</f>
        <v>0</v>
      </c>
    </row>
    <row r="990" spans="1:10">
      <c r="A990" s="231" t="s">
        <v>192</v>
      </c>
      <c r="B990" s="231" t="s">
        <v>178</v>
      </c>
      <c r="C990" s="232"/>
      <c r="D990" s="232">
        <v>271.69</v>
      </c>
      <c r="E990" s="233">
        <v>4.5412000000000001E-2</v>
      </c>
      <c r="F990" s="234">
        <f>pairs[[#This Row],[ Dist]]*5280</f>
        <v>239.77536000000001</v>
      </c>
      <c r="G990" s="232">
        <f>ROUND(pairs[[#This Row],[ Az]]-ROUNDDOWN(pairs[[#This Row],[ Az]],0),1)</f>
        <v>0</v>
      </c>
      <c r="H990" s="232">
        <f>ROUND(pairs[[#This Row],[ Back]]-ROUNDDOWN(pairs[[#This Row],[ Back]],0),1)</f>
        <v>0.7</v>
      </c>
      <c r="I990" s="232">
        <f>IF( OR( OR(pairs[[#This Row],[Az*]]=0, pairs[[#This Row],[Back*]]=0), OR(pairs[[#This Row],[Az*]]=1, pairs[[#This Row],[Back*]]=1)), 1, 0)</f>
        <v>1</v>
      </c>
      <c r="J990" s="232">
        <f>IF(OR(pairs[[#This Row],[Az*]]=0.5,pairs[[#This Row],[Back*]]=0.5),1,0)</f>
        <v>0</v>
      </c>
    </row>
    <row r="991" spans="1:10">
      <c r="A991" s="231" t="s">
        <v>192</v>
      </c>
      <c r="B991" s="231" t="s">
        <v>176</v>
      </c>
      <c r="C991" s="232"/>
      <c r="D991" s="232">
        <v>340.41</v>
      </c>
      <c r="E991" s="233">
        <v>0.14441899999999999</v>
      </c>
      <c r="F991" s="234">
        <f>pairs[[#This Row],[ Dist]]*5280</f>
        <v>762.53231999999991</v>
      </c>
      <c r="G991" s="232">
        <f>ROUND(pairs[[#This Row],[ Az]]-ROUNDDOWN(pairs[[#This Row],[ Az]],0),1)</f>
        <v>0</v>
      </c>
      <c r="H991" s="232">
        <f>ROUND(pairs[[#This Row],[ Back]]-ROUNDDOWN(pairs[[#This Row],[ Back]],0),1)</f>
        <v>0.4</v>
      </c>
      <c r="I991" s="232">
        <f>IF( OR( OR(pairs[[#This Row],[Az*]]=0, pairs[[#This Row],[Back*]]=0), OR(pairs[[#This Row],[Az*]]=1, pairs[[#This Row],[Back*]]=1)), 1, 0)</f>
        <v>1</v>
      </c>
      <c r="J991" s="232">
        <f>IF(OR(pairs[[#This Row],[Az*]]=0.5,pairs[[#This Row],[Back*]]=0.5),1,0)</f>
        <v>0</v>
      </c>
    </row>
    <row r="992" spans="1:10">
      <c r="A992" s="231" t="s">
        <v>192</v>
      </c>
      <c r="B992" s="231" t="s">
        <v>175</v>
      </c>
      <c r="C992" s="232"/>
      <c r="D992" s="232">
        <v>359.3</v>
      </c>
      <c r="E992" s="233">
        <v>0.134574</v>
      </c>
      <c r="F992" s="234">
        <f>pairs[[#This Row],[ Dist]]*5280</f>
        <v>710.55071999999996</v>
      </c>
      <c r="G992" s="232">
        <f>ROUND(pairs[[#This Row],[ Az]]-ROUNDDOWN(pairs[[#This Row],[ Az]],0),1)</f>
        <v>0</v>
      </c>
      <c r="H992" s="232">
        <f>ROUND(pairs[[#This Row],[ Back]]-ROUNDDOWN(pairs[[#This Row],[ Back]],0),1)</f>
        <v>0.3</v>
      </c>
      <c r="I992" s="232">
        <f>IF( OR( OR(pairs[[#This Row],[Az*]]=0, pairs[[#This Row],[Back*]]=0), OR(pairs[[#This Row],[Az*]]=1, pairs[[#This Row],[Back*]]=1)), 1, 0)</f>
        <v>1</v>
      </c>
      <c r="J992" s="232">
        <f>IF(OR(pairs[[#This Row],[Az*]]=0.5,pairs[[#This Row],[Back*]]=0.5),1,0)</f>
        <v>0</v>
      </c>
    </row>
    <row r="993" spans="1:10" ht="14.1">
      <c r="A993" s="206" t="s">
        <v>192</v>
      </c>
      <c r="B993" s="206" t="s">
        <v>174</v>
      </c>
      <c r="C993" s="235"/>
      <c r="D993" s="235">
        <v>25.52</v>
      </c>
      <c r="E993" s="236">
        <v>7.5242000000000003E-2</v>
      </c>
      <c r="F993" s="237">
        <f>pairs[[#This Row],[ Dist]]*5280</f>
        <v>397.27776</v>
      </c>
      <c r="G993" s="235">
        <f>ROUND(pairs[[#This Row],[ Az]]-ROUNDDOWN(pairs[[#This Row],[ Az]],0),1)</f>
        <v>0</v>
      </c>
      <c r="H993" s="235">
        <f>ROUND(pairs[[#This Row],[ Back]]-ROUNDDOWN(pairs[[#This Row],[ Back]],0),1)</f>
        <v>0.5</v>
      </c>
      <c r="I993" s="235">
        <f>IF( OR( OR(pairs[[#This Row],[Az*]]=0, pairs[[#This Row],[Back*]]=0), OR(pairs[[#This Row],[Az*]]=1, pairs[[#This Row],[Back*]]=1)), 1, 0)</f>
        <v>1</v>
      </c>
      <c r="J993" s="235">
        <f>IF(OR(pairs[[#This Row],[Az*]]=0.5,pairs[[#This Row],[Back*]]=0.5),1,0)</f>
        <v>1</v>
      </c>
    </row>
    <row r="994" spans="1:10">
      <c r="A994" s="231" t="s">
        <v>192</v>
      </c>
      <c r="B994" s="231" t="s">
        <v>173</v>
      </c>
      <c r="C994" s="232"/>
      <c r="D994" s="232">
        <v>86.2</v>
      </c>
      <c r="E994" s="233">
        <v>0.152726</v>
      </c>
      <c r="F994" s="234">
        <f>pairs[[#This Row],[ Dist]]*5280</f>
        <v>806.39328</v>
      </c>
      <c r="G994" s="232">
        <f>ROUND(pairs[[#This Row],[ Az]]-ROUNDDOWN(pairs[[#This Row],[ Az]],0),1)</f>
        <v>0</v>
      </c>
      <c r="H994" s="232">
        <f>ROUND(pairs[[#This Row],[ Back]]-ROUNDDOWN(pairs[[#This Row],[ Back]],0),1)</f>
        <v>0.2</v>
      </c>
      <c r="I994" s="232">
        <f>IF( OR( OR(pairs[[#This Row],[Az*]]=0, pairs[[#This Row],[Back*]]=0), OR(pairs[[#This Row],[Az*]]=1, pairs[[#This Row],[Back*]]=1)), 1, 0)</f>
        <v>1</v>
      </c>
      <c r="J994" s="232">
        <f>IF(OR(pairs[[#This Row],[Az*]]=0.5,pairs[[#This Row],[Back*]]=0.5),1,0)</f>
        <v>0</v>
      </c>
    </row>
    <row r="995" spans="1:10">
      <c r="A995" s="231" t="s">
        <v>192</v>
      </c>
      <c r="B995" s="231" t="s">
        <v>172</v>
      </c>
      <c r="C995" s="232"/>
      <c r="D995" s="232">
        <v>50.74</v>
      </c>
      <c r="E995" s="233">
        <v>0.19747600000000001</v>
      </c>
      <c r="F995" s="234">
        <f>pairs[[#This Row],[ Dist]]*5280</f>
        <v>1042.67328</v>
      </c>
      <c r="G995" s="232">
        <f>ROUND(pairs[[#This Row],[ Az]]-ROUNDDOWN(pairs[[#This Row],[ Az]],0),1)</f>
        <v>0</v>
      </c>
      <c r="H995" s="232">
        <f>ROUND(pairs[[#This Row],[ Back]]-ROUNDDOWN(pairs[[#This Row],[ Back]],0),1)</f>
        <v>0.7</v>
      </c>
      <c r="I995" s="232">
        <f>IF( OR( OR(pairs[[#This Row],[Az*]]=0, pairs[[#This Row],[Back*]]=0), OR(pairs[[#This Row],[Az*]]=1, pairs[[#This Row],[Back*]]=1)), 1, 0)</f>
        <v>1</v>
      </c>
      <c r="J995" s="232">
        <f>IF(OR(pairs[[#This Row],[Az*]]=0.5,pairs[[#This Row],[Back*]]=0.5),1,0)</f>
        <v>0</v>
      </c>
    </row>
    <row r="996" spans="1:10">
      <c r="A996" s="231" t="s">
        <v>192</v>
      </c>
      <c r="B996" s="231" t="s">
        <v>171</v>
      </c>
      <c r="C996" s="232"/>
      <c r="D996" s="232">
        <v>346.86</v>
      </c>
      <c r="E996" s="233">
        <v>0.116601</v>
      </c>
      <c r="F996" s="234">
        <f>pairs[[#This Row],[ Dist]]*5280</f>
        <v>615.65328</v>
      </c>
      <c r="G996" s="232">
        <f>ROUND(pairs[[#This Row],[ Az]]-ROUNDDOWN(pairs[[#This Row],[ Az]],0),1)</f>
        <v>0</v>
      </c>
      <c r="H996" s="232">
        <f>ROUND(pairs[[#This Row],[ Back]]-ROUNDDOWN(pairs[[#This Row],[ Back]],0),1)</f>
        <v>0.9</v>
      </c>
      <c r="I996" s="232">
        <f>IF( OR( OR(pairs[[#This Row],[Az*]]=0, pairs[[#This Row],[Back*]]=0), OR(pairs[[#This Row],[Az*]]=1, pairs[[#This Row],[Back*]]=1)), 1, 0)</f>
        <v>1</v>
      </c>
      <c r="J996" s="232">
        <f>IF(OR(pairs[[#This Row],[Az*]]=0.5,pairs[[#This Row],[Back*]]=0.5),1,0)</f>
        <v>0</v>
      </c>
    </row>
    <row r="997" spans="1:10">
      <c r="A997" s="231" t="s">
        <v>192</v>
      </c>
      <c r="B997" s="231" t="s">
        <v>170</v>
      </c>
      <c r="C997" s="232"/>
      <c r="D997" s="232">
        <v>277.31</v>
      </c>
      <c r="E997" s="233">
        <v>2.6277999999999999E-2</v>
      </c>
      <c r="F997" s="234">
        <f>pairs[[#This Row],[ Dist]]*5280</f>
        <v>138.74784</v>
      </c>
      <c r="G997" s="232">
        <f>ROUND(pairs[[#This Row],[ Az]]-ROUNDDOWN(pairs[[#This Row],[ Az]],0),1)</f>
        <v>0</v>
      </c>
      <c r="H997" s="232">
        <f>ROUND(pairs[[#This Row],[ Back]]-ROUNDDOWN(pairs[[#This Row],[ Back]],0),1)</f>
        <v>0.3</v>
      </c>
      <c r="I997" s="232">
        <f>IF( OR( OR(pairs[[#This Row],[Az*]]=0, pairs[[#This Row],[Back*]]=0), OR(pairs[[#This Row],[Az*]]=1, pairs[[#This Row],[Back*]]=1)), 1, 0)</f>
        <v>1</v>
      </c>
      <c r="J997" s="232">
        <f>IF(OR(pairs[[#This Row],[Az*]]=0.5,pairs[[#This Row],[Back*]]=0.5),1,0)</f>
        <v>0</v>
      </c>
    </row>
    <row r="998" spans="1:10" ht="14.1">
      <c r="A998" s="23" t="s">
        <v>192</v>
      </c>
      <c r="B998" s="23" t="s">
        <v>169</v>
      </c>
      <c r="C998" s="229"/>
      <c r="D998" s="229">
        <v>202.03</v>
      </c>
      <c r="E998" s="25">
        <v>0.42207600000000001</v>
      </c>
      <c r="F998" s="230">
        <f>pairs[[#This Row],[ Dist]]*5280</f>
        <v>2228.5612799999999</v>
      </c>
      <c r="G998" s="232">
        <f>ROUND(pairs[[#This Row],[ Az]]-ROUNDDOWN(pairs[[#This Row],[ Az]],0),1)</f>
        <v>0</v>
      </c>
      <c r="H998" s="232">
        <f>ROUND(pairs[[#This Row],[ Back]]-ROUNDDOWN(pairs[[#This Row],[ Back]],0),1)</f>
        <v>0</v>
      </c>
      <c r="I998" s="232">
        <f>IF( OR( OR(pairs[[#This Row],[Az*]]=0, pairs[[#This Row],[Back*]]=0), OR(pairs[[#This Row],[Az*]]=1, pairs[[#This Row],[Back*]]=1)), 1, 0)</f>
        <v>1</v>
      </c>
      <c r="J998" s="232">
        <f>IF(OR(pairs[[#This Row],[Az*]]=0.5,pairs[[#This Row],[Back*]]=0.5),1,0)</f>
        <v>0</v>
      </c>
    </row>
    <row r="999" spans="1:10">
      <c r="A999" s="231" t="s">
        <v>192</v>
      </c>
      <c r="B999" s="231" t="s">
        <v>168</v>
      </c>
      <c r="C999" s="232"/>
      <c r="D999" s="232">
        <v>343.78</v>
      </c>
      <c r="E999" s="233">
        <v>1.273056</v>
      </c>
      <c r="F999" s="234">
        <f>pairs[[#This Row],[ Dist]]*5280</f>
        <v>6721.7356799999998</v>
      </c>
      <c r="G999" s="232">
        <f>ROUND(pairs[[#This Row],[ Az]]-ROUNDDOWN(pairs[[#This Row],[ Az]],0),1)</f>
        <v>0</v>
      </c>
      <c r="H999" s="232">
        <f>ROUND(pairs[[#This Row],[ Back]]-ROUNDDOWN(pairs[[#This Row],[ Back]],0),1)</f>
        <v>0.8</v>
      </c>
      <c r="I999" s="232">
        <f>IF( OR( OR(pairs[[#This Row],[Az*]]=0, pairs[[#This Row],[Back*]]=0), OR(pairs[[#This Row],[Az*]]=1, pairs[[#This Row],[Back*]]=1)), 1, 0)</f>
        <v>1</v>
      </c>
      <c r="J999" s="232">
        <f>IF(OR(pairs[[#This Row],[Az*]]=0.5,pairs[[#This Row],[Back*]]=0.5),1,0)</f>
        <v>0</v>
      </c>
    </row>
    <row r="1000" spans="1:10">
      <c r="A1000" s="231" t="s">
        <v>192</v>
      </c>
      <c r="B1000" s="231" t="s">
        <v>167</v>
      </c>
      <c r="C1000" s="232"/>
      <c r="D1000" s="232">
        <v>12.93</v>
      </c>
      <c r="E1000" s="233">
        <v>1.6208530000000001</v>
      </c>
      <c r="F1000" s="234">
        <f>pairs[[#This Row],[ Dist]]*5280</f>
        <v>8558.1038399999998</v>
      </c>
      <c r="G1000" s="232">
        <f>ROUND(pairs[[#This Row],[ Az]]-ROUNDDOWN(pairs[[#This Row],[ Az]],0),1)</f>
        <v>0</v>
      </c>
      <c r="H1000" s="232">
        <f>ROUND(pairs[[#This Row],[ Back]]-ROUNDDOWN(pairs[[#This Row],[ Back]],0),1)</f>
        <v>0.9</v>
      </c>
      <c r="I1000" s="232">
        <f>IF( OR( OR(pairs[[#This Row],[Az*]]=0, pairs[[#This Row],[Back*]]=0), OR(pairs[[#This Row],[Az*]]=1, pairs[[#This Row],[Back*]]=1)), 1, 0)</f>
        <v>1</v>
      </c>
      <c r="J1000" s="232">
        <f>IF(OR(pairs[[#This Row],[Az*]]=0.5,pairs[[#This Row],[Back*]]=0.5),1,0)</f>
        <v>0</v>
      </c>
    </row>
    <row r="1001" spans="1:10">
      <c r="A1001" s="231" t="s">
        <v>192</v>
      </c>
      <c r="B1001" s="231" t="s">
        <v>166</v>
      </c>
      <c r="C1001" s="232"/>
      <c r="D1001" s="232">
        <v>12.64</v>
      </c>
      <c r="E1001" s="233">
        <v>0.67899699999999996</v>
      </c>
      <c r="F1001" s="234">
        <f>pairs[[#This Row],[ Dist]]*5280</f>
        <v>3585.1041599999999</v>
      </c>
      <c r="G1001" s="232">
        <f>ROUND(pairs[[#This Row],[ Az]]-ROUNDDOWN(pairs[[#This Row],[ Az]],0),1)</f>
        <v>0</v>
      </c>
      <c r="H1001" s="232">
        <f>ROUND(pairs[[#This Row],[ Back]]-ROUNDDOWN(pairs[[#This Row],[ Back]],0),1)</f>
        <v>0.6</v>
      </c>
      <c r="I1001" s="232">
        <f>IF( OR( OR(pairs[[#This Row],[Az*]]=0, pairs[[#This Row],[Back*]]=0), OR(pairs[[#This Row],[Az*]]=1, pairs[[#This Row],[Back*]]=1)), 1, 0)</f>
        <v>1</v>
      </c>
      <c r="J1001" s="232">
        <f>IF(OR(pairs[[#This Row],[Az*]]=0.5,pairs[[#This Row],[Back*]]=0.5),1,0)</f>
        <v>0</v>
      </c>
    </row>
    <row r="1002" spans="1:10">
      <c r="A1002" s="231" t="s">
        <v>192</v>
      </c>
      <c r="B1002" s="231" t="s">
        <v>181</v>
      </c>
      <c r="C1002" s="232"/>
      <c r="D1002" s="232">
        <v>14.81</v>
      </c>
      <c r="E1002" s="233">
        <v>2.391327</v>
      </c>
      <c r="F1002" s="234">
        <f>pairs[[#This Row],[ Dist]]*5280</f>
        <v>12626.206560000001</v>
      </c>
      <c r="G1002" s="232">
        <f>ROUND(pairs[[#This Row],[ Az]]-ROUNDDOWN(pairs[[#This Row],[ Az]],0),1)</f>
        <v>0</v>
      </c>
      <c r="H1002" s="232">
        <f>ROUND(pairs[[#This Row],[ Back]]-ROUNDDOWN(pairs[[#This Row],[ Back]],0),1)</f>
        <v>0.8</v>
      </c>
      <c r="I1002" s="232">
        <f>IF( OR( OR(pairs[[#This Row],[Az*]]=0, pairs[[#This Row],[Back*]]=0), OR(pairs[[#This Row],[Az*]]=1, pairs[[#This Row],[Back*]]=1)), 1, 0)</f>
        <v>1</v>
      </c>
      <c r="J1002" s="232">
        <f>IF(OR(pairs[[#This Row],[Az*]]=0.5,pairs[[#This Row],[Back*]]=0.5),1,0)</f>
        <v>0</v>
      </c>
    </row>
    <row r="1003" spans="1:10">
      <c r="A1003" s="231" t="s">
        <v>193</v>
      </c>
      <c r="B1003" s="231" t="s">
        <v>179</v>
      </c>
      <c r="C1003" s="232"/>
      <c r="D1003" s="232">
        <v>18.18</v>
      </c>
      <c r="E1003" s="233">
        <v>6.9032999999999997E-2</v>
      </c>
      <c r="F1003" s="234">
        <f>pairs[[#This Row],[ Dist]]*5280</f>
        <v>364.49423999999999</v>
      </c>
      <c r="G1003" s="232">
        <f>ROUND(pairs[[#This Row],[ Az]]-ROUNDDOWN(pairs[[#This Row],[ Az]],0),1)</f>
        <v>0</v>
      </c>
      <c r="H1003" s="232">
        <f>ROUND(pairs[[#This Row],[ Back]]-ROUNDDOWN(pairs[[#This Row],[ Back]],0),1)</f>
        <v>0.2</v>
      </c>
      <c r="I1003" s="232">
        <f>IF( OR( OR(pairs[[#This Row],[Az*]]=0, pairs[[#This Row],[Back*]]=0), OR(pairs[[#This Row],[Az*]]=1, pairs[[#This Row],[Back*]]=1)), 1, 0)</f>
        <v>1</v>
      </c>
      <c r="J1003" s="232">
        <f>IF(OR(pairs[[#This Row],[Az*]]=0.5,pairs[[#This Row],[Back*]]=0.5),1,0)</f>
        <v>0</v>
      </c>
    </row>
    <row r="1004" spans="1:10">
      <c r="A1004" s="231" t="s">
        <v>193</v>
      </c>
      <c r="B1004" s="231" t="s">
        <v>177</v>
      </c>
      <c r="C1004" s="232"/>
      <c r="D1004" s="232">
        <v>91.68</v>
      </c>
      <c r="E1004" s="233">
        <v>4.5412000000000001E-2</v>
      </c>
      <c r="F1004" s="234">
        <f>pairs[[#This Row],[ Dist]]*5280</f>
        <v>239.77536000000001</v>
      </c>
      <c r="G1004" s="232">
        <f>ROUND(pairs[[#This Row],[ Az]]-ROUNDDOWN(pairs[[#This Row],[ Az]],0),1)</f>
        <v>0</v>
      </c>
      <c r="H1004" s="232">
        <f>ROUND(pairs[[#This Row],[ Back]]-ROUNDDOWN(pairs[[#This Row],[ Back]],0),1)</f>
        <v>0.7</v>
      </c>
      <c r="I1004" s="232">
        <f>IF( OR( OR(pairs[[#This Row],[Az*]]=0, pairs[[#This Row],[Back*]]=0), OR(pairs[[#This Row],[Az*]]=1, pairs[[#This Row],[Back*]]=1)), 1, 0)</f>
        <v>1</v>
      </c>
      <c r="J1004" s="232">
        <f>IF(OR(pairs[[#This Row],[Az*]]=0.5,pairs[[#This Row],[Back*]]=0.5),1,0)</f>
        <v>0</v>
      </c>
    </row>
    <row r="1005" spans="1:10">
      <c r="A1005" s="231" t="s">
        <v>193</v>
      </c>
      <c r="B1005" s="231" t="s">
        <v>176</v>
      </c>
      <c r="C1005" s="232"/>
      <c r="D1005" s="232">
        <v>358.71</v>
      </c>
      <c r="E1005" s="233">
        <v>0.13475400000000001</v>
      </c>
      <c r="F1005" s="234">
        <f>pairs[[#This Row],[ Dist]]*5280</f>
        <v>711.50112000000001</v>
      </c>
      <c r="G1005" s="232">
        <f>ROUND(pairs[[#This Row],[ Az]]-ROUNDDOWN(pairs[[#This Row],[ Az]],0),1)</f>
        <v>0</v>
      </c>
      <c r="H1005" s="232">
        <f>ROUND(pairs[[#This Row],[ Back]]-ROUNDDOWN(pairs[[#This Row],[ Back]],0),1)</f>
        <v>0.7</v>
      </c>
      <c r="I1005" s="232">
        <f>IF( OR( OR(pairs[[#This Row],[Az*]]=0, pairs[[#This Row],[Back*]]=0), OR(pairs[[#This Row],[Az*]]=1, pairs[[#This Row],[Back*]]=1)), 1, 0)</f>
        <v>1</v>
      </c>
      <c r="J1005" s="232">
        <f>IF(OR(pairs[[#This Row],[Az*]]=0.5,pairs[[#This Row],[Back*]]=0.5),1,0)</f>
        <v>0</v>
      </c>
    </row>
    <row r="1006" spans="1:10">
      <c r="A1006" s="231" t="s">
        <v>193</v>
      </c>
      <c r="B1006" s="231" t="s">
        <v>175</v>
      </c>
      <c r="C1006" s="232"/>
      <c r="D1006" s="232">
        <v>18.18</v>
      </c>
      <c r="E1006" s="233">
        <v>0.14023099999999999</v>
      </c>
      <c r="F1006" s="234">
        <f>pairs[[#This Row],[ Dist]]*5280</f>
        <v>740.41967999999997</v>
      </c>
      <c r="G1006" s="232">
        <f>ROUND(pairs[[#This Row],[ Az]]-ROUNDDOWN(pairs[[#This Row],[ Az]],0),1)</f>
        <v>0</v>
      </c>
      <c r="H1006" s="232">
        <f>ROUND(pairs[[#This Row],[ Back]]-ROUNDDOWN(pairs[[#This Row],[ Back]],0),1)</f>
        <v>0.2</v>
      </c>
      <c r="I1006" s="232">
        <f>IF( OR( OR(pairs[[#This Row],[Az*]]=0, pairs[[#This Row],[Back*]]=0), OR(pairs[[#This Row],[Az*]]=1, pairs[[#This Row],[Back*]]=1)), 1, 0)</f>
        <v>1</v>
      </c>
      <c r="J1006" s="232">
        <f>IF(OR(pairs[[#This Row],[Az*]]=0.5,pairs[[#This Row],[Back*]]=0.5),1,0)</f>
        <v>0</v>
      </c>
    </row>
    <row r="1007" spans="1:10" ht="14.1">
      <c r="A1007" s="206" t="s">
        <v>193</v>
      </c>
      <c r="B1007" s="206" t="s">
        <v>174</v>
      </c>
      <c r="C1007" s="235"/>
      <c r="D1007" s="235">
        <v>49.45</v>
      </c>
      <c r="E1007" s="236">
        <v>0.102398</v>
      </c>
      <c r="F1007" s="237">
        <f>pairs[[#This Row],[ Dist]]*5280</f>
        <v>540.66143999999997</v>
      </c>
      <c r="G1007" s="235">
        <f>ROUND(pairs[[#This Row],[ Az]]-ROUNDDOWN(pairs[[#This Row],[ Az]],0),1)</f>
        <v>0</v>
      </c>
      <c r="H1007" s="235">
        <f>ROUND(pairs[[#This Row],[ Back]]-ROUNDDOWN(pairs[[#This Row],[ Back]],0),1)</f>
        <v>0.5</v>
      </c>
      <c r="I1007" s="235">
        <f>IF( OR( OR(pairs[[#This Row],[Az*]]=0, pairs[[#This Row],[Back*]]=0), OR(pairs[[#This Row],[Az*]]=1, pairs[[#This Row],[Back*]]=1)), 1, 0)</f>
        <v>1</v>
      </c>
      <c r="J1007" s="235">
        <f>IF(OR(pairs[[#This Row],[Az*]]=0.5,pairs[[#This Row],[Back*]]=0.5),1,0)</f>
        <v>1</v>
      </c>
    </row>
    <row r="1008" spans="1:10" ht="14.1">
      <c r="A1008" s="206" t="s">
        <v>193</v>
      </c>
      <c r="B1008" s="206" t="s">
        <v>173</v>
      </c>
      <c r="C1008" s="235"/>
      <c r="D1008" s="235">
        <v>87.45</v>
      </c>
      <c r="E1008" s="236">
        <v>0.19797799999999999</v>
      </c>
      <c r="F1008" s="237">
        <f>pairs[[#This Row],[ Dist]]*5280</f>
        <v>1045.32384</v>
      </c>
      <c r="G1008" s="235">
        <f>ROUND(pairs[[#This Row],[ Az]]-ROUNDDOWN(pairs[[#This Row],[ Az]],0),1)</f>
        <v>0</v>
      </c>
      <c r="H1008" s="235">
        <f>ROUND(pairs[[#This Row],[ Back]]-ROUNDDOWN(pairs[[#This Row],[ Back]],0),1)</f>
        <v>0.5</v>
      </c>
      <c r="I1008" s="235">
        <f>IF( OR( OR(pairs[[#This Row],[Az*]]=0, pairs[[#This Row],[Back*]]=0), OR(pairs[[#This Row],[Az*]]=1, pairs[[#This Row],[Back*]]=1)), 1, 0)</f>
        <v>1</v>
      </c>
      <c r="J1008" s="235">
        <f>IF(OR(pairs[[#This Row],[Az*]]=0.5,pairs[[#This Row],[Back*]]=0.5),1,0)</f>
        <v>1</v>
      </c>
    </row>
    <row r="1009" spans="1:10">
      <c r="A1009" s="231" t="s">
        <v>193</v>
      </c>
      <c r="B1009" s="231" t="s">
        <v>172</v>
      </c>
      <c r="C1009" s="232"/>
      <c r="D1009" s="232">
        <v>58.06</v>
      </c>
      <c r="E1009" s="233">
        <v>0.233682</v>
      </c>
      <c r="F1009" s="234">
        <f>pairs[[#This Row],[ Dist]]*5280</f>
        <v>1233.84096</v>
      </c>
      <c r="G1009" s="232">
        <f>ROUND(pairs[[#This Row],[ Az]]-ROUNDDOWN(pairs[[#This Row],[ Az]],0),1)</f>
        <v>0</v>
      </c>
      <c r="H1009" s="232">
        <f>ROUND(pairs[[#This Row],[ Back]]-ROUNDDOWN(pairs[[#This Row],[ Back]],0),1)</f>
        <v>0.1</v>
      </c>
      <c r="I1009" s="232">
        <f>IF( OR( OR(pairs[[#This Row],[Az*]]=0, pairs[[#This Row],[Back*]]=0), OR(pairs[[#This Row],[Az*]]=1, pairs[[#This Row],[Back*]]=1)), 1, 0)</f>
        <v>1</v>
      </c>
      <c r="J1009" s="232">
        <f>IF(OR(pairs[[#This Row],[Az*]]=0.5,pairs[[#This Row],[Back*]]=0.5),1,0)</f>
        <v>0</v>
      </c>
    </row>
    <row r="1010" spans="1:10">
      <c r="A1010" s="231" t="s">
        <v>193</v>
      </c>
      <c r="B1010" s="231" t="s">
        <v>171</v>
      </c>
      <c r="C1010" s="232"/>
      <c r="D1010" s="232">
        <v>9.5500000000000007</v>
      </c>
      <c r="E1010" s="233">
        <v>0.113789</v>
      </c>
      <c r="F1010" s="234">
        <f>pairs[[#This Row],[ Dist]]*5280</f>
        <v>600.80592000000001</v>
      </c>
      <c r="G1010" s="232">
        <f>ROUND(pairs[[#This Row],[ Az]]-ROUNDDOWN(pairs[[#This Row],[ Az]],0),1)</f>
        <v>0</v>
      </c>
      <c r="H1010" s="232">
        <f>ROUND(pairs[[#This Row],[ Back]]-ROUNDDOWN(pairs[[#This Row],[ Back]],0),1)</f>
        <v>0.6</v>
      </c>
      <c r="I1010" s="232">
        <f>IF( OR( OR(pairs[[#This Row],[Az*]]=0, pairs[[#This Row],[Back*]]=0), OR(pairs[[#This Row],[Az*]]=1, pairs[[#This Row],[Back*]]=1)), 1, 0)</f>
        <v>1</v>
      </c>
      <c r="J1010" s="232">
        <f>IF(OR(pairs[[#This Row],[Az*]]=0.5,pairs[[#This Row],[Back*]]=0.5),1,0)</f>
        <v>0</v>
      </c>
    </row>
    <row r="1011" spans="1:10">
      <c r="A1011" s="231" t="s">
        <v>193</v>
      </c>
      <c r="B1011" s="231" t="s">
        <v>170</v>
      </c>
      <c r="C1011" s="232"/>
      <c r="D1011" s="232">
        <v>84.06</v>
      </c>
      <c r="E1011" s="233">
        <v>1.9432999999999999E-2</v>
      </c>
      <c r="F1011" s="234">
        <f>pairs[[#This Row],[ Dist]]*5280</f>
        <v>102.60624</v>
      </c>
      <c r="G1011" s="232">
        <f>ROUND(pairs[[#This Row],[ Az]]-ROUNDDOWN(pairs[[#This Row],[ Az]],0),1)</f>
        <v>0</v>
      </c>
      <c r="H1011" s="232">
        <f>ROUND(pairs[[#This Row],[ Back]]-ROUNDDOWN(pairs[[#This Row],[ Back]],0),1)</f>
        <v>0.1</v>
      </c>
      <c r="I1011" s="232">
        <f>IF( OR( OR(pairs[[#This Row],[Az*]]=0, pairs[[#This Row],[Back*]]=0), OR(pairs[[#This Row],[Az*]]=1, pairs[[#This Row],[Back*]]=1)), 1, 0)</f>
        <v>1</v>
      </c>
      <c r="J1011" s="232">
        <f>IF(OR(pairs[[#This Row],[Az*]]=0.5,pairs[[#This Row],[Back*]]=0.5),1,0)</f>
        <v>0</v>
      </c>
    </row>
    <row r="1012" spans="1:10">
      <c r="A1012" s="231" t="s">
        <v>193</v>
      </c>
      <c r="B1012" s="231" t="s">
        <v>169</v>
      </c>
      <c r="C1012" s="232"/>
      <c r="D1012" s="232">
        <v>196.05</v>
      </c>
      <c r="E1012" s="233">
        <v>0.40851399999999999</v>
      </c>
      <c r="F1012" s="234">
        <f>pairs[[#This Row],[ Dist]]*5280</f>
        <v>2156.9539199999999</v>
      </c>
      <c r="G1012" s="232">
        <f>ROUND(pairs[[#This Row],[ Az]]-ROUNDDOWN(pairs[[#This Row],[ Az]],0),1)</f>
        <v>0</v>
      </c>
      <c r="H1012" s="232">
        <f>ROUND(pairs[[#This Row],[ Back]]-ROUNDDOWN(pairs[[#This Row],[ Back]],0),1)</f>
        <v>0.1</v>
      </c>
      <c r="I1012" s="232">
        <f>IF( OR( OR(pairs[[#This Row],[Az*]]=0, pairs[[#This Row],[Back*]]=0), OR(pairs[[#This Row],[Az*]]=1, pairs[[#This Row],[Back*]]=1)), 1, 0)</f>
        <v>1</v>
      </c>
      <c r="J1012" s="232">
        <f>IF(OR(pairs[[#This Row],[Az*]]=0.5,pairs[[#This Row],[Back*]]=0.5),1,0)</f>
        <v>0</v>
      </c>
    </row>
    <row r="1013" spans="1:10">
      <c r="A1013" s="231" t="s">
        <v>193</v>
      </c>
      <c r="B1013" s="231" t="s">
        <v>168</v>
      </c>
      <c r="C1013" s="232"/>
      <c r="D1013" s="232">
        <v>345.75</v>
      </c>
      <c r="E1013" s="233">
        <v>1.2598339999999999</v>
      </c>
      <c r="F1013" s="234">
        <f>pairs[[#This Row],[ Dist]]*5280</f>
        <v>6651.9235199999994</v>
      </c>
      <c r="G1013" s="232">
        <f>ROUND(pairs[[#This Row],[ Az]]-ROUNDDOWN(pairs[[#This Row],[ Az]],0),1)</f>
        <v>0</v>
      </c>
      <c r="H1013" s="232">
        <f>ROUND(pairs[[#This Row],[ Back]]-ROUNDDOWN(pairs[[#This Row],[ Back]],0),1)</f>
        <v>0.8</v>
      </c>
      <c r="I1013" s="232">
        <f>IF( OR( OR(pairs[[#This Row],[Az*]]=0, pairs[[#This Row],[Back*]]=0), OR(pairs[[#This Row],[Az*]]=1, pairs[[#This Row],[Back*]]=1)), 1, 0)</f>
        <v>1</v>
      </c>
      <c r="J1013" s="232">
        <f>IF(OR(pairs[[#This Row],[Az*]]=0.5,pairs[[#This Row],[Back*]]=0.5),1,0)</f>
        <v>0</v>
      </c>
    </row>
    <row r="1014" spans="1:10" ht="14.1">
      <c r="A1014" s="206" t="s">
        <v>193</v>
      </c>
      <c r="B1014" s="206" t="s">
        <v>167</v>
      </c>
      <c r="C1014" s="235"/>
      <c r="D1014" s="235">
        <v>14.5</v>
      </c>
      <c r="E1014" s="236">
        <v>1.6303209999999999</v>
      </c>
      <c r="F1014" s="237">
        <f>pairs[[#This Row],[ Dist]]*5280</f>
        <v>8608.0948799999987</v>
      </c>
      <c r="G1014" s="235">
        <f>ROUND(pairs[[#This Row],[ Az]]-ROUNDDOWN(pairs[[#This Row],[ Az]],0),1)</f>
        <v>0</v>
      </c>
      <c r="H1014" s="235">
        <f>ROUND(pairs[[#This Row],[ Back]]-ROUNDDOWN(pairs[[#This Row],[ Back]],0),1)</f>
        <v>0.5</v>
      </c>
      <c r="I1014" s="235">
        <f>IF( OR( OR(pairs[[#This Row],[Az*]]=0, pairs[[#This Row],[Back*]]=0), OR(pairs[[#This Row],[Az*]]=1, pairs[[#This Row],[Back*]]=1)), 1, 0)</f>
        <v>1</v>
      </c>
      <c r="J1014" s="235">
        <f>IF(OR(pairs[[#This Row],[Az*]]=0.5,pairs[[#This Row],[Back*]]=0.5),1,0)</f>
        <v>1</v>
      </c>
    </row>
    <row r="1015" spans="1:10">
      <c r="A1015" s="231" t="s">
        <v>193</v>
      </c>
      <c r="B1015" s="231" t="s">
        <v>166</v>
      </c>
      <c r="C1015" s="232"/>
      <c r="D1015" s="232">
        <v>16.350000000000001</v>
      </c>
      <c r="E1015" s="233">
        <v>0.68907099999999999</v>
      </c>
      <c r="F1015" s="234">
        <f>pairs[[#This Row],[ Dist]]*5280</f>
        <v>3638.2948799999999</v>
      </c>
      <c r="G1015" s="232">
        <f>ROUND(pairs[[#This Row],[ Az]]-ROUNDDOWN(pairs[[#This Row],[ Az]],0),1)</f>
        <v>0</v>
      </c>
      <c r="H1015" s="232">
        <f>ROUND(pairs[[#This Row],[ Back]]-ROUNDDOWN(pairs[[#This Row],[ Back]],0),1)</f>
        <v>0.4</v>
      </c>
      <c r="I1015" s="232">
        <f>IF( OR( OR(pairs[[#This Row],[Az*]]=0, pairs[[#This Row],[Back*]]=0), OR(pairs[[#This Row],[Az*]]=1, pairs[[#This Row],[Back*]]=1)), 1, 0)</f>
        <v>1</v>
      </c>
      <c r="J1015" s="232">
        <f>IF(OR(pairs[[#This Row],[Az*]]=0.5,pairs[[#This Row],[Back*]]=0.5),1,0)</f>
        <v>0</v>
      </c>
    </row>
    <row r="1016" spans="1:10">
      <c r="A1016" s="231" t="s">
        <v>193</v>
      </c>
      <c r="B1016" s="231" t="s">
        <v>181</v>
      </c>
      <c r="C1016" s="232"/>
      <c r="D1016" s="232">
        <v>15.87</v>
      </c>
      <c r="E1016" s="233">
        <v>2.4020519999999999</v>
      </c>
      <c r="F1016" s="234">
        <f>pairs[[#This Row],[ Dist]]*5280</f>
        <v>12682.834559999999</v>
      </c>
      <c r="G1016" s="232">
        <f>ROUND(pairs[[#This Row],[ Az]]-ROUNDDOWN(pairs[[#This Row],[ Az]],0),1)</f>
        <v>0</v>
      </c>
      <c r="H1016" s="232">
        <f>ROUND(pairs[[#This Row],[ Back]]-ROUNDDOWN(pairs[[#This Row],[ Back]],0),1)</f>
        <v>0.9</v>
      </c>
      <c r="I1016" s="232">
        <f>IF( OR( OR(pairs[[#This Row],[Az*]]=0, pairs[[#This Row],[Back*]]=0), OR(pairs[[#This Row],[Az*]]=1, pairs[[#This Row],[Back*]]=1)), 1, 0)</f>
        <v>1</v>
      </c>
      <c r="J1016" s="232">
        <f>IF(OR(pairs[[#This Row],[Az*]]=0.5,pairs[[#This Row],[Back*]]=0.5),1,0)</f>
        <v>0</v>
      </c>
    </row>
    <row r="1017" spans="1:10">
      <c r="A1017" s="231" t="s">
        <v>194</v>
      </c>
      <c r="B1017" s="231" t="s">
        <v>178</v>
      </c>
      <c r="C1017" s="232"/>
      <c r="D1017" s="232">
        <v>198.18</v>
      </c>
      <c r="E1017" s="233">
        <v>6.9032999999999997E-2</v>
      </c>
      <c r="F1017" s="234">
        <f>pairs[[#This Row],[ Dist]]*5280</f>
        <v>364.49423999999999</v>
      </c>
      <c r="G1017" s="232">
        <f>ROUND(pairs[[#This Row],[ Az]]-ROUNDDOWN(pairs[[#This Row],[ Az]],0),1)</f>
        <v>0</v>
      </c>
      <c r="H1017" s="232">
        <f>ROUND(pairs[[#This Row],[ Back]]-ROUNDDOWN(pairs[[#This Row],[ Back]],0),1)</f>
        <v>0.2</v>
      </c>
      <c r="I1017" s="232">
        <f>IF( OR( OR(pairs[[#This Row],[Az*]]=0, pairs[[#This Row],[Back*]]=0), OR(pairs[[#This Row],[Az*]]=1, pairs[[#This Row],[Back*]]=1)), 1, 0)</f>
        <v>1</v>
      </c>
      <c r="J1017" s="232">
        <f>IF(OR(pairs[[#This Row],[Az*]]=0.5,pairs[[#This Row],[Back*]]=0.5),1,0)</f>
        <v>0</v>
      </c>
    </row>
    <row r="1018" spans="1:10">
      <c r="A1018" s="231" t="s">
        <v>194</v>
      </c>
      <c r="B1018" s="231" t="s">
        <v>177</v>
      </c>
      <c r="C1018" s="232"/>
      <c r="D1018" s="232">
        <v>160.38</v>
      </c>
      <c r="E1018" s="233">
        <v>7.1044999999999997E-2</v>
      </c>
      <c r="F1018" s="234">
        <f>pairs[[#This Row],[ Dist]]*5280</f>
        <v>375.11759999999998</v>
      </c>
      <c r="G1018" s="232">
        <f>ROUND(pairs[[#This Row],[ Az]]-ROUNDDOWN(pairs[[#This Row],[ Az]],0),1)</f>
        <v>0</v>
      </c>
      <c r="H1018" s="232">
        <f>ROUND(pairs[[#This Row],[ Back]]-ROUNDDOWN(pairs[[#This Row],[ Back]],0),1)</f>
        <v>0.4</v>
      </c>
      <c r="I1018" s="232">
        <f>IF( OR( OR(pairs[[#This Row],[Az*]]=0, pairs[[#This Row],[Back*]]=0), OR(pairs[[#This Row],[Az*]]=1, pairs[[#This Row],[Back*]]=1)), 1, 0)</f>
        <v>1</v>
      </c>
      <c r="J1018" s="232">
        <f>IF(OR(pairs[[#This Row],[Az*]]=0.5,pairs[[#This Row],[Back*]]=0.5),1,0)</f>
        <v>0</v>
      </c>
    </row>
    <row r="1019" spans="1:10">
      <c r="A1019" s="231" t="s">
        <v>194</v>
      </c>
      <c r="B1019" s="231" t="s">
        <v>176</v>
      </c>
      <c r="C1019" s="232"/>
      <c r="D1019" s="232">
        <v>340.43</v>
      </c>
      <c r="E1019" s="233">
        <v>7.3373999999999995E-2</v>
      </c>
      <c r="F1019" s="234">
        <f>pairs[[#This Row],[ Dist]]*5280</f>
        <v>387.41471999999999</v>
      </c>
      <c r="G1019" s="232">
        <f>ROUND(pairs[[#This Row],[ Az]]-ROUNDDOWN(pairs[[#This Row],[ Az]],0),1)</f>
        <v>0</v>
      </c>
      <c r="H1019" s="232">
        <f>ROUND(pairs[[#This Row],[ Back]]-ROUNDDOWN(pairs[[#This Row],[ Back]],0),1)</f>
        <v>0.4</v>
      </c>
      <c r="I1019" s="232">
        <f>IF( OR( OR(pairs[[#This Row],[Az*]]=0, pairs[[#This Row],[Back*]]=0), OR(pairs[[#This Row],[Az*]]=1, pairs[[#This Row],[Back*]]=1)), 1, 0)</f>
        <v>1</v>
      </c>
      <c r="J1019" s="232">
        <f>IF(OR(pairs[[#This Row],[Az*]]=0.5,pairs[[#This Row],[Back*]]=0.5),1,0)</f>
        <v>0</v>
      </c>
    </row>
    <row r="1020" spans="1:10">
      <c r="A1020" s="231" t="s">
        <v>194</v>
      </c>
      <c r="B1020" s="231" t="s">
        <v>175</v>
      </c>
      <c r="C1020" s="232"/>
      <c r="D1020" s="232">
        <v>18.18</v>
      </c>
      <c r="E1020" s="233">
        <v>7.1197999999999997E-2</v>
      </c>
      <c r="F1020" s="234">
        <f>pairs[[#This Row],[ Dist]]*5280</f>
        <v>375.92543999999998</v>
      </c>
      <c r="G1020" s="232">
        <f>ROUND(pairs[[#This Row],[ Az]]-ROUNDDOWN(pairs[[#This Row],[ Az]],0),1)</f>
        <v>0</v>
      </c>
      <c r="H1020" s="232">
        <f>ROUND(pairs[[#This Row],[ Back]]-ROUNDDOWN(pairs[[#This Row],[ Back]],0),1)</f>
        <v>0.2</v>
      </c>
      <c r="I1020" s="232">
        <f>IF( OR( OR(pairs[[#This Row],[Az*]]=0, pairs[[#This Row],[Back*]]=0), OR(pairs[[#This Row],[Az*]]=1, pairs[[#This Row],[Back*]]=1)), 1, 0)</f>
        <v>1</v>
      </c>
      <c r="J1020" s="232">
        <f>IF(OR(pairs[[#This Row],[Az*]]=0.5,pairs[[#This Row],[Back*]]=0.5),1,0)</f>
        <v>0</v>
      </c>
    </row>
    <row r="1021" spans="1:10" ht="14.1">
      <c r="A1021" s="23" t="s">
        <v>194</v>
      </c>
      <c r="B1021" s="23" t="s">
        <v>174</v>
      </c>
      <c r="C1021" s="229"/>
      <c r="D1021" s="229">
        <v>89</v>
      </c>
      <c r="E1021" s="25">
        <v>5.6278000000000002E-2</v>
      </c>
      <c r="F1021" s="230">
        <f>pairs[[#This Row],[ Dist]]*5280</f>
        <v>297.14784000000003</v>
      </c>
      <c r="G1021" s="232">
        <f>ROUND(pairs[[#This Row],[ Az]]-ROUNDDOWN(pairs[[#This Row],[ Az]],0),1)</f>
        <v>0</v>
      </c>
      <c r="H1021" s="232">
        <f>ROUND(pairs[[#This Row],[ Back]]-ROUNDDOWN(pairs[[#This Row],[ Back]],0),1)</f>
        <v>0</v>
      </c>
      <c r="I1021" s="232">
        <f>IF( OR( OR(pairs[[#This Row],[Az*]]=0, pairs[[#This Row],[Back*]]=0), OR(pairs[[#This Row],[Az*]]=1, pairs[[#This Row],[Back*]]=1)), 1, 0)</f>
        <v>1</v>
      </c>
      <c r="J1021" s="232">
        <f>IF(OR(pairs[[#This Row],[Az*]]=0.5,pairs[[#This Row],[Back*]]=0.5),1,0)</f>
        <v>0</v>
      </c>
    </row>
    <row r="1022" spans="1:10">
      <c r="A1022" s="231" t="s">
        <v>194</v>
      </c>
      <c r="B1022" s="231" t="s">
        <v>173</v>
      </c>
      <c r="C1022" s="232"/>
      <c r="D1022" s="232">
        <v>107.86</v>
      </c>
      <c r="E1022" s="233">
        <v>0.185167</v>
      </c>
      <c r="F1022" s="234">
        <f>pairs[[#This Row],[ Dist]]*5280</f>
        <v>977.68175999999994</v>
      </c>
      <c r="G1022" s="232">
        <f>ROUND(pairs[[#This Row],[ Az]]-ROUNDDOWN(pairs[[#This Row],[ Az]],0),1)</f>
        <v>0</v>
      </c>
      <c r="H1022" s="232">
        <f>ROUND(pairs[[#This Row],[ Back]]-ROUNDDOWN(pairs[[#This Row],[ Back]],0),1)</f>
        <v>0.9</v>
      </c>
      <c r="I1022" s="232">
        <f>IF( OR( OR(pairs[[#This Row],[Az*]]=0, pairs[[#This Row],[Back*]]=0), OR(pairs[[#This Row],[Az*]]=1, pairs[[#This Row],[Back*]]=1)), 1, 0)</f>
        <v>1</v>
      </c>
      <c r="J1022" s="232">
        <f>IF(OR(pairs[[#This Row],[Az*]]=0.5,pairs[[#This Row],[Back*]]=0.5),1,0)</f>
        <v>0</v>
      </c>
    </row>
    <row r="1023" spans="1:10">
      <c r="A1023" s="231" t="s">
        <v>194</v>
      </c>
      <c r="B1023" s="231" t="s">
        <v>172</v>
      </c>
      <c r="C1023" s="232"/>
      <c r="D1023" s="232">
        <v>71.819999999999993</v>
      </c>
      <c r="E1023" s="233">
        <v>0.18604499999999999</v>
      </c>
      <c r="F1023" s="234">
        <f>pairs[[#This Row],[ Dist]]*5280</f>
        <v>982.31759999999997</v>
      </c>
      <c r="G1023" s="232">
        <f>ROUND(pairs[[#This Row],[ Az]]-ROUNDDOWN(pairs[[#This Row],[ Az]],0),1)</f>
        <v>0</v>
      </c>
      <c r="H1023" s="232">
        <f>ROUND(pairs[[#This Row],[ Back]]-ROUNDDOWN(pairs[[#This Row],[ Back]],0),1)</f>
        <v>0.8</v>
      </c>
      <c r="I1023" s="232">
        <f>IF( OR( OR(pairs[[#This Row],[Az*]]=0, pairs[[#This Row],[Back*]]=0), OR(pairs[[#This Row],[Az*]]=1, pairs[[#This Row],[Back*]]=1)), 1, 0)</f>
        <v>1</v>
      </c>
      <c r="J1023" s="232">
        <f>IF(OR(pairs[[#This Row],[Az*]]=0.5,pairs[[#This Row],[Back*]]=0.5),1,0)</f>
        <v>0</v>
      </c>
    </row>
    <row r="1024" spans="1:10">
      <c r="A1024" s="231" t="s">
        <v>194</v>
      </c>
      <c r="B1024" s="231" t="s">
        <v>171</v>
      </c>
      <c r="C1024" s="232"/>
      <c r="D1024" s="232">
        <v>356.73</v>
      </c>
      <c r="E1024" s="233">
        <v>4.6700999999999999E-2</v>
      </c>
      <c r="F1024" s="234">
        <f>pairs[[#This Row],[ Dist]]*5280</f>
        <v>246.58127999999999</v>
      </c>
      <c r="G1024" s="232">
        <f>ROUND(pairs[[#This Row],[ Az]]-ROUNDDOWN(pairs[[#This Row],[ Az]],0),1)</f>
        <v>0</v>
      </c>
      <c r="H1024" s="232">
        <f>ROUND(pairs[[#This Row],[ Back]]-ROUNDDOWN(pairs[[#This Row],[ Back]],0),1)</f>
        <v>0.7</v>
      </c>
      <c r="I1024" s="232">
        <f>IF( OR( OR(pairs[[#This Row],[Az*]]=0, pairs[[#This Row],[Back*]]=0), OR(pairs[[#This Row],[Az*]]=1, pairs[[#This Row],[Back*]]=1)), 1, 0)</f>
        <v>1</v>
      </c>
      <c r="J1024" s="232">
        <f>IF(OR(pairs[[#This Row],[Az*]]=0.5,pairs[[#This Row],[Back*]]=0.5),1,0)</f>
        <v>0</v>
      </c>
    </row>
    <row r="1025" spans="1:10" ht="14.1">
      <c r="A1025" s="23" t="s">
        <v>194</v>
      </c>
      <c r="B1025" s="23" t="s">
        <v>170</v>
      </c>
      <c r="C1025" s="229"/>
      <c r="D1025" s="229">
        <v>181.99</v>
      </c>
      <c r="E1025" s="25">
        <v>6.3614000000000004E-2</v>
      </c>
      <c r="F1025" s="230">
        <f>pairs[[#This Row],[ Dist]]*5280</f>
        <v>335.88192000000004</v>
      </c>
      <c r="G1025" s="232">
        <f>ROUND(pairs[[#This Row],[ Az]]-ROUNDDOWN(pairs[[#This Row],[ Az]],0),1)</f>
        <v>0</v>
      </c>
      <c r="H1025" s="232">
        <f>ROUND(pairs[[#This Row],[ Back]]-ROUNDDOWN(pairs[[#This Row],[ Back]],0),1)</f>
        <v>1</v>
      </c>
      <c r="I1025" s="232">
        <f>IF( OR( OR(pairs[[#This Row],[Az*]]=0, pairs[[#This Row],[Back*]]=0), OR(pairs[[#This Row],[Az*]]=1, pairs[[#This Row],[Back*]]=1)), 1, 0)</f>
        <v>1</v>
      </c>
      <c r="J1025" s="232">
        <f>IF(OR(pairs[[#This Row],[Az*]]=0.5,pairs[[#This Row],[Back*]]=0.5),1,0)</f>
        <v>0</v>
      </c>
    </row>
    <row r="1026" spans="1:10">
      <c r="A1026" s="231" t="s">
        <v>194</v>
      </c>
      <c r="B1026" s="231" t="s">
        <v>169</v>
      </c>
      <c r="C1026" s="232"/>
      <c r="D1026" s="232">
        <v>196.36</v>
      </c>
      <c r="E1026" s="233">
        <v>0.47750599999999999</v>
      </c>
      <c r="F1026" s="234">
        <f>pairs[[#This Row],[ Dist]]*5280</f>
        <v>2521.2316799999999</v>
      </c>
      <c r="G1026" s="232">
        <f>ROUND(pairs[[#This Row],[ Az]]-ROUNDDOWN(pairs[[#This Row],[ Az]],0),1)</f>
        <v>0</v>
      </c>
      <c r="H1026" s="232">
        <f>ROUND(pairs[[#This Row],[ Back]]-ROUNDDOWN(pairs[[#This Row],[ Back]],0),1)</f>
        <v>0.4</v>
      </c>
      <c r="I1026" s="232">
        <f>IF( OR( OR(pairs[[#This Row],[Az*]]=0, pairs[[#This Row],[Back*]]=0), OR(pairs[[#This Row],[Az*]]=1, pairs[[#This Row],[Back*]]=1)), 1, 0)</f>
        <v>1</v>
      </c>
      <c r="J1026" s="232">
        <f>IF(OR(pairs[[#This Row],[Az*]]=0.5,pairs[[#This Row],[Back*]]=0.5),1,0)</f>
        <v>0</v>
      </c>
    </row>
    <row r="1027" spans="1:10" ht="14.1">
      <c r="A1027" s="23" t="s">
        <v>194</v>
      </c>
      <c r="B1027" s="23" t="s">
        <v>168</v>
      </c>
      <c r="C1027" s="229"/>
      <c r="D1027" s="229">
        <v>343.98</v>
      </c>
      <c r="E1027" s="25">
        <v>1.2021440000000001</v>
      </c>
      <c r="F1027" s="230">
        <f>pairs[[#This Row],[ Dist]]*5280</f>
        <v>6347.3203200000007</v>
      </c>
      <c r="G1027" s="232">
        <f>ROUND(pairs[[#This Row],[ Az]]-ROUNDDOWN(pairs[[#This Row],[ Az]],0),1)</f>
        <v>0</v>
      </c>
      <c r="H1027" s="232">
        <f>ROUND(pairs[[#This Row],[ Back]]-ROUNDDOWN(pairs[[#This Row],[ Back]],0),1)</f>
        <v>1</v>
      </c>
      <c r="I1027" s="232">
        <f>IF( OR( OR(pairs[[#This Row],[Az*]]=0, pairs[[#This Row],[Back*]]=0), OR(pairs[[#This Row],[Az*]]=1, pairs[[#This Row],[Back*]]=1)), 1, 0)</f>
        <v>1</v>
      </c>
      <c r="J1027" s="232">
        <f>IF(OR(pairs[[#This Row],[Az*]]=0.5,pairs[[#This Row],[Back*]]=0.5),1,0)</f>
        <v>0</v>
      </c>
    </row>
    <row r="1028" spans="1:10">
      <c r="A1028" s="231" t="s">
        <v>194</v>
      </c>
      <c r="B1028" s="231" t="s">
        <v>167</v>
      </c>
      <c r="C1028" s="232"/>
      <c r="D1028" s="232">
        <v>14.33</v>
      </c>
      <c r="E1028" s="233">
        <v>1.561436</v>
      </c>
      <c r="F1028" s="234">
        <f>pairs[[#This Row],[ Dist]]*5280</f>
        <v>8244.3820799999994</v>
      </c>
      <c r="G1028" s="232">
        <f>ROUND(pairs[[#This Row],[ Az]]-ROUNDDOWN(pairs[[#This Row],[ Az]],0),1)</f>
        <v>0</v>
      </c>
      <c r="H1028" s="232">
        <f>ROUND(pairs[[#This Row],[ Back]]-ROUNDDOWN(pairs[[#This Row],[ Back]],0),1)</f>
        <v>0.3</v>
      </c>
      <c r="I1028" s="232">
        <f>IF( OR( OR(pairs[[#This Row],[Az*]]=0, pairs[[#This Row],[Back*]]=0), OR(pairs[[#This Row],[Az*]]=1, pairs[[#This Row],[Back*]]=1)), 1, 0)</f>
        <v>1</v>
      </c>
      <c r="J1028" s="232">
        <f>IF(OR(pairs[[#This Row],[Az*]]=0.5,pairs[[#This Row],[Back*]]=0.5),1,0)</f>
        <v>0</v>
      </c>
    </row>
    <row r="1029" spans="1:10">
      <c r="A1029" s="231" t="s">
        <v>194</v>
      </c>
      <c r="B1029" s="231" t="s">
        <v>166</v>
      </c>
      <c r="C1029" s="232"/>
      <c r="D1029" s="232">
        <v>16.14</v>
      </c>
      <c r="E1029" s="233">
        <v>0.62007699999999999</v>
      </c>
      <c r="F1029" s="234">
        <f>pairs[[#This Row],[ Dist]]*5280</f>
        <v>3274.0065599999998</v>
      </c>
      <c r="G1029" s="232">
        <f>ROUND(pairs[[#This Row],[ Az]]-ROUNDDOWN(pairs[[#This Row],[ Az]],0),1)</f>
        <v>0</v>
      </c>
      <c r="H1029" s="232">
        <f>ROUND(pairs[[#This Row],[ Back]]-ROUNDDOWN(pairs[[#This Row],[ Back]],0),1)</f>
        <v>0.1</v>
      </c>
      <c r="I1029" s="232">
        <f>IF( OR( OR(pairs[[#This Row],[Az*]]=0, pairs[[#This Row],[Back*]]=0), OR(pairs[[#This Row],[Az*]]=1, pairs[[#This Row],[Back*]]=1)), 1, 0)</f>
        <v>1</v>
      </c>
      <c r="J1029" s="232">
        <f>IF(OR(pairs[[#This Row],[Az*]]=0.5,pairs[[#This Row],[Back*]]=0.5),1,0)</f>
        <v>0</v>
      </c>
    </row>
    <row r="1030" spans="1:10">
      <c r="A1030" s="231" t="s">
        <v>194</v>
      </c>
      <c r="B1030" s="231" t="s">
        <v>181</v>
      </c>
      <c r="C1030" s="232"/>
      <c r="D1030" s="232">
        <v>15.8</v>
      </c>
      <c r="E1030" s="233">
        <v>2.3330769999999998</v>
      </c>
      <c r="F1030" s="234">
        <f>pairs[[#This Row],[ Dist]]*5280</f>
        <v>12318.646559999999</v>
      </c>
      <c r="G1030" s="232">
        <f>ROUND(pairs[[#This Row],[ Az]]-ROUNDDOWN(pairs[[#This Row],[ Az]],0),1)</f>
        <v>0</v>
      </c>
      <c r="H1030" s="232">
        <f>ROUND(pairs[[#This Row],[ Back]]-ROUNDDOWN(pairs[[#This Row],[ Back]],0),1)</f>
        <v>0.8</v>
      </c>
      <c r="I1030" s="232">
        <f>IF( OR( OR(pairs[[#This Row],[Az*]]=0, pairs[[#This Row],[Back*]]=0), OR(pairs[[#This Row],[Az*]]=1, pairs[[#This Row],[Back*]]=1)), 1, 0)</f>
        <v>1</v>
      </c>
      <c r="J1030" s="232">
        <f>IF(OR(pairs[[#This Row],[Az*]]=0.5,pairs[[#This Row],[Back*]]=0.5),1,0)</f>
        <v>0</v>
      </c>
    </row>
    <row r="1031" spans="1:10">
      <c r="A1031" s="231" t="s">
        <v>4</v>
      </c>
      <c r="B1031" s="231" t="s">
        <v>156</v>
      </c>
      <c r="C1031" s="232"/>
      <c r="D1031" s="232">
        <v>90.8</v>
      </c>
      <c r="E1031" s="233">
        <v>1.7139530000000001</v>
      </c>
      <c r="F1031" s="234">
        <f>pairs[[#This Row],[ Dist]]*5280</f>
        <v>9049.6718400000009</v>
      </c>
      <c r="G1031" s="232">
        <f>ROUND(pairs[[#This Row],[ Az]]-ROUNDDOWN(pairs[[#This Row],[ Az]],0),1)</f>
        <v>0</v>
      </c>
      <c r="H1031" s="232">
        <f>ROUND(pairs[[#This Row],[ Back]]-ROUNDDOWN(pairs[[#This Row],[ Back]],0),1)</f>
        <v>0.8</v>
      </c>
      <c r="I1031" s="232">
        <f>IF( OR( OR(pairs[[#This Row],[Az*]]=0, pairs[[#This Row],[Back*]]=0), OR(pairs[[#This Row],[Az*]]=1, pairs[[#This Row],[Back*]]=1)), 1, 0)</f>
        <v>1</v>
      </c>
      <c r="J1031" s="232">
        <f>IF(OR(pairs[[#This Row],[Az*]]=0.5,pairs[[#This Row],[Back*]]=0.5),1,0)</f>
        <v>0</v>
      </c>
    </row>
    <row r="1032" spans="1:10">
      <c r="A1032" s="231" t="s">
        <v>4</v>
      </c>
      <c r="B1032" s="231" t="s">
        <v>163</v>
      </c>
      <c r="C1032" s="232"/>
      <c r="D1032" s="232">
        <v>243.65</v>
      </c>
      <c r="E1032" s="233">
        <v>4.01776</v>
      </c>
      <c r="F1032" s="234">
        <f>pairs[[#This Row],[ Dist]]*5280</f>
        <v>21213.772799999999</v>
      </c>
      <c r="G1032" s="232">
        <f>ROUND(pairs[[#This Row],[ Az]]-ROUNDDOWN(pairs[[#This Row],[ Az]],0),1)</f>
        <v>0</v>
      </c>
      <c r="H1032" s="232">
        <f>ROUND(pairs[[#This Row],[ Back]]-ROUNDDOWN(pairs[[#This Row],[ Back]],0),1)</f>
        <v>0.7</v>
      </c>
      <c r="I1032" s="232">
        <f>IF( OR( OR(pairs[[#This Row],[Az*]]=0, pairs[[#This Row],[Back*]]=0), OR(pairs[[#This Row],[Az*]]=1, pairs[[#This Row],[Back*]]=1)), 1, 0)</f>
        <v>1</v>
      </c>
      <c r="J1032" s="232">
        <f>IF(OR(pairs[[#This Row],[Az*]]=0.5,pairs[[#This Row],[Back*]]=0.5),1,0)</f>
        <v>0</v>
      </c>
    </row>
    <row r="1033" spans="1:10">
      <c r="A1033" s="231" t="s">
        <v>4</v>
      </c>
      <c r="B1033" s="231" t="s">
        <v>151</v>
      </c>
      <c r="C1033" s="232"/>
      <c r="D1033" s="232">
        <v>269.95</v>
      </c>
      <c r="E1033" s="233">
        <v>5.3615810000000002</v>
      </c>
      <c r="F1033" s="234">
        <f>pairs[[#This Row],[ Dist]]*5280</f>
        <v>28309.147680000002</v>
      </c>
      <c r="G1033" s="232">
        <f>ROUND(pairs[[#This Row],[ Az]]-ROUNDDOWN(pairs[[#This Row],[ Az]],0),1)</f>
        <v>0</v>
      </c>
      <c r="H1033" s="232">
        <f>ROUND(pairs[[#This Row],[ Back]]-ROUNDDOWN(pairs[[#This Row],[ Back]],0),1)</f>
        <v>0.9</v>
      </c>
      <c r="I1033" s="232">
        <f>IF( OR( OR(pairs[[#This Row],[Az*]]=0, pairs[[#This Row],[Back*]]=0), OR(pairs[[#This Row],[Az*]]=1, pairs[[#This Row],[Back*]]=1)), 1, 0)</f>
        <v>1</v>
      </c>
      <c r="J1033" s="232">
        <f>IF(OR(pairs[[#This Row],[Az*]]=0.5,pairs[[#This Row],[Back*]]=0.5),1,0)</f>
        <v>0</v>
      </c>
    </row>
    <row r="1034" spans="1:10">
      <c r="A1034" s="231" t="s">
        <v>4</v>
      </c>
      <c r="B1034" s="231" t="s">
        <v>155</v>
      </c>
      <c r="C1034" s="232"/>
      <c r="D1034" s="232">
        <v>90.07</v>
      </c>
      <c r="E1034" s="233">
        <v>1.709495</v>
      </c>
      <c r="F1034" s="234">
        <f>pairs[[#This Row],[ Dist]]*5280</f>
        <v>9026.1335999999992</v>
      </c>
      <c r="G1034" s="232">
        <f>ROUND(pairs[[#This Row],[ Az]]-ROUNDDOWN(pairs[[#This Row],[ Az]],0),1)</f>
        <v>0</v>
      </c>
      <c r="H1034" s="232">
        <f>ROUND(pairs[[#This Row],[ Back]]-ROUNDDOWN(pairs[[#This Row],[ Back]],0),1)</f>
        <v>0.1</v>
      </c>
      <c r="I1034" s="232">
        <f>IF( OR( OR(pairs[[#This Row],[Az*]]=0, pairs[[#This Row],[Back*]]=0), OR(pairs[[#This Row],[Az*]]=1, pairs[[#This Row],[Back*]]=1)), 1, 0)</f>
        <v>1</v>
      </c>
      <c r="J1034" s="232">
        <f>IF(OR(pairs[[#This Row],[Az*]]=0.5,pairs[[#This Row],[Back*]]=0.5),1,0)</f>
        <v>0</v>
      </c>
    </row>
    <row r="1035" spans="1:10">
      <c r="A1035" s="231" t="s">
        <v>4</v>
      </c>
      <c r="B1035" s="231" t="s">
        <v>158</v>
      </c>
      <c r="C1035" s="232"/>
      <c r="D1035" s="232">
        <v>352.56</v>
      </c>
      <c r="E1035" s="233">
        <v>0.25852700000000001</v>
      </c>
      <c r="F1035" s="234">
        <f>pairs[[#This Row],[ Dist]]*5280</f>
        <v>1365.0225600000001</v>
      </c>
      <c r="G1035" s="232">
        <f>ROUND(pairs[[#This Row],[ Az]]-ROUNDDOWN(pairs[[#This Row],[ Az]],0),1)</f>
        <v>0</v>
      </c>
      <c r="H1035" s="232">
        <f>ROUND(pairs[[#This Row],[ Back]]-ROUNDDOWN(pairs[[#This Row],[ Back]],0),1)</f>
        <v>0.6</v>
      </c>
      <c r="I1035" s="232">
        <f>IF( OR( OR(pairs[[#This Row],[Az*]]=0, pairs[[#This Row],[Back*]]=0), OR(pairs[[#This Row],[Az*]]=1, pairs[[#This Row],[Back*]]=1)), 1, 0)</f>
        <v>1</v>
      </c>
      <c r="J1035" s="232">
        <f>IF(OR(pairs[[#This Row],[Az*]]=0.5,pairs[[#This Row],[Back*]]=0.5),1,0)</f>
        <v>0</v>
      </c>
    </row>
    <row r="1036" spans="1:10" ht="14.1">
      <c r="A1036" s="206" t="s">
        <v>4</v>
      </c>
      <c r="B1036" s="206" t="s">
        <v>159</v>
      </c>
      <c r="C1036" s="235"/>
      <c r="D1036" s="235">
        <v>89.45</v>
      </c>
      <c r="E1036" s="236">
        <v>2.254054</v>
      </c>
      <c r="F1036" s="237">
        <f>pairs[[#This Row],[ Dist]]*5280</f>
        <v>11901.405119999999</v>
      </c>
      <c r="G1036" s="235">
        <f>ROUND(pairs[[#This Row],[ Az]]-ROUNDDOWN(pairs[[#This Row],[ Az]],0),1)</f>
        <v>0</v>
      </c>
      <c r="H1036" s="235">
        <f>ROUND(pairs[[#This Row],[ Back]]-ROUNDDOWN(pairs[[#This Row],[ Back]],0),1)</f>
        <v>0.5</v>
      </c>
      <c r="I1036" s="235">
        <f>IF( OR( OR(pairs[[#This Row],[Az*]]=0, pairs[[#This Row],[Back*]]=0), OR(pairs[[#This Row],[Az*]]=1, pairs[[#This Row],[Back*]]=1)), 1, 0)</f>
        <v>1</v>
      </c>
      <c r="J1036" s="235">
        <f>IF(OR(pairs[[#This Row],[Az*]]=0.5,pairs[[#This Row],[Back*]]=0.5),1,0)</f>
        <v>1</v>
      </c>
    </row>
    <row r="1037" spans="1:10" ht="14.1">
      <c r="A1037" s="206" t="s">
        <v>4</v>
      </c>
      <c r="B1037" s="206" t="s">
        <v>160</v>
      </c>
      <c r="C1037" s="235"/>
      <c r="D1037" s="235">
        <v>102.47</v>
      </c>
      <c r="E1037" s="236">
        <v>1.4329590000000001</v>
      </c>
      <c r="F1037" s="237">
        <f>pairs[[#This Row],[ Dist]]*5280</f>
        <v>7566.0235200000006</v>
      </c>
      <c r="G1037" s="235">
        <f>ROUND(pairs[[#This Row],[ Az]]-ROUNDDOWN(pairs[[#This Row],[ Az]],0),1)</f>
        <v>0</v>
      </c>
      <c r="H1037" s="235">
        <f>ROUND(pairs[[#This Row],[ Back]]-ROUNDDOWN(pairs[[#This Row],[ Back]],0),1)</f>
        <v>0.5</v>
      </c>
      <c r="I1037" s="235">
        <f>IF( OR( OR(pairs[[#This Row],[Az*]]=0, pairs[[#This Row],[Back*]]=0), OR(pairs[[#This Row],[Az*]]=1, pairs[[#This Row],[Back*]]=1)), 1, 0)</f>
        <v>1</v>
      </c>
      <c r="J1037" s="235">
        <f>IF(OR(pairs[[#This Row],[Az*]]=0.5,pairs[[#This Row],[Back*]]=0.5),1,0)</f>
        <v>1</v>
      </c>
    </row>
    <row r="1038" spans="1:10">
      <c r="A1038" s="231" t="s">
        <v>4</v>
      </c>
      <c r="B1038" s="231" t="s">
        <v>146</v>
      </c>
      <c r="C1038" s="232"/>
      <c r="D1038" s="232">
        <v>94.11</v>
      </c>
      <c r="E1038" s="233">
        <v>2.2941419999999999</v>
      </c>
      <c r="F1038" s="234">
        <f>pairs[[#This Row],[ Dist]]*5280</f>
        <v>12113.06976</v>
      </c>
      <c r="G1038" s="232">
        <f>ROUND(pairs[[#This Row],[ Az]]-ROUNDDOWN(pairs[[#This Row],[ Az]],0),1)</f>
        <v>0</v>
      </c>
      <c r="H1038" s="232">
        <f>ROUND(pairs[[#This Row],[ Back]]-ROUNDDOWN(pairs[[#This Row],[ Back]],0),1)</f>
        <v>0.1</v>
      </c>
      <c r="I1038" s="232">
        <f>IF( OR( OR(pairs[[#This Row],[Az*]]=0, pairs[[#This Row],[Back*]]=0), OR(pairs[[#This Row],[Az*]]=1, pairs[[#This Row],[Back*]]=1)), 1, 0)</f>
        <v>1</v>
      </c>
      <c r="J1038" s="232">
        <f>IF(OR(pairs[[#This Row],[Az*]]=0.5,pairs[[#This Row],[Back*]]=0.5),1,0)</f>
        <v>0</v>
      </c>
    </row>
    <row r="1039" spans="1:10">
      <c r="A1039" s="231" t="s">
        <v>4</v>
      </c>
      <c r="B1039" s="231" t="s">
        <v>145</v>
      </c>
      <c r="C1039" s="232"/>
      <c r="D1039" s="232">
        <v>82.2</v>
      </c>
      <c r="E1039" s="233">
        <v>1.502394</v>
      </c>
      <c r="F1039" s="234">
        <f>pairs[[#This Row],[ Dist]]*5280</f>
        <v>7932.6403200000004</v>
      </c>
      <c r="G1039" s="232">
        <f>ROUND(pairs[[#This Row],[ Az]]-ROUNDDOWN(pairs[[#This Row],[ Az]],0),1)</f>
        <v>0</v>
      </c>
      <c r="H1039" s="232">
        <f>ROUND(pairs[[#This Row],[ Back]]-ROUNDDOWN(pairs[[#This Row],[ Back]],0),1)</f>
        <v>0.2</v>
      </c>
      <c r="I1039" s="232">
        <f>IF( OR( OR(pairs[[#This Row],[Az*]]=0, pairs[[#This Row],[Back*]]=0), OR(pairs[[#This Row],[Az*]]=1, pairs[[#This Row],[Back*]]=1)), 1, 0)</f>
        <v>1</v>
      </c>
      <c r="J1039" s="232">
        <f>IF(OR(pairs[[#This Row],[Az*]]=0.5,pairs[[#This Row],[Back*]]=0.5),1,0)</f>
        <v>0</v>
      </c>
    </row>
    <row r="1040" spans="1:10" ht="14.1">
      <c r="A1040" s="23" t="s">
        <v>4</v>
      </c>
      <c r="B1040" s="23" t="s">
        <v>164</v>
      </c>
      <c r="C1040" s="229"/>
      <c r="D1040" s="229">
        <v>89.99</v>
      </c>
      <c r="E1040" s="25">
        <v>2.2882539999999998</v>
      </c>
      <c r="F1040" s="230">
        <f>pairs[[#This Row],[ Dist]]*5280</f>
        <v>12081.981119999999</v>
      </c>
      <c r="G1040" s="232">
        <f>ROUND(pairs[[#This Row],[ Az]]-ROUNDDOWN(pairs[[#This Row],[ Az]],0),1)</f>
        <v>0</v>
      </c>
      <c r="H1040" s="232">
        <f>ROUND(pairs[[#This Row],[ Back]]-ROUNDDOWN(pairs[[#This Row],[ Back]],0),1)</f>
        <v>1</v>
      </c>
      <c r="I1040" s="232">
        <f>IF( OR( OR(pairs[[#This Row],[Az*]]=0, pairs[[#This Row],[Back*]]=0), OR(pairs[[#This Row],[Az*]]=1, pairs[[#This Row],[Back*]]=1)), 1, 0)</f>
        <v>1</v>
      </c>
      <c r="J1040" s="232">
        <f>IF(OR(pairs[[#This Row],[Az*]]=0.5,pairs[[#This Row],[Back*]]=0.5),1,0)</f>
        <v>0</v>
      </c>
    </row>
    <row r="1041" spans="1:10">
      <c r="A1041" s="231" t="s">
        <v>4</v>
      </c>
      <c r="B1041" s="231" t="s">
        <v>144</v>
      </c>
      <c r="C1041" s="232"/>
      <c r="D1041" s="232">
        <v>80.83</v>
      </c>
      <c r="E1041" s="233">
        <v>1.436008</v>
      </c>
      <c r="F1041" s="234">
        <f>pairs[[#This Row],[ Dist]]*5280</f>
        <v>7582.1222399999997</v>
      </c>
      <c r="G1041" s="232">
        <f>ROUND(pairs[[#This Row],[ Az]]-ROUNDDOWN(pairs[[#This Row],[ Az]],0),1)</f>
        <v>0</v>
      </c>
      <c r="H1041" s="232">
        <f>ROUND(pairs[[#This Row],[ Back]]-ROUNDDOWN(pairs[[#This Row],[ Back]],0),1)</f>
        <v>0.8</v>
      </c>
      <c r="I1041" s="232">
        <f>IF( OR( OR(pairs[[#This Row],[Az*]]=0, pairs[[#This Row],[Back*]]=0), OR(pairs[[#This Row],[Az*]]=1, pairs[[#This Row],[Back*]]=1)), 1, 0)</f>
        <v>1</v>
      </c>
      <c r="J1041" s="232">
        <f>IF(OR(pairs[[#This Row],[Az*]]=0.5,pairs[[#This Row],[Back*]]=0.5),1,0)</f>
        <v>0</v>
      </c>
    </row>
    <row r="1042" spans="1:10">
      <c r="A1042" s="231" t="s">
        <v>4</v>
      </c>
      <c r="B1042" s="231" t="s">
        <v>148</v>
      </c>
      <c r="C1042" s="232"/>
      <c r="D1042" s="232">
        <v>166.39</v>
      </c>
      <c r="E1042" s="233">
        <v>7.3350939999999998</v>
      </c>
      <c r="F1042" s="234">
        <f>pairs[[#This Row],[ Dist]]*5280</f>
        <v>38729.296320000001</v>
      </c>
      <c r="G1042" s="232">
        <f>ROUND(pairs[[#This Row],[ Az]]-ROUNDDOWN(pairs[[#This Row],[ Az]],0),1)</f>
        <v>0</v>
      </c>
      <c r="H1042" s="232">
        <f>ROUND(pairs[[#This Row],[ Back]]-ROUNDDOWN(pairs[[#This Row],[ Back]],0),1)</f>
        <v>0.4</v>
      </c>
      <c r="I1042" s="232">
        <f>IF( OR( OR(pairs[[#This Row],[Az*]]=0, pairs[[#This Row],[Back*]]=0), OR(pairs[[#This Row],[Az*]]=1, pairs[[#This Row],[Back*]]=1)), 1, 0)</f>
        <v>1</v>
      </c>
      <c r="J1042" s="232">
        <f>IF(OR(pairs[[#This Row],[Az*]]=0.5,pairs[[#This Row],[Back*]]=0.5),1,0)</f>
        <v>0</v>
      </c>
    </row>
    <row r="1043" spans="1:10">
      <c r="A1043" s="231" t="s">
        <v>4</v>
      </c>
      <c r="B1043" s="231" t="s">
        <v>152</v>
      </c>
      <c r="C1043" s="232"/>
      <c r="D1043" s="232">
        <v>91.93</v>
      </c>
      <c r="E1043" s="233">
        <v>1.726917</v>
      </c>
      <c r="F1043" s="234">
        <f>pairs[[#This Row],[ Dist]]*5280</f>
        <v>9118.12176</v>
      </c>
      <c r="G1043" s="232">
        <f>ROUND(pairs[[#This Row],[ Az]]-ROUNDDOWN(pairs[[#This Row],[ Az]],0),1)</f>
        <v>0</v>
      </c>
      <c r="H1043" s="232">
        <f>ROUND(pairs[[#This Row],[ Back]]-ROUNDDOWN(pairs[[#This Row],[ Back]],0),1)</f>
        <v>0.9</v>
      </c>
      <c r="I1043" s="232">
        <f>IF( OR( OR(pairs[[#This Row],[Az*]]=0, pairs[[#This Row],[Back*]]=0), OR(pairs[[#This Row],[Az*]]=1, pairs[[#This Row],[Back*]]=1)), 1, 0)</f>
        <v>1</v>
      </c>
      <c r="J1043" s="232">
        <f>IF(OR(pairs[[#This Row],[Az*]]=0.5,pairs[[#This Row],[Back*]]=0.5),1,0)</f>
        <v>0</v>
      </c>
    </row>
    <row r="1044" spans="1:10">
      <c r="A1044" s="231" t="s">
        <v>4</v>
      </c>
      <c r="B1044" s="231" t="s">
        <v>147</v>
      </c>
      <c r="C1044" s="232"/>
      <c r="D1044" s="232">
        <v>59.33</v>
      </c>
      <c r="E1044" s="233">
        <v>2.9441299999999999</v>
      </c>
      <c r="F1044" s="234">
        <f>pairs[[#This Row],[ Dist]]*5280</f>
        <v>15545.0064</v>
      </c>
      <c r="G1044" s="232">
        <f>ROUND(pairs[[#This Row],[ Az]]-ROUNDDOWN(pairs[[#This Row],[ Az]],0),1)</f>
        <v>0</v>
      </c>
      <c r="H1044" s="232">
        <f>ROUND(pairs[[#This Row],[ Back]]-ROUNDDOWN(pairs[[#This Row],[ Back]],0),1)</f>
        <v>0.3</v>
      </c>
      <c r="I1044" s="232">
        <f>IF( OR( OR(pairs[[#This Row],[Az*]]=0, pairs[[#This Row],[Back*]]=0), OR(pairs[[#This Row],[Az*]]=1, pairs[[#This Row],[Back*]]=1)), 1, 0)</f>
        <v>1</v>
      </c>
      <c r="J1044" s="232">
        <f>IF(OR(pairs[[#This Row],[Az*]]=0.5,pairs[[#This Row],[Back*]]=0.5),1,0)</f>
        <v>0</v>
      </c>
    </row>
    <row r="1045" spans="1:10">
      <c r="A1045" s="231" t="s">
        <v>4</v>
      </c>
      <c r="B1045" s="231" t="s">
        <v>161</v>
      </c>
      <c r="C1045" s="232"/>
      <c r="D1045" s="232">
        <v>115.75</v>
      </c>
      <c r="E1045" s="233">
        <v>6.6281150000000002</v>
      </c>
      <c r="F1045" s="234">
        <f>pairs[[#This Row],[ Dist]]*5280</f>
        <v>34996.447200000002</v>
      </c>
      <c r="G1045" s="232">
        <f>ROUND(pairs[[#This Row],[ Az]]-ROUNDDOWN(pairs[[#This Row],[ Az]],0),1)</f>
        <v>0</v>
      </c>
      <c r="H1045" s="232">
        <f>ROUND(pairs[[#This Row],[ Back]]-ROUNDDOWN(pairs[[#This Row],[ Back]],0),1)</f>
        <v>0.8</v>
      </c>
      <c r="I1045" s="232">
        <f>IF( OR( OR(pairs[[#This Row],[Az*]]=0, pairs[[#This Row],[Back*]]=0), OR(pairs[[#This Row],[Az*]]=1, pairs[[#This Row],[Back*]]=1)), 1, 0)</f>
        <v>1</v>
      </c>
      <c r="J1045" s="232">
        <f>IF(OR(pairs[[#This Row],[Az*]]=0.5,pairs[[#This Row],[Back*]]=0.5),1,0)</f>
        <v>0</v>
      </c>
    </row>
    <row r="1046" spans="1:10">
      <c r="A1046" s="231" t="s">
        <v>4</v>
      </c>
      <c r="B1046" s="231" t="s">
        <v>162</v>
      </c>
      <c r="C1046" s="232"/>
      <c r="D1046" s="232">
        <v>160.57</v>
      </c>
      <c r="E1046" s="233">
        <v>6.9236230000000001</v>
      </c>
      <c r="F1046" s="234">
        <f>pairs[[#This Row],[ Dist]]*5280</f>
        <v>36556.729440000003</v>
      </c>
      <c r="G1046" s="232">
        <f>ROUND(pairs[[#This Row],[ Az]]-ROUNDDOWN(pairs[[#This Row],[ Az]],0),1)</f>
        <v>0</v>
      </c>
      <c r="H1046" s="232">
        <f>ROUND(pairs[[#This Row],[ Back]]-ROUNDDOWN(pairs[[#This Row],[ Back]],0),1)</f>
        <v>0.6</v>
      </c>
      <c r="I1046" s="232">
        <f>IF( OR( OR(pairs[[#This Row],[Az*]]=0, pairs[[#This Row],[Back*]]=0), OR(pairs[[#This Row],[Az*]]=1, pairs[[#This Row],[Back*]]=1)), 1, 0)</f>
        <v>1</v>
      </c>
      <c r="J1046" s="232">
        <f>IF(OR(pairs[[#This Row],[Az*]]=0.5,pairs[[#This Row],[Back*]]=0.5),1,0)</f>
        <v>0</v>
      </c>
    </row>
    <row r="1047" spans="1:10">
      <c r="A1047" s="231" t="s">
        <v>4</v>
      </c>
      <c r="B1047" s="231" t="s">
        <v>157</v>
      </c>
      <c r="C1047" s="232"/>
      <c r="D1047" s="232">
        <v>16.89</v>
      </c>
      <c r="E1047" s="233">
        <v>2.715538</v>
      </c>
      <c r="F1047" s="234">
        <f>pairs[[#This Row],[ Dist]]*5280</f>
        <v>14338.040639999999</v>
      </c>
      <c r="G1047" s="232">
        <f>ROUND(pairs[[#This Row],[ Az]]-ROUNDDOWN(pairs[[#This Row],[ Az]],0),1)</f>
        <v>0</v>
      </c>
      <c r="H1047" s="232">
        <f>ROUND(pairs[[#This Row],[ Back]]-ROUNDDOWN(pairs[[#This Row],[ Back]],0),1)</f>
        <v>0.9</v>
      </c>
      <c r="I1047" s="232">
        <f>IF( OR( OR(pairs[[#This Row],[Az*]]=0, pairs[[#This Row],[Back*]]=0), OR(pairs[[#This Row],[Az*]]=1, pairs[[#This Row],[Back*]]=1)), 1, 0)</f>
        <v>1</v>
      </c>
      <c r="J1047" s="232">
        <f>IF(OR(pairs[[#This Row],[Az*]]=0.5,pairs[[#This Row],[Back*]]=0.5),1,0)</f>
        <v>0</v>
      </c>
    </row>
    <row r="1048" spans="1:10">
      <c r="A1048" s="231" t="s">
        <v>4</v>
      </c>
      <c r="B1048" s="231" t="s">
        <v>149</v>
      </c>
      <c r="C1048" s="232"/>
      <c r="D1048" s="232">
        <v>13.55</v>
      </c>
      <c r="E1048" s="233">
        <v>7.2773389999999996</v>
      </c>
      <c r="F1048" s="234">
        <f>pairs[[#This Row],[ Dist]]*5280</f>
        <v>38424.349920000001</v>
      </c>
      <c r="G1048" s="232">
        <f>ROUND(pairs[[#This Row],[ Az]]-ROUNDDOWN(pairs[[#This Row],[ Az]],0),1)</f>
        <v>0</v>
      </c>
      <c r="H1048" s="232">
        <f>ROUND(pairs[[#This Row],[ Back]]-ROUNDDOWN(pairs[[#This Row],[ Back]],0),1)</f>
        <v>0.6</v>
      </c>
      <c r="I1048" s="232">
        <f>IF( OR( OR(pairs[[#This Row],[Az*]]=0, pairs[[#This Row],[Back*]]=0), OR(pairs[[#This Row],[Az*]]=1, pairs[[#This Row],[Back*]]=1)), 1, 0)</f>
        <v>1</v>
      </c>
      <c r="J1048" s="232">
        <f>IF(OR(pairs[[#This Row],[Az*]]=0.5,pairs[[#This Row],[Back*]]=0.5),1,0)</f>
        <v>0</v>
      </c>
    </row>
    <row r="1049" spans="1:10">
      <c r="A1049" s="231" t="s">
        <v>4</v>
      </c>
      <c r="B1049" s="231" t="s">
        <v>153</v>
      </c>
      <c r="C1049" s="232"/>
      <c r="D1049" s="232">
        <v>89.87</v>
      </c>
      <c r="E1049" s="233">
        <v>1.7044619999999999</v>
      </c>
      <c r="F1049" s="234">
        <f>pairs[[#This Row],[ Dist]]*5280</f>
        <v>8999.5593599999993</v>
      </c>
      <c r="G1049" s="232">
        <f>ROUND(pairs[[#This Row],[ Az]]-ROUNDDOWN(pairs[[#This Row],[ Az]],0),1)</f>
        <v>0</v>
      </c>
      <c r="H1049" s="232">
        <f>ROUND(pairs[[#This Row],[ Back]]-ROUNDDOWN(pairs[[#This Row],[ Back]],0),1)</f>
        <v>0.9</v>
      </c>
      <c r="I1049" s="232">
        <f>IF( OR( OR(pairs[[#This Row],[Az*]]=0, pairs[[#This Row],[Back*]]=0), OR(pairs[[#This Row],[Az*]]=1, pairs[[#This Row],[Back*]]=1)), 1, 0)</f>
        <v>1</v>
      </c>
      <c r="J1049" s="232">
        <f>IF(OR(pairs[[#This Row],[Az*]]=0.5,pairs[[#This Row],[Back*]]=0.5),1,0)</f>
        <v>0</v>
      </c>
    </row>
    <row r="1050" spans="1:10">
      <c r="A1050" s="231" t="s">
        <v>4</v>
      </c>
      <c r="B1050" s="231" t="s">
        <v>150</v>
      </c>
      <c r="C1050" s="232"/>
      <c r="D1050" s="232">
        <v>90.17</v>
      </c>
      <c r="E1050" s="233">
        <v>8.7863690000000005</v>
      </c>
      <c r="F1050" s="234">
        <f>pairs[[#This Row],[ Dist]]*5280</f>
        <v>46392.028320000005</v>
      </c>
      <c r="G1050" s="232">
        <f>ROUND(pairs[[#This Row],[ Az]]-ROUNDDOWN(pairs[[#This Row],[ Az]],0),1)</f>
        <v>0</v>
      </c>
      <c r="H1050" s="232">
        <f>ROUND(pairs[[#This Row],[ Back]]-ROUNDDOWN(pairs[[#This Row],[ Back]],0),1)</f>
        <v>0.2</v>
      </c>
      <c r="I1050" s="232">
        <f>IF( OR( OR(pairs[[#This Row],[Az*]]=0, pairs[[#This Row],[Back*]]=0), OR(pairs[[#This Row],[Az*]]=1, pairs[[#This Row],[Back*]]=1)), 1, 0)</f>
        <v>1</v>
      </c>
      <c r="J1050" s="232">
        <f>IF(OR(pairs[[#This Row],[Az*]]=0.5,pairs[[#This Row],[Back*]]=0.5),1,0)</f>
        <v>0</v>
      </c>
    </row>
    <row r="1051" spans="1:10" ht="14.1">
      <c r="A1051" s="23" t="s">
        <v>4</v>
      </c>
      <c r="B1051" s="23" t="s">
        <v>154</v>
      </c>
      <c r="C1051" s="229"/>
      <c r="D1051" s="229">
        <v>90.96</v>
      </c>
      <c r="E1051" s="25">
        <v>1.715463</v>
      </c>
      <c r="F1051" s="230">
        <f>pairs[[#This Row],[ Dist]]*5280</f>
        <v>9057.6446400000004</v>
      </c>
      <c r="G1051" s="232">
        <f>ROUND(pairs[[#This Row],[ Az]]-ROUNDDOWN(pairs[[#This Row],[ Az]],0),1)</f>
        <v>0</v>
      </c>
      <c r="H1051" s="232">
        <f>ROUND(pairs[[#This Row],[ Back]]-ROUNDDOWN(pairs[[#This Row],[ Back]],0),1)</f>
        <v>1</v>
      </c>
      <c r="I1051" s="232">
        <f>IF( OR( OR(pairs[[#This Row],[Az*]]=0, pairs[[#This Row],[Back*]]=0), OR(pairs[[#This Row],[Az*]]=1, pairs[[#This Row],[Back*]]=1)), 1, 0)</f>
        <v>1</v>
      </c>
      <c r="J1051" s="232">
        <f>IF(OR(pairs[[#This Row],[Az*]]=0.5,pairs[[#This Row],[Back*]]=0.5),1,0)</f>
        <v>0</v>
      </c>
    </row>
    <row r="1052" spans="1:10">
      <c r="A1052" s="231" t="s">
        <v>11</v>
      </c>
      <c r="B1052" s="231" t="s">
        <v>156</v>
      </c>
      <c r="C1052" s="232"/>
      <c r="D1052" s="232">
        <v>71.64</v>
      </c>
      <c r="E1052" s="233">
        <v>5.5972189999999999</v>
      </c>
      <c r="F1052" s="234">
        <f>pairs[[#This Row],[ Dist]]*5280</f>
        <v>29553.316319999998</v>
      </c>
      <c r="G1052" s="232">
        <f>ROUND(pairs[[#This Row],[ Az]]-ROUNDDOWN(pairs[[#This Row],[ Az]],0),1)</f>
        <v>0</v>
      </c>
      <c r="H1052" s="232">
        <f>ROUND(pairs[[#This Row],[ Back]]-ROUNDDOWN(pairs[[#This Row],[ Back]],0),1)</f>
        <v>0.6</v>
      </c>
      <c r="I1052" s="232">
        <f>IF( OR( OR(pairs[[#This Row],[Az*]]=0, pairs[[#This Row],[Back*]]=0), OR(pairs[[#This Row],[Az*]]=1, pairs[[#This Row],[Back*]]=1)), 1, 0)</f>
        <v>1</v>
      </c>
      <c r="J1052" s="232">
        <f>IF(OR(pairs[[#This Row],[Az*]]=0.5,pairs[[#This Row],[Back*]]=0.5),1,0)</f>
        <v>0</v>
      </c>
    </row>
    <row r="1053" spans="1:10">
      <c r="A1053" s="231" t="s">
        <v>11</v>
      </c>
      <c r="B1053" s="231" t="s">
        <v>143</v>
      </c>
      <c r="C1053" s="232"/>
      <c r="D1053" s="232">
        <v>63.61</v>
      </c>
      <c r="E1053" s="233">
        <v>4.01776</v>
      </c>
      <c r="F1053" s="234">
        <f>pairs[[#This Row],[ Dist]]*5280</f>
        <v>21213.772799999999</v>
      </c>
      <c r="G1053" s="232">
        <f>ROUND(pairs[[#This Row],[ Az]]-ROUNDDOWN(pairs[[#This Row],[ Az]],0),1)</f>
        <v>0</v>
      </c>
      <c r="H1053" s="232">
        <f>ROUND(pairs[[#This Row],[ Back]]-ROUNDDOWN(pairs[[#This Row],[ Back]],0),1)</f>
        <v>0.6</v>
      </c>
      <c r="I1053" s="232">
        <f>IF( OR( OR(pairs[[#This Row],[Az*]]=0, pairs[[#This Row],[Back*]]=0), OR(pairs[[#This Row],[Az*]]=1, pairs[[#This Row],[Back*]]=1)), 1, 0)</f>
        <v>1</v>
      </c>
      <c r="J1053" s="232">
        <f>IF(OR(pairs[[#This Row],[Az*]]=0.5,pairs[[#This Row],[Back*]]=0.5),1,0)</f>
        <v>0</v>
      </c>
    </row>
    <row r="1054" spans="1:10">
      <c r="A1054" s="231" t="s">
        <v>11</v>
      </c>
      <c r="B1054" s="231" t="s">
        <v>151</v>
      </c>
      <c r="C1054" s="232"/>
      <c r="D1054" s="232">
        <v>315.27</v>
      </c>
      <c r="E1054" s="233">
        <v>2.5016129999999999</v>
      </c>
      <c r="F1054" s="234">
        <f>pairs[[#This Row],[ Dist]]*5280</f>
        <v>13208.51664</v>
      </c>
      <c r="G1054" s="232">
        <f>ROUND(pairs[[#This Row],[ Az]]-ROUNDDOWN(pairs[[#This Row],[ Az]],0),1)</f>
        <v>0</v>
      </c>
      <c r="H1054" s="232">
        <f>ROUND(pairs[[#This Row],[ Back]]-ROUNDDOWN(pairs[[#This Row],[ Back]],0),1)</f>
        <v>0.3</v>
      </c>
      <c r="I1054" s="232">
        <f>IF( OR( OR(pairs[[#This Row],[Az*]]=0, pairs[[#This Row],[Back*]]=0), OR(pairs[[#This Row],[Az*]]=1, pairs[[#This Row],[Back*]]=1)), 1, 0)</f>
        <v>1</v>
      </c>
      <c r="J1054" s="232">
        <f>IF(OR(pairs[[#This Row],[Az*]]=0.5,pairs[[#This Row],[Back*]]=0.5),1,0)</f>
        <v>0</v>
      </c>
    </row>
    <row r="1055" spans="1:10" ht="14.1">
      <c r="A1055" s="206" t="s">
        <v>11</v>
      </c>
      <c r="B1055" s="206" t="s">
        <v>155</v>
      </c>
      <c r="C1055" s="235"/>
      <c r="D1055" s="235">
        <v>71.41</v>
      </c>
      <c r="E1055" s="236">
        <v>5.6000079999999999</v>
      </c>
      <c r="F1055" s="237">
        <f>pairs[[#This Row],[ Dist]]*5280</f>
        <v>29568.042239999999</v>
      </c>
      <c r="G1055" s="235">
        <f>ROUND(pairs[[#This Row],[ Az]]-ROUNDDOWN(pairs[[#This Row],[ Az]],0),1)</f>
        <v>0</v>
      </c>
      <c r="H1055" s="235">
        <f>ROUND(pairs[[#This Row],[ Back]]-ROUNDDOWN(pairs[[#This Row],[ Back]],0),1)</f>
        <v>0.4</v>
      </c>
      <c r="I1055" s="235">
        <f>IF( OR( OR(pairs[[#This Row],[Az*]]=0, pairs[[#This Row],[Back*]]=0), OR(pairs[[#This Row],[Az*]]=1, pairs[[#This Row],[Back*]]=1)), 1, 0)</f>
        <v>1</v>
      </c>
      <c r="J1055" s="235">
        <f>IF(OR(pairs[[#This Row],[Az*]]=0.5,pairs[[#This Row],[Back*]]=0.5),1,0)</f>
        <v>0</v>
      </c>
    </row>
    <row r="1056" spans="1:10">
      <c r="A1056" s="231" t="s">
        <v>11</v>
      </c>
      <c r="B1056" s="231" t="s">
        <v>158</v>
      </c>
      <c r="C1056" s="232"/>
      <c r="D1056" s="232">
        <v>60.2</v>
      </c>
      <c r="E1056" s="233">
        <v>4.1089849999999997</v>
      </c>
      <c r="F1056" s="234">
        <f>pairs[[#This Row],[ Dist]]*5280</f>
        <v>21695.440799999997</v>
      </c>
      <c r="G1056" s="232">
        <f>ROUND(pairs[[#This Row],[ Az]]-ROUNDDOWN(pairs[[#This Row],[ Az]],0),1)</f>
        <v>0</v>
      </c>
      <c r="H1056" s="232">
        <f>ROUND(pairs[[#This Row],[ Back]]-ROUNDDOWN(pairs[[#This Row],[ Back]],0),1)</f>
        <v>0.2</v>
      </c>
      <c r="I1056" s="232">
        <f>IF( OR( OR(pairs[[#This Row],[Az*]]=0, pairs[[#This Row],[Back*]]=0), OR(pairs[[#This Row],[Az*]]=1, pairs[[#This Row],[Back*]]=1)), 1, 0)</f>
        <v>1</v>
      </c>
      <c r="J1056" s="232">
        <f>IF(OR(pairs[[#This Row],[Az*]]=0.5,pairs[[#This Row],[Back*]]=0.5),1,0)</f>
        <v>0</v>
      </c>
    </row>
    <row r="1057" spans="1:10">
      <c r="A1057" s="231" t="s">
        <v>11</v>
      </c>
      <c r="B1057" s="231" t="s">
        <v>159</v>
      </c>
      <c r="C1057" s="232"/>
      <c r="D1057" s="232">
        <v>72.819999999999993</v>
      </c>
      <c r="E1057" s="233">
        <v>6.1254429999999997</v>
      </c>
      <c r="F1057" s="234">
        <f>pairs[[#This Row],[ Dist]]*5280</f>
        <v>32342.339039999999</v>
      </c>
      <c r="G1057" s="232">
        <f>ROUND(pairs[[#This Row],[ Az]]-ROUNDDOWN(pairs[[#This Row],[ Az]],0),1)</f>
        <v>0</v>
      </c>
      <c r="H1057" s="232">
        <f>ROUND(pairs[[#This Row],[ Back]]-ROUNDDOWN(pairs[[#This Row],[ Back]],0),1)</f>
        <v>0.8</v>
      </c>
      <c r="I1057" s="232">
        <f>IF( OR( OR(pairs[[#This Row],[Az*]]=0, pairs[[#This Row],[Back*]]=0), OR(pairs[[#This Row],[Az*]]=1, pairs[[#This Row],[Back*]]=1)), 1, 0)</f>
        <v>1</v>
      </c>
      <c r="J1057" s="232">
        <f>IF(OR(pairs[[#This Row],[Az*]]=0.5,pairs[[#This Row],[Back*]]=0.5),1,0)</f>
        <v>0</v>
      </c>
    </row>
    <row r="1058" spans="1:10" ht="14.1">
      <c r="A1058" s="206" t="s">
        <v>11</v>
      </c>
      <c r="B1058" s="206" t="s">
        <v>160</v>
      </c>
      <c r="C1058" s="235"/>
      <c r="D1058" s="235">
        <v>73.53</v>
      </c>
      <c r="E1058" s="236">
        <v>5.2115629999999999</v>
      </c>
      <c r="F1058" s="237">
        <f>pairs[[#This Row],[ Dist]]*5280</f>
        <v>27517.052639999998</v>
      </c>
      <c r="G1058" s="235">
        <f>ROUND(pairs[[#This Row],[ Az]]-ROUNDDOWN(pairs[[#This Row],[ Az]],0),1)</f>
        <v>0</v>
      </c>
      <c r="H1058" s="235">
        <f>ROUND(pairs[[#This Row],[ Back]]-ROUNDDOWN(pairs[[#This Row],[ Back]],0),1)</f>
        <v>0.5</v>
      </c>
      <c r="I1058" s="235">
        <f>IF( OR( OR(pairs[[#This Row],[Az*]]=0, pairs[[#This Row],[Back*]]=0), OR(pairs[[#This Row],[Az*]]=1, pairs[[#This Row],[Back*]]=1)), 1, 0)</f>
        <v>1</v>
      </c>
      <c r="J1058" s="235">
        <f>IF(OR(pairs[[#This Row],[Az*]]=0.5,pairs[[#This Row],[Back*]]=0.5),1,0)</f>
        <v>1</v>
      </c>
    </row>
    <row r="1059" spans="1:10">
      <c r="A1059" s="231" t="s">
        <v>11</v>
      </c>
      <c r="B1059" s="231" t="s">
        <v>146</v>
      </c>
      <c r="C1059" s="232"/>
      <c r="D1059" s="232">
        <v>74.58</v>
      </c>
      <c r="E1059" s="233">
        <v>6.1061959999999997</v>
      </c>
      <c r="F1059" s="234">
        <f>pairs[[#This Row],[ Dist]]*5280</f>
        <v>32240.71488</v>
      </c>
      <c r="G1059" s="232">
        <f>ROUND(pairs[[#This Row],[ Az]]-ROUNDDOWN(pairs[[#This Row],[ Az]],0),1)</f>
        <v>0</v>
      </c>
      <c r="H1059" s="232">
        <f>ROUND(pairs[[#This Row],[ Back]]-ROUNDDOWN(pairs[[#This Row],[ Back]],0),1)</f>
        <v>0.6</v>
      </c>
      <c r="I1059" s="232">
        <f>IF( OR( OR(pairs[[#This Row],[Az*]]=0, pairs[[#This Row],[Back*]]=0), OR(pairs[[#This Row],[Az*]]=1, pairs[[#This Row],[Back*]]=1)), 1, 0)</f>
        <v>1</v>
      </c>
      <c r="J1059" s="232">
        <f>IF(OR(pairs[[#This Row],[Az*]]=0.5,pairs[[#This Row],[Back*]]=0.5),1,0)</f>
        <v>0</v>
      </c>
    </row>
    <row r="1060" spans="1:10">
      <c r="A1060" s="231" t="s">
        <v>11</v>
      </c>
      <c r="B1060" s="231" t="s">
        <v>145</v>
      </c>
      <c r="C1060" s="232"/>
      <c r="D1060" s="232">
        <v>68.63</v>
      </c>
      <c r="E1060" s="233">
        <v>5.4627189999999999</v>
      </c>
      <c r="F1060" s="234">
        <f>pairs[[#This Row],[ Dist]]*5280</f>
        <v>28843.156319999998</v>
      </c>
      <c r="G1060" s="232">
        <f>ROUND(pairs[[#This Row],[ Az]]-ROUNDDOWN(pairs[[#This Row],[ Az]],0),1)</f>
        <v>0</v>
      </c>
      <c r="H1060" s="232">
        <f>ROUND(pairs[[#This Row],[ Back]]-ROUNDDOWN(pairs[[#This Row],[ Back]],0),1)</f>
        <v>0.6</v>
      </c>
      <c r="I1060" s="232">
        <f>IF( OR( OR(pairs[[#This Row],[Az*]]=0, pairs[[#This Row],[Back*]]=0), OR(pairs[[#This Row],[Az*]]=1, pairs[[#This Row],[Back*]]=1)), 1, 0)</f>
        <v>1</v>
      </c>
      <c r="J1060" s="232">
        <f>IF(OR(pairs[[#This Row],[Az*]]=0.5,pairs[[#This Row],[Back*]]=0.5),1,0)</f>
        <v>0</v>
      </c>
    </row>
    <row r="1061" spans="1:10">
      <c r="A1061" s="231" t="s">
        <v>11</v>
      </c>
      <c r="B1061" s="231" t="s">
        <v>164</v>
      </c>
      <c r="C1061" s="232"/>
      <c r="D1061" s="232">
        <v>73.099999999999994</v>
      </c>
      <c r="E1061" s="233">
        <v>6.152056</v>
      </c>
      <c r="F1061" s="234">
        <f>pairs[[#This Row],[ Dist]]*5280</f>
        <v>32482.855680000001</v>
      </c>
      <c r="G1061" s="232">
        <f>ROUND(pairs[[#This Row],[ Az]]-ROUNDDOWN(pairs[[#This Row],[ Az]],0),1)</f>
        <v>0</v>
      </c>
      <c r="H1061" s="232">
        <f>ROUND(pairs[[#This Row],[ Back]]-ROUNDDOWN(pairs[[#This Row],[ Back]],0),1)</f>
        <v>0.1</v>
      </c>
      <c r="I1061" s="232">
        <f>IF( OR( OR(pairs[[#This Row],[Az*]]=0, pairs[[#This Row],[Back*]]=0), OR(pairs[[#This Row],[Az*]]=1, pairs[[#This Row],[Back*]]=1)), 1, 0)</f>
        <v>1</v>
      </c>
      <c r="J1061" s="232">
        <f>IF(OR(pairs[[#This Row],[Az*]]=0.5,pairs[[#This Row],[Back*]]=0.5),1,0)</f>
        <v>0</v>
      </c>
    </row>
    <row r="1062" spans="1:10">
      <c r="A1062" s="231" t="s">
        <v>11</v>
      </c>
      <c r="B1062" s="231" t="s">
        <v>144</v>
      </c>
      <c r="C1062" s="232"/>
      <c r="D1062" s="232">
        <v>68.11</v>
      </c>
      <c r="E1062" s="233">
        <v>5.4060370000000004</v>
      </c>
      <c r="F1062" s="234">
        <f>pairs[[#This Row],[ Dist]]*5280</f>
        <v>28543.875360000002</v>
      </c>
      <c r="G1062" s="232">
        <f>ROUND(pairs[[#This Row],[ Az]]-ROUNDDOWN(pairs[[#This Row],[ Az]],0),1)</f>
        <v>0</v>
      </c>
      <c r="H1062" s="232">
        <f>ROUND(pairs[[#This Row],[ Back]]-ROUNDDOWN(pairs[[#This Row],[ Back]],0),1)</f>
        <v>0.1</v>
      </c>
      <c r="I1062" s="232">
        <f>IF( OR( OR(pairs[[#This Row],[Az*]]=0, pairs[[#This Row],[Back*]]=0), OR(pairs[[#This Row],[Az*]]=1, pairs[[#This Row],[Back*]]=1)), 1, 0)</f>
        <v>1</v>
      </c>
      <c r="J1062" s="232">
        <f>IF(OR(pairs[[#This Row],[Az*]]=0.5,pairs[[#This Row],[Back*]]=0.5),1,0)</f>
        <v>0</v>
      </c>
    </row>
    <row r="1063" spans="1:10">
      <c r="A1063" s="231" t="s">
        <v>11</v>
      </c>
      <c r="B1063" s="231" t="s">
        <v>148</v>
      </c>
      <c r="C1063" s="232"/>
      <c r="D1063" s="232">
        <v>135.1</v>
      </c>
      <c r="E1063" s="233">
        <v>7.5423450000000001</v>
      </c>
      <c r="F1063" s="234">
        <f>pairs[[#This Row],[ Dist]]*5280</f>
        <v>39823.581599999998</v>
      </c>
      <c r="G1063" s="232">
        <f>ROUND(pairs[[#This Row],[ Az]]-ROUNDDOWN(pairs[[#This Row],[ Az]],0),1)</f>
        <v>0</v>
      </c>
      <c r="H1063" s="232">
        <f>ROUND(pairs[[#This Row],[ Back]]-ROUNDDOWN(pairs[[#This Row],[ Back]],0),1)</f>
        <v>0.1</v>
      </c>
      <c r="I1063" s="232">
        <f>IF( OR( OR(pairs[[#This Row],[Az*]]=0, pairs[[#This Row],[Back*]]=0), OR(pairs[[#This Row],[Az*]]=1, pairs[[#This Row],[Back*]]=1)), 1, 0)</f>
        <v>1</v>
      </c>
      <c r="J1063" s="232">
        <f>IF(OR(pairs[[#This Row],[Az*]]=0.5,pairs[[#This Row],[Back*]]=0.5),1,0)</f>
        <v>0</v>
      </c>
    </row>
    <row r="1064" spans="1:10" ht="14.1">
      <c r="A1064" s="23" t="s">
        <v>11</v>
      </c>
      <c r="B1064" s="23" t="s">
        <v>152</v>
      </c>
      <c r="C1064" s="229"/>
      <c r="D1064" s="229">
        <v>72.010000000000005</v>
      </c>
      <c r="E1064" s="25">
        <v>5.598077</v>
      </c>
      <c r="F1064" s="230">
        <f>pairs[[#This Row],[ Dist]]*5280</f>
        <v>29557.846559999998</v>
      </c>
      <c r="G1064" s="232">
        <f>ROUND(pairs[[#This Row],[ Az]]-ROUNDDOWN(pairs[[#This Row],[ Az]],0),1)</f>
        <v>0</v>
      </c>
      <c r="H1064" s="232">
        <f>ROUND(pairs[[#This Row],[ Back]]-ROUNDDOWN(pairs[[#This Row],[ Back]],0),1)</f>
        <v>0</v>
      </c>
      <c r="I1064" s="232">
        <f>IF( OR( OR(pairs[[#This Row],[Az*]]=0, pairs[[#This Row],[Back*]]=0), OR(pairs[[#This Row],[Az*]]=1, pairs[[#This Row],[Back*]]=1)), 1, 0)</f>
        <v>1</v>
      </c>
      <c r="J1064" s="232">
        <f>IF(OR(pairs[[#This Row],[Az*]]=0.5,pairs[[#This Row],[Back*]]=0.5),1,0)</f>
        <v>0</v>
      </c>
    </row>
    <row r="1065" spans="1:10">
      <c r="A1065" s="231" t="s">
        <v>11</v>
      </c>
      <c r="B1065" s="231" t="s">
        <v>147</v>
      </c>
      <c r="C1065" s="232"/>
      <c r="D1065" s="232">
        <v>61.79</v>
      </c>
      <c r="E1065" s="233">
        <v>6.9572250000000002</v>
      </c>
      <c r="F1065" s="234">
        <f>pairs[[#This Row],[ Dist]]*5280</f>
        <v>36734.148000000001</v>
      </c>
      <c r="G1065" s="232">
        <f>ROUND(pairs[[#This Row],[ Az]]-ROUNDDOWN(pairs[[#This Row],[ Az]],0),1)</f>
        <v>0</v>
      </c>
      <c r="H1065" s="232">
        <f>ROUND(pairs[[#This Row],[ Back]]-ROUNDDOWN(pairs[[#This Row],[ Back]],0),1)</f>
        <v>0.8</v>
      </c>
      <c r="I1065" s="232">
        <f>IF( OR( OR(pairs[[#This Row],[Az*]]=0, pairs[[#This Row],[Back*]]=0), OR(pairs[[#This Row],[Az*]]=1, pairs[[#This Row],[Back*]]=1)), 1, 0)</f>
        <v>1</v>
      </c>
      <c r="J1065" s="232">
        <f>IF(OR(pairs[[#This Row],[Az*]]=0.5,pairs[[#This Row],[Back*]]=0.5),1,0)</f>
        <v>0</v>
      </c>
    </row>
    <row r="1066" spans="1:10" ht="14.1">
      <c r="A1066" s="206" t="s">
        <v>11</v>
      </c>
      <c r="B1066" s="206" t="s">
        <v>161</v>
      </c>
      <c r="C1066" s="235"/>
      <c r="D1066" s="235">
        <v>96.5</v>
      </c>
      <c r="E1066" s="236">
        <v>9.6285209999999992</v>
      </c>
      <c r="F1066" s="237">
        <f>pairs[[#This Row],[ Dist]]*5280</f>
        <v>50838.590879999996</v>
      </c>
      <c r="G1066" s="235">
        <f>ROUND(pairs[[#This Row],[ Az]]-ROUNDDOWN(pairs[[#This Row],[ Az]],0),1)</f>
        <v>0</v>
      </c>
      <c r="H1066" s="235">
        <f>ROUND(pairs[[#This Row],[ Back]]-ROUNDDOWN(pairs[[#This Row],[ Back]],0),1)</f>
        <v>0.5</v>
      </c>
      <c r="I1066" s="235">
        <f>IF( OR( OR(pairs[[#This Row],[Az*]]=0, pairs[[#This Row],[Back*]]=0), OR(pairs[[#This Row],[Az*]]=1, pairs[[#This Row],[Back*]]=1)), 1, 0)</f>
        <v>1</v>
      </c>
      <c r="J1066" s="235">
        <f>IF(OR(pairs[[#This Row],[Az*]]=0.5,pairs[[#This Row],[Back*]]=0.5),1,0)</f>
        <v>1</v>
      </c>
    </row>
    <row r="1067" spans="1:10">
      <c r="A1067" s="231" t="s">
        <v>11</v>
      </c>
      <c r="B1067" s="231" t="s">
        <v>162</v>
      </c>
      <c r="C1067" s="232"/>
      <c r="D1067" s="232">
        <v>128.78</v>
      </c>
      <c r="E1067" s="233">
        <v>7.5704419999999999</v>
      </c>
      <c r="F1067" s="234">
        <f>pairs[[#This Row],[ Dist]]*5280</f>
        <v>39971.93376</v>
      </c>
      <c r="G1067" s="232">
        <f>ROUND(pairs[[#This Row],[ Az]]-ROUNDDOWN(pairs[[#This Row],[ Az]],0),1)</f>
        <v>0</v>
      </c>
      <c r="H1067" s="232">
        <f>ROUND(pairs[[#This Row],[ Back]]-ROUNDDOWN(pairs[[#This Row],[ Back]],0),1)</f>
        <v>0.8</v>
      </c>
      <c r="I1067" s="232">
        <f>IF( OR( OR(pairs[[#This Row],[Az*]]=0, pairs[[#This Row],[Back*]]=0), OR(pairs[[#This Row],[Az*]]=1, pairs[[#This Row],[Back*]]=1)), 1, 0)</f>
        <v>1</v>
      </c>
      <c r="J1067" s="232">
        <f>IF(OR(pairs[[#This Row],[Az*]]=0.5,pairs[[#This Row],[Back*]]=0.5),1,0)</f>
        <v>0</v>
      </c>
    </row>
    <row r="1068" spans="1:10" ht="14.1">
      <c r="A1068" s="23" t="s">
        <v>11</v>
      </c>
      <c r="B1068" s="23" t="s">
        <v>157</v>
      </c>
      <c r="C1068" s="229"/>
      <c r="D1068" s="229">
        <v>45.02</v>
      </c>
      <c r="E1068" s="25">
        <v>6.2031510000000001</v>
      </c>
      <c r="F1068" s="230">
        <f>pairs[[#This Row],[ Dist]]*5280</f>
        <v>32752.637279999999</v>
      </c>
      <c r="G1068" s="232">
        <f>ROUND(pairs[[#This Row],[ Az]]-ROUNDDOWN(pairs[[#This Row],[ Az]],0),1)</f>
        <v>0</v>
      </c>
      <c r="H1068" s="232">
        <f>ROUND(pairs[[#This Row],[ Back]]-ROUNDDOWN(pairs[[#This Row],[ Back]],0),1)</f>
        <v>0</v>
      </c>
      <c r="I1068" s="232">
        <f>IF( OR( OR(pairs[[#This Row],[Az*]]=0, pairs[[#This Row],[Back*]]=0), OR(pairs[[#This Row],[Az*]]=1, pairs[[#This Row],[Back*]]=1)), 1, 0)</f>
        <v>1</v>
      </c>
      <c r="J1068" s="232">
        <f>IF(OR(pairs[[#This Row],[Az*]]=0.5,pairs[[#This Row],[Back*]]=0.5),1,0)</f>
        <v>0</v>
      </c>
    </row>
    <row r="1069" spans="1:10" ht="14.1">
      <c r="A1069" s="23" t="s">
        <v>11</v>
      </c>
      <c r="B1069" s="23" t="s">
        <v>149</v>
      </c>
      <c r="C1069" s="229"/>
      <c r="D1069" s="229">
        <v>30.9</v>
      </c>
      <c r="E1069" s="25">
        <v>10.327401999999999</v>
      </c>
      <c r="F1069" s="230">
        <f>pairs[[#This Row],[ Dist]]*5280</f>
        <v>54528.682559999994</v>
      </c>
      <c r="G1069" s="232">
        <f>ROUND(pairs[[#This Row],[ Az]]-ROUNDDOWN(pairs[[#This Row],[ Az]],0),1)</f>
        <v>0</v>
      </c>
      <c r="H1069" s="232">
        <f>ROUND(pairs[[#This Row],[ Back]]-ROUNDDOWN(pairs[[#This Row],[ Back]],0),1)</f>
        <v>0.9</v>
      </c>
      <c r="I1069" s="232">
        <f>IF( OR( OR(pairs[[#This Row],[Az*]]=0, pairs[[#This Row],[Back*]]=0), OR(pairs[[#This Row],[Az*]]=1, pairs[[#This Row],[Back*]]=1)), 1, 0)</f>
        <v>1</v>
      </c>
      <c r="J1069" s="232">
        <f>IF(OR(pairs[[#This Row],[Az*]]=0.5,pairs[[#This Row],[Back*]]=0.5),1,0)</f>
        <v>0</v>
      </c>
    </row>
    <row r="1070" spans="1:10">
      <c r="A1070" s="231" t="s">
        <v>11</v>
      </c>
      <c r="B1070" s="231" t="s">
        <v>153</v>
      </c>
      <c r="C1070" s="232"/>
      <c r="D1070" s="232">
        <v>71.34</v>
      </c>
      <c r="E1070" s="233">
        <v>5.5971580000000003</v>
      </c>
      <c r="F1070" s="234">
        <f>pairs[[#This Row],[ Dist]]*5280</f>
        <v>29552.99424</v>
      </c>
      <c r="G1070" s="232">
        <f>ROUND(pairs[[#This Row],[ Az]]-ROUNDDOWN(pairs[[#This Row],[ Az]],0),1)</f>
        <v>0</v>
      </c>
      <c r="H1070" s="232">
        <f>ROUND(pairs[[#This Row],[ Back]]-ROUNDDOWN(pairs[[#This Row],[ Back]],0),1)</f>
        <v>0.3</v>
      </c>
      <c r="I1070" s="232">
        <f>IF( OR( OR(pairs[[#This Row],[Az*]]=0, pairs[[#This Row],[Back*]]=0), OR(pairs[[#This Row],[Az*]]=1, pairs[[#This Row],[Back*]]=1)), 1, 0)</f>
        <v>1</v>
      </c>
      <c r="J1070" s="232">
        <f>IF(OR(pairs[[#This Row],[Az*]]=0.5,pairs[[#This Row],[Back*]]=0.5),1,0)</f>
        <v>0</v>
      </c>
    </row>
    <row r="1071" spans="1:10" ht="14.1">
      <c r="A1071" s="23" t="s">
        <v>11</v>
      </c>
      <c r="B1071" s="23" t="s">
        <v>150</v>
      </c>
      <c r="C1071" s="229"/>
      <c r="D1071" s="229">
        <v>81.88</v>
      </c>
      <c r="E1071" s="25">
        <v>12.5075</v>
      </c>
      <c r="F1071" s="230">
        <f>pairs[[#This Row],[ Dist]]*5280</f>
        <v>66039.600000000006</v>
      </c>
      <c r="G1071" s="232">
        <f>ROUND(pairs[[#This Row],[ Az]]-ROUNDDOWN(pairs[[#This Row],[ Az]],0),1)</f>
        <v>0</v>
      </c>
      <c r="H1071" s="232">
        <f>ROUND(pairs[[#This Row],[ Back]]-ROUNDDOWN(pairs[[#This Row],[ Back]],0),1)</f>
        <v>0.9</v>
      </c>
      <c r="I1071" s="232">
        <f>IF( OR( OR(pairs[[#This Row],[Az*]]=0, pairs[[#This Row],[Back*]]=0), OR(pairs[[#This Row],[Az*]]=1, pairs[[#This Row],[Back*]]=1)), 1, 0)</f>
        <v>1</v>
      </c>
      <c r="J1071" s="232">
        <f>IF(OR(pairs[[#This Row],[Az*]]=0.5,pairs[[#This Row],[Back*]]=0.5),1,0)</f>
        <v>0</v>
      </c>
    </row>
    <row r="1072" spans="1:10">
      <c r="A1072" s="231" t="s">
        <v>11</v>
      </c>
      <c r="B1072" s="231" t="s">
        <v>154</v>
      </c>
      <c r="C1072" s="232"/>
      <c r="D1072" s="232">
        <v>71.69</v>
      </c>
      <c r="E1072" s="233">
        <v>5.5970329999999997</v>
      </c>
      <c r="F1072" s="234">
        <f>pairs[[#This Row],[ Dist]]*5280</f>
        <v>29552.33424</v>
      </c>
      <c r="G1072" s="232">
        <f>ROUND(pairs[[#This Row],[ Az]]-ROUNDDOWN(pairs[[#This Row],[ Az]],0),1)</f>
        <v>0</v>
      </c>
      <c r="H1072" s="232">
        <f>ROUND(pairs[[#This Row],[ Back]]-ROUNDDOWN(pairs[[#This Row],[ Back]],0),1)</f>
        <v>0.7</v>
      </c>
      <c r="I1072" s="232">
        <f>IF( OR( OR(pairs[[#This Row],[Az*]]=0, pairs[[#This Row],[Back*]]=0), OR(pairs[[#This Row],[Az*]]=1, pairs[[#This Row],[Back*]]=1)), 1, 0)</f>
        <v>1</v>
      </c>
      <c r="J1072" s="232">
        <f>IF(OR(pairs[[#This Row],[Az*]]=0.5,pairs[[#This Row],[Back*]]=0.5),1,0)</f>
        <v>0</v>
      </c>
    </row>
    <row r="1073" spans="1:10">
      <c r="A1073" s="231" t="s">
        <v>133</v>
      </c>
      <c r="B1073" s="231" t="s">
        <v>163</v>
      </c>
      <c r="C1073" s="232"/>
      <c r="D1073" s="232">
        <v>251.7</v>
      </c>
      <c r="E1073" s="233">
        <v>5.5972189999999999</v>
      </c>
      <c r="F1073" s="234">
        <f>pairs[[#This Row],[ Dist]]*5280</f>
        <v>29553.316319999998</v>
      </c>
      <c r="G1073" s="232">
        <f>ROUND(pairs[[#This Row],[ Az]]-ROUNDDOWN(pairs[[#This Row],[ Az]],0),1)</f>
        <v>0</v>
      </c>
      <c r="H1073" s="232">
        <f>ROUND(pairs[[#This Row],[ Back]]-ROUNDDOWN(pairs[[#This Row],[ Back]],0),1)</f>
        <v>0.7</v>
      </c>
      <c r="I1073" s="232">
        <f>IF( OR( OR(pairs[[#This Row],[Az*]]=0, pairs[[#This Row],[Back*]]=0), OR(pairs[[#This Row],[Az*]]=1, pairs[[#This Row],[Back*]]=1)), 1, 0)</f>
        <v>1</v>
      </c>
      <c r="J1073" s="232">
        <f>IF(OR(pairs[[#This Row],[Az*]]=0.5,pairs[[#This Row],[Back*]]=0.5),1,0)</f>
        <v>0</v>
      </c>
    </row>
    <row r="1074" spans="1:10">
      <c r="A1074" s="231" t="s">
        <v>133</v>
      </c>
      <c r="B1074" s="231" t="s">
        <v>143</v>
      </c>
      <c r="C1074" s="232"/>
      <c r="D1074" s="232">
        <v>270.82</v>
      </c>
      <c r="E1074" s="233">
        <v>1.7139530000000001</v>
      </c>
      <c r="F1074" s="234">
        <f>pairs[[#This Row],[ Dist]]*5280</f>
        <v>9049.6718400000009</v>
      </c>
      <c r="G1074" s="232">
        <f>ROUND(pairs[[#This Row],[ Az]]-ROUNDDOWN(pairs[[#This Row],[ Az]],0),1)</f>
        <v>0</v>
      </c>
      <c r="H1074" s="232">
        <f>ROUND(pairs[[#This Row],[ Back]]-ROUNDDOWN(pairs[[#This Row],[ Back]],0),1)</f>
        <v>0.8</v>
      </c>
      <c r="I1074" s="232">
        <f>IF( OR( OR(pairs[[#This Row],[Az*]]=0, pairs[[#This Row],[Back*]]=0), OR(pairs[[#This Row],[Az*]]=1, pairs[[#This Row],[Back*]]=1)), 1, 0)</f>
        <v>1</v>
      </c>
      <c r="J1074" s="232">
        <f>IF(OR(pairs[[#This Row],[Az*]]=0.5,pairs[[#This Row],[Back*]]=0.5),1,0)</f>
        <v>0</v>
      </c>
    </row>
    <row r="1075" spans="1:10">
      <c r="A1075" s="231" t="s">
        <v>133</v>
      </c>
      <c r="B1075" s="231" t="s">
        <v>151</v>
      </c>
      <c r="C1075" s="232"/>
      <c r="D1075" s="232">
        <v>270.18</v>
      </c>
      <c r="E1075" s="233">
        <v>7.0753630000000003</v>
      </c>
      <c r="F1075" s="234">
        <f>pairs[[#This Row],[ Dist]]*5280</f>
        <v>37357.916640000003</v>
      </c>
      <c r="G1075" s="232">
        <f>ROUND(pairs[[#This Row],[ Az]]-ROUNDDOWN(pairs[[#This Row],[ Az]],0),1)</f>
        <v>0</v>
      </c>
      <c r="H1075" s="232">
        <f>ROUND(pairs[[#This Row],[ Back]]-ROUNDDOWN(pairs[[#This Row],[ Back]],0),1)</f>
        <v>0.2</v>
      </c>
      <c r="I1075" s="232">
        <f>IF( OR( OR(pairs[[#This Row],[Az*]]=0, pairs[[#This Row],[Back*]]=0), OR(pairs[[#This Row],[Az*]]=1, pairs[[#This Row],[Back*]]=1)), 1, 0)</f>
        <v>1</v>
      </c>
      <c r="J1075" s="232">
        <f>IF(OR(pairs[[#This Row],[Az*]]=0.5,pairs[[#This Row],[Back*]]=0.5),1,0)</f>
        <v>0</v>
      </c>
    </row>
    <row r="1076" spans="1:10">
      <c r="A1076" s="231" t="s">
        <v>133</v>
      </c>
      <c r="B1076" s="231" t="s">
        <v>155</v>
      </c>
      <c r="C1076" s="232"/>
      <c r="D1076" s="232">
        <v>348.78</v>
      </c>
      <c r="E1076" s="233">
        <v>2.2074E-2</v>
      </c>
      <c r="F1076" s="234">
        <f>pairs[[#This Row],[ Dist]]*5280</f>
        <v>116.55072</v>
      </c>
      <c r="G1076" s="232">
        <f>ROUND(pairs[[#This Row],[ Az]]-ROUNDDOWN(pairs[[#This Row],[ Az]],0),1)</f>
        <v>0</v>
      </c>
      <c r="H1076" s="232">
        <f>ROUND(pairs[[#This Row],[ Back]]-ROUNDDOWN(pairs[[#This Row],[ Back]],0),1)</f>
        <v>0.8</v>
      </c>
      <c r="I1076" s="232">
        <f>IF( OR( OR(pairs[[#This Row],[Az*]]=0, pairs[[#This Row],[Back*]]=0), OR(pairs[[#This Row],[Az*]]=1, pairs[[#This Row],[Back*]]=1)), 1, 0)</f>
        <v>1</v>
      </c>
      <c r="J1076" s="232">
        <f>IF(OR(pairs[[#This Row],[Az*]]=0.5,pairs[[#This Row],[Back*]]=0.5),1,0)</f>
        <v>0</v>
      </c>
    </row>
    <row r="1077" spans="1:10">
      <c r="A1077" s="231" t="s">
        <v>133</v>
      </c>
      <c r="B1077" s="231" t="s">
        <v>158</v>
      </c>
      <c r="C1077" s="232"/>
      <c r="D1077" s="232">
        <v>279.13</v>
      </c>
      <c r="E1077" s="233">
        <v>1.7696810000000001</v>
      </c>
      <c r="F1077" s="234">
        <f>pairs[[#This Row],[ Dist]]*5280</f>
        <v>9343.9156800000001</v>
      </c>
      <c r="G1077" s="232">
        <f>ROUND(pairs[[#This Row],[ Az]]-ROUNDDOWN(pairs[[#This Row],[ Az]],0),1)</f>
        <v>0</v>
      </c>
      <c r="H1077" s="232">
        <f>ROUND(pairs[[#This Row],[ Back]]-ROUNDDOWN(pairs[[#This Row],[ Back]],0),1)</f>
        <v>0.1</v>
      </c>
      <c r="I1077" s="232">
        <f>IF( OR( OR(pairs[[#This Row],[Az*]]=0, pairs[[#This Row],[Back*]]=0), OR(pairs[[#This Row],[Az*]]=1, pairs[[#This Row],[Back*]]=1)), 1, 0)</f>
        <v>1</v>
      </c>
      <c r="J1077" s="232">
        <f>IF(OR(pairs[[#This Row],[Az*]]=0.5,pairs[[#This Row],[Back*]]=0.5),1,0)</f>
        <v>0</v>
      </c>
    </row>
    <row r="1078" spans="1:10">
      <c r="A1078" s="231" t="s">
        <v>133</v>
      </c>
      <c r="B1078" s="231" t="s">
        <v>159</v>
      </c>
      <c r="C1078" s="232"/>
      <c r="D1078" s="232">
        <v>85.21</v>
      </c>
      <c r="E1078" s="233">
        <v>0.54205300000000001</v>
      </c>
      <c r="F1078" s="234">
        <f>pairs[[#This Row],[ Dist]]*5280</f>
        <v>2862.0398399999999</v>
      </c>
      <c r="G1078" s="232">
        <f>ROUND(pairs[[#This Row],[ Az]]-ROUNDDOWN(pairs[[#This Row],[ Az]],0),1)</f>
        <v>0</v>
      </c>
      <c r="H1078" s="232">
        <f>ROUND(pairs[[#This Row],[ Back]]-ROUNDDOWN(pairs[[#This Row],[ Back]],0),1)</f>
        <v>0.2</v>
      </c>
      <c r="I1078" s="232">
        <f>IF( OR( OR(pairs[[#This Row],[Az*]]=0, pairs[[#This Row],[Back*]]=0), OR(pairs[[#This Row],[Az*]]=1, pairs[[#This Row],[Back*]]=1)), 1, 0)</f>
        <v>1</v>
      </c>
      <c r="J1078" s="232">
        <f>IF(OR(pairs[[#This Row],[Az*]]=0.5,pairs[[#This Row],[Back*]]=0.5),1,0)</f>
        <v>0</v>
      </c>
    </row>
    <row r="1079" spans="1:10">
      <c r="A1079" s="231" t="s">
        <v>133</v>
      </c>
      <c r="B1079" s="231" t="s">
        <v>160</v>
      </c>
      <c r="C1079" s="232"/>
      <c r="D1079" s="232">
        <v>227.79</v>
      </c>
      <c r="E1079" s="233">
        <v>0.42477399999999998</v>
      </c>
      <c r="F1079" s="234">
        <f>pairs[[#This Row],[ Dist]]*5280</f>
        <v>2242.80672</v>
      </c>
      <c r="G1079" s="232">
        <f>ROUND(pairs[[#This Row],[ Az]]-ROUNDDOWN(pairs[[#This Row],[ Az]],0),1)</f>
        <v>0</v>
      </c>
      <c r="H1079" s="232">
        <f>ROUND(pairs[[#This Row],[ Back]]-ROUNDDOWN(pairs[[#This Row],[ Back]],0),1)</f>
        <v>0.8</v>
      </c>
      <c r="I1079" s="232">
        <f>IF( OR( OR(pairs[[#This Row],[Az*]]=0, pairs[[#This Row],[Back*]]=0), OR(pairs[[#This Row],[Az*]]=1, pairs[[#This Row],[Back*]]=1)), 1, 0)</f>
        <v>1</v>
      </c>
      <c r="J1079" s="232">
        <f>IF(OR(pairs[[#This Row],[Az*]]=0.5,pairs[[#This Row],[Back*]]=0.5),1,0)</f>
        <v>0</v>
      </c>
    </row>
    <row r="1080" spans="1:10">
      <c r="A1080" s="231" t="s">
        <v>133</v>
      </c>
      <c r="B1080" s="231" t="s">
        <v>146</v>
      </c>
      <c r="C1080" s="232"/>
      <c r="D1080" s="232">
        <v>103.76</v>
      </c>
      <c r="E1080" s="233">
        <v>0.59143000000000001</v>
      </c>
      <c r="F1080" s="234">
        <f>pairs[[#This Row],[ Dist]]*5280</f>
        <v>3122.7503999999999</v>
      </c>
      <c r="G1080" s="232">
        <f>ROUND(pairs[[#This Row],[ Az]]-ROUNDDOWN(pairs[[#This Row],[ Az]],0),1)</f>
        <v>0</v>
      </c>
      <c r="H1080" s="232">
        <f>ROUND(pairs[[#This Row],[ Back]]-ROUNDDOWN(pairs[[#This Row],[ Back]],0),1)</f>
        <v>0.8</v>
      </c>
      <c r="I1080" s="232">
        <f>IF( OR( OR(pairs[[#This Row],[Az*]]=0, pairs[[#This Row],[Back*]]=0), OR(pairs[[#This Row],[Az*]]=1, pairs[[#This Row],[Back*]]=1)), 1, 0)</f>
        <v>1</v>
      </c>
      <c r="J1080" s="232">
        <f>IF(OR(pairs[[#This Row],[Az*]]=0.5,pairs[[#This Row],[Back*]]=0.5),1,0)</f>
        <v>0</v>
      </c>
    </row>
    <row r="1081" spans="1:10">
      <c r="A1081" s="231" t="s">
        <v>133</v>
      </c>
      <c r="B1081" s="231" t="s">
        <v>145</v>
      </c>
      <c r="C1081" s="232"/>
      <c r="D1081" s="232">
        <v>315.33</v>
      </c>
      <c r="E1081" s="233">
        <v>0.320463</v>
      </c>
      <c r="F1081" s="234">
        <f>pairs[[#This Row],[ Dist]]*5280</f>
        <v>1692.0446400000001</v>
      </c>
      <c r="G1081" s="232">
        <f>ROUND(pairs[[#This Row],[ Az]]-ROUNDDOWN(pairs[[#This Row],[ Az]],0),1)</f>
        <v>0</v>
      </c>
      <c r="H1081" s="232">
        <f>ROUND(pairs[[#This Row],[ Back]]-ROUNDDOWN(pairs[[#This Row],[ Back]],0),1)</f>
        <v>0.3</v>
      </c>
      <c r="I1081" s="232">
        <f>IF( OR( OR(pairs[[#This Row],[Az*]]=0, pairs[[#This Row],[Back*]]=0), OR(pairs[[#This Row],[Az*]]=1, pairs[[#This Row],[Back*]]=1)), 1, 0)</f>
        <v>1</v>
      </c>
      <c r="J1081" s="232">
        <f>IF(OR(pairs[[#This Row],[Az*]]=0.5,pairs[[#This Row],[Back*]]=0.5),1,0)</f>
        <v>0</v>
      </c>
    </row>
    <row r="1082" spans="1:10">
      <c r="A1082" s="231" t="s">
        <v>133</v>
      </c>
      <c r="B1082" s="231" t="s">
        <v>164</v>
      </c>
      <c r="C1082" s="232"/>
      <c r="D1082" s="232">
        <v>87.59</v>
      </c>
      <c r="E1082" s="233">
        <v>0.57497100000000001</v>
      </c>
      <c r="F1082" s="234">
        <f>pairs[[#This Row],[ Dist]]*5280</f>
        <v>3035.8468800000001</v>
      </c>
      <c r="G1082" s="232">
        <f>ROUND(pairs[[#This Row],[ Az]]-ROUNDDOWN(pairs[[#This Row],[ Az]],0),1)</f>
        <v>0</v>
      </c>
      <c r="H1082" s="232">
        <f>ROUND(pairs[[#This Row],[ Back]]-ROUNDDOWN(pairs[[#This Row],[ Back]],0),1)</f>
        <v>0.6</v>
      </c>
      <c r="I1082" s="232">
        <f>IF( OR( OR(pairs[[#This Row],[Az*]]=0, pairs[[#This Row],[Back*]]=0), OR(pairs[[#This Row],[Az*]]=1, pairs[[#This Row],[Back*]]=1)), 1, 0)</f>
        <v>1</v>
      </c>
      <c r="J1082" s="232">
        <f>IF(OR(pairs[[#This Row],[Az*]]=0.5,pairs[[#This Row],[Back*]]=0.5),1,0)</f>
        <v>0</v>
      </c>
    </row>
    <row r="1083" spans="1:10" ht="14.1">
      <c r="A1083" s="206" t="s">
        <v>133</v>
      </c>
      <c r="B1083" s="206" t="s">
        <v>144</v>
      </c>
      <c r="C1083" s="235"/>
      <c r="D1083" s="235">
        <v>310.48</v>
      </c>
      <c r="E1083" s="236">
        <v>0.389297</v>
      </c>
      <c r="F1083" s="237">
        <f>pairs[[#This Row],[ Dist]]*5280</f>
        <v>2055.4881599999999</v>
      </c>
      <c r="G1083" s="235">
        <f>ROUND(pairs[[#This Row],[ Az]]-ROUNDDOWN(pairs[[#This Row],[ Az]],0),1)</f>
        <v>0</v>
      </c>
      <c r="H1083" s="235">
        <f>ROUND(pairs[[#This Row],[ Back]]-ROUNDDOWN(pairs[[#This Row],[ Back]],0),1)</f>
        <v>0.5</v>
      </c>
      <c r="I1083" s="235">
        <f>IF( OR( OR(pairs[[#This Row],[Az*]]=0, pairs[[#This Row],[Back*]]=0), OR(pairs[[#This Row],[Az*]]=1, pairs[[#This Row],[Back*]]=1)), 1, 0)</f>
        <v>1</v>
      </c>
      <c r="J1083" s="235">
        <f>IF(OR(pairs[[#This Row],[Az*]]=0.5,pairs[[#This Row],[Back*]]=0.5),1,0)</f>
        <v>1</v>
      </c>
    </row>
    <row r="1084" spans="1:10">
      <c r="A1084" s="231" t="s">
        <v>133</v>
      </c>
      <c r="B1084" s="231" t="s">
        <v>148</v>
      </c>
      <c r="C1084" s="232"/>
      <c r="D1084" s="232">
        <v>179.9</v>
      </c>
      <c r="E1084" s="233">
        <v>7.1053420000000003</v>
      </c>
      <c r="F1084" s="234">
        <f>pairs[[#This Row],[ Dist]]*5280</f>
        <v>37516.205760000004</v>
      </c>
      <c r="G1084" s="232">
        <f>ROUND(pairs[[#This Row],[ Az]]-ROUNDDOWN(pairs[[#This Row],[ Az]],0),1)</f>
        <v>0</v>
      </c>
      <c r="H1084" s="232">
        <f>ROUND(pairs[[#This Row],[ Back]]-ROUNDDOWN(pairs[[#This Row],[ Back]],0),1)</f>
        <v>0.9</v>
      </c>
      <c r="I1084" s="232">
        <f>IF( OR( OR(pairs[[#This Row],[Az*]]=0, pairs[[#This Row],[Back*]]=0), OR(pairs[[#This Row],[Az*]]=1, pairs[[#This Row],[Back*]]=1)), 1, 0)</f>
        <v>1</v>
      </c>
      <c r="J1084" s="232">
        <f>IF(OR(pairs[[#This Row],[Az*]]=0.5,pairs[[#This Row],[Back*]]=0.5),1,0)</f>
        <v>0</v>
      </c>
    </row>
    <row r="1085" spans="1:10" ht="14.1">
      <c r="A1085" s="206" t="s">
        <v>133</v>
      </c>
      <c r="B1085" s="206" t="s">
        <v>152</v>
      </c>
      <c r="C1085" s="235"/>
      <c r="D1085" s="235">
        <v>160.47</v>
      </c>
      <c r="E1085" s="236">
        <v>3.6354999999999998E-2</v>
      </c>
      <c r="F1085" s="237">
        <f>pairs[[#This Row],[ Dist]]*5280</f>
        <v>191.95439999999999</v>
      </c>
      <c r="G1085" s="235">
        <f>ROUND(pairs[[#This Row],[ Az]]-ROUNDDOWN(pairs[[#This Row],[ Az]],0),1)</f>
        <v>0</v>
      </c>
      <c r="H1085" s="235">
        <f>ROUND(pairs[[#This Row],[ Back]]-ROUNDDOWN(pairs[[#This Row],[ Back]],0),1)</f>
        <v>0.5</v>
      </c>
      <c r="I1085" s="235">
        <f>IF( OR( OR(pairs[[#This Row],[Az*]]=0, pairs[[#This Row],[Back*]]=0), OR(pairs[[#This Row],[Az*]]=1, pairs[[#This Row],[Back*]]=1)), 1, 0)</f>
        <v>1</v>
      </c>
      <c r="J1085" s="235">
        <f>IF(OR(pairs[[#This Row],[Az*]]=0.5,pairs[[#This Row],[Back*]]=0.5),1,0)</f>
        <v>1</v>
      </c>
    </row>
    <row r="1086" spans="1:10">
      <c r="A1086" s="231" t="s">
        <v>133</v>
      </c>
      <c r="B1086" s="231" t="s">
        <v>147</v>
      </c>
      <c r="C1086" s="232"/>
      <c r="D1086" s="232">
        <v>28.23</v>
      </c>
      <c r="E1086" s="233">
        <v>1.7309349999999999</v>
      </c>
      <c r="F1086" s="234">
        <f>pairs[[#This Row],[ Dist]]*5280</f>
        <v>9139.3367999999991</v>
      </c>
      <c r="G1086" s="232">
        <f>ROUND(pairs[[#This Row],[ Az]]-ROUNDDOWN(pairs[[#This Row],[ Az]],0),1)</f>
        <v>0</v>
      </c>
      <c r="H1086" s="232">
        <f>ROUND(pairs[[#This Row],[ Back]]-ROUNDDOWN(pairs[[#This Row],[ Back]],0),1)</f>
        <v>0.2</v>
      </c>
      <c r="I1086" s="232">
        <f>IF( OR( OR(pairs[[#This Row],[Az*]]=0, pairs[[#This Row],[Back*]]=0), OR(pairs[[#This Row],[Az*]]=1, pairs[[#This Row],[Back*]]=1)), 1, 0)</f>
        <v>1</v>
      </c>
      <c r="J1086" s="232">
        <f>IF(OR(pairs[[#This Row],[Az*]]=0.5,pairs[[#This Row],[Back*]]=0.5),1,0)</f>
        <v>0</v>
      </c>
    </row>
    <row r="1087" spans="1:10">
      <c r="A1087" s="231" t="s">
        <v>133</v>
      </c>
      <c r="B1087" s="231" t="s">
        <v>161</v>
      </c>
      <c r="C1087" s="232"/>
      <c r="D1087" s="232">
        <v>123.88</v>
      </c>
      <c r="E1087" s="233">
        <v>5.1262930000000004</v>
      </c>
      <c r="F1087" s="234">
        <f>pairs[[#This Row],[ Dist]]*5280</f>
        <v>27066.827040000004</v>
      </c>
      <c r="G1087" s="232">
        <f>ROUND(pairs[[#This Row],[ Az]]-ROUNDDOWN(pairs[[#This Row],[ Az]],0),1)</f>
        <v>0</v>
      </c>
      <c r="H1087" s="232">
        <f>ROUND(pairs[[#This Row],[ Back]]-ROUNDDOWN(pairs[[#This Row],[ Back]],0),1)</f>
        <v>0.9</v>
      </c>
      <c r="I1087" s="232">
        <f>IF( OR( OR(pairs[[#This Row],[Az*]]=0, pairs[[#This Row],[Back*]]=0), OR(pairs[[#This Row],[Az*]]=1, pairs[[#This Row],[Back*]]=1)), 1, 0)</f>
        <v>1</v>
      </c>
      <c r="J1087" s="232">
        <f>IF(OR(pairs[[#This Row],[Az*]]=0.5,pairs[[#This Row],[Back*]]=0.5),1,0)</f>
        <v>0</v>
      </c>
    </row>
    <row r="1088" spans="1:10">
      <c r="A1088" s="231" t="s">
        <v>133</v>
      </c>
      <c r="B1088" s="231" t="s">
        <v>162</v>
      </c>
      <c r="C1088" s="232"/>
      <c r="D1088" s="232">
        <v>174.82</v>
      </c>
      <c r="E1088" s="233">
        <v>6.5323440000000002</v>
      </c>
      <c r="F1088" s="234">
        <f>pairs[[#This Row],[ Dist]]*5280</f>
        <v>34490.776319999997</v>
      </c>
      <c r="G1088" s="232">
        <f>ROUND(pairs[[#This Row],[ Az]]-ROUNDDOWN(pairs[[#This Row],[ Az]],0),1)</f>
        <v>0</v>
      </c>
      <c r="H1088" s="232">
        <f>ROUND(pairs[[#This Row],[ Back]]-ROUNDDOWN(pairs[[#This Row],[ Back]],0),1)</f>
        <v>0.8</v>
      </c>
      <c r="I1088" s="232">
        <f>IF( OR( OR(pairs[[#This Row],[Az*]]=0, pairs[[#This Row],[Back*]]=0), OR(pairs[[#This Row],[Az*]]=1, pairs[[#This Row],[Back*]]=1)), 1, 0)</f>
        <v>1</v>
      </c>
      <c r="J1088" s="232">
        <f>IF(OR(pairs[[#This Row],[Az*]]=0.5,pairs[[#This Row],[Back*]]=0.5),1,0)</f>
        <v>0</v>
      </c>
    </row>
    <row r="1089" spans="1:10">
      <c r="A1089" s="231" t="s">
        <v>133</v>
      </c>
      <c r="B1089" s="231" t="s">
        <v>157</v>
      </c>
      <c r="C1089" s="232"/>
      <c r="D1089" s="232">
        <v>340.58</v>
      </c>
      <c r="E1089" s="233">
        <v>2.7807789999999999</v>
      </c>
      <c r="F1089" s="234">
        <f>pairs[[#This Row],[ Dist]]*5280</f>
        <v>14682.51312</v>
      </c>
      <c r="G1089" s="232">
        <f>ROUND(pairs[[#This Row],[ Az]]-ROUNDDOWN(pairs[[#This Row],[ Az]],0),1)</f>
        <v>0</v>
      </c>
      <c r="H1089" s="232">
        <f>ROUND(pairs[[#This Row],[ Back]]-ROUNDDOWN(pairs[[#This Row],[ Back]],0),1)</f>
        <v>0.6</v>
      </c>
      <c r="I1089" s="232">
        <f>IF( OR( OR(pairs[[#This Row],[Az*]]=0, pairs[[#This Row],[Back*]]=0), OR(pairs[[#This Row],[Az*]]=1, pairs[[#This Row],[Back*]]=1)), 1, 0)</f>
        <v>1</v>
      </c>
      <c r="J1089" s="232">
        <f>IF(OR(pairs[[#This Row],[Az*]]=0.5,pairs[[#This Row],[Back*]]=0.5),1,0)</f>
        <v>0</v>
      </c>
    </row>
    <row r="1090" spans="1:10">
      <c r="A1090" s="231" t="s">
        <v>133</v>
      </c>
      <c r="B1090" s="231" t="s">
        <v>149</v>
      </c>
      <c r="C1090" s="232"/>
      <c r="D1090" s="232">
        <v>359.92</v>
      </c>
      <c r="E1090" s="233">
        <v>7.0987489999999998</v>
      </c>
      <c r="F1090" s="234">
        <f>pairs[[#This Row],[ Dist]]*5280</f>
        <v>37481.394719999997</v>
      </c>
      <c r="G1090" s="232">
        <f>ROUND(pairs[[#This Row],[ Az]]-ROUNDDOWN(pairs[[#This Row],[ Az]],0),1)</f>
        <v>0</v>
      </c>
      <c r="H1090" s="232">
        <f>ROUND(pairs[[#This Row],[ Back]]-ROUNDDOWN(pairs[[#This Row],[ Back]],0),1)</f>
        <v>0.9</v>
      </c>
      <c r="I1090" s="232">
        <f>IF( OR( OR(pairs[[#This Row],[Az*]]=0, pairs[[#This Row],[Back*]]=0), OR(pairs[[#This Row],[Az*]]=1, pairs[[#This Row],[Back*]]=1)), 1, 0)</f>
        <v>1</v>
      </c>
      <c r="J1090" s="232">
        <f>IF(OR(pairs[[#This Row],[Az*]]=0.5,pairs[[#This Row],[Back*]]=0.5),1,0)</f>
        <v>0</v>
      </c>
    </row>
    <row r="1091" spans="1:10">
      <c r="A1091" s="231" t="s">
        <v>133</v>
      </c>
      <c r="B1091" s="231" t="s">
        <v>153</v>
      </c>
      <c r="C1091" s="232"/>
      <c r="D1091" s="232">
        <v>341.37</v>
      </c>
      <c r="E1091" s="233">
        <v>2.9204999999999998E-2</v>
      </c>
      <c r="F1091" s="234">
        <f>pairs[[#This Row],[ Dist]]*5280</f>
        <v>154.20239999999998</v>
      </c>
      <c r="G1091" s="232">
        <f>ROUND(pairs[[#This Row],[ Az]]-ROUNDDOWN(pairs[[#This Row],[ Az]],0),1)</f>
        <v>0</v>
      </c>
      <c r="H1091" s="232">
        <f>ROUND(pairs[[#This Row],[ Back]]-ROUNDDOWN(pairs[[#This Row],[ Back]],0),1)</f>
        <v>0.4</v>
      </c>
      <c r="I1091" s="232">
        <f>IF( OR( OR(pairs[[#This Row],[Az*]]=0, pairs[[#This Row],[Back*]]=0), OR(pairs[[#This Row],[Az*]]=1, pairs[[#This Row],[Back*]]=1)), 1, 0)</f>
        <v>1</v>
      </c>
      <c r="J1091" s="232">
        <f>IF(OR(pairs[[#This Row],[Az*]]=0.5,pairs[[#This Row],[Back*]]=0.5),1,0)</f>
        <v>0</v>
      </c>
    </row>
    <row r="1092" spans="1:10">
      <c r="A1092" s="231" t="s">
        <v>133</v>
      </c>
      <c r="B1092" s="231" t="s">
        <v>150</v>
      </c>
      <c r="C1092" s="232"/>
      <c r="D1092" s="232">
        <v>90.04</v>
      </c>
      <c r="E1092" s="233">
        <v>7.0725119999999997</v>
      </c>
      <c r="F1092" s="234">
        <f>pairs[[#This Row],[ Dist]]*5280</f>
        <v>37342.863359999996</v>
      </c>
      <c r="G1092" s="232">
        <f>ROUND(pairs[[#This Row],[ Az]]-ROUNDDOWN(pairs[[#This Row],[ Az]],0),1)</f>
        <v>0</v>
      </c>
      <c r="H1092" s="232">
        <f>ROUND(pairs[[#This Row],[ Back]]-ROUNDDOWN(pairs[[#This Row],[ Back]],0),1)</f>
        <v>0</v>
      </c>
      <c r="I1092" s="242">
        <v>0</v>
      </c>
      <c r="J1092" s="232">
        <f>IF(OR(pairs[[#This Row],[Az*]]=0.5,pairs[[#This Row],[Back*]]=0.5),1,0)</f>
        <v>0</v>
      </c>
    </row>
    <row r="1093" spans="1:10">
      <c r="A1093" s="231" t="s">
        <v>133</v>
      </c>
      <c r="B1093" s="231" t="s">
        <v>154</v>
      </c>
      <c r="C1093" s="232"/>
      <c r="D1093" s="232">
        <v>163.74</v>
      </c>
      <c r="E1093" s="233">
        <v>5.1250000000000002E-3</v>
      </c>
      <c r="F1093" s="234">
        <f>pairs[[#This Row],[ Dist]]*5280</f>
        <v>27.060000000000002</v>
      </c>
      <c r="G1093" s="232">
        <f>ROUND(pairs[[#This Row],[ Az]]-ROUNDDOWN(pairs[[#This Row],[ Az]],0),1)</f>
        <v>0</v>
      </c>
      <c r="H1093" s="232">
        <f>ROUND(pairs[[#This Row],[ Back]]-ROUNDDOWN(pairs[[#This Row],[ Back]],0),1)</f>
        <v>0.7</v>
      </c>
      <c r="I1093" s="232">
        <f>IF( OR( OR(pairs[[#This Row],[Az*]]=0, pairs[[#This Row],[Back*]]=0), OR(pairs[[#This Row],[Az*]]=1, pairs[[#This Row],[Back*]]=1)), 1, 0)</f>
        <v>1</v>
      </c>
      <c r="J1093" s="232">
        <f>IF(OR(pairs[[#This Row],[Az*]]=0.5,pairs[[#This Row],[Back*]]=0.5),1,0)</f>
        <v>0</v>
      </c>
    </row>
  </sheetData>
  <phoneticPr fontId="4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8031-B8F1-4D09-9906-D1C33A531725}">
  <dimension ref="A1:H463"/>
  <sheetViews>
    <sheetView zoomScale="130" zoomScaleNormal="130" workbookViewId="0">
      <selection activeCell="C2" sqref="C2:C239"/>
    </sheetView>
  </sheetViews>
  <sheetFormatPr defaultRowHeight="13.8" outlineLevelRow="1"/>
  <cols>
    <col min="3" max="3" width="8.76171875" style="231"/>
  </cols>
  <sheetData>
    <row r="1" spans="1:8" ht="14.1" outlineLevel="1">
      <c r="A1" s="23" t="s">
        <v>242</v>
      </c>
      <c r="B1" s="23" t="s">
        <v>243</v>
      </c>
      <c r="E1" s="2"/>
      <c r="F1" s="211"/>
    </row>
    <row r="2" spans="1:8" ht="14.1" outlineLevel="1">
      <c r="A2" t="s">
        <v>11</v>
      </c>
      <c r="B2" t="s">
        <v>149</v>
      </c>
      <c r="C2" s="232" t="str">
        <f>A2 &amp; "," &amp; B2</f>
        <v>AN, Sb</v>
      </c>
      <c r="D2" s="229"/>
      <c r="E2" s="25"/>
      <c r="F2" s="230"/>
      <c r="G2" s="32"/>
      <c r="H2" s="32"/>
    </row>
    <row r="3" spans="1:8" ht="14.1" outlineLevel="1">
      <c r="A3" t="s">
        <v>11</v>
      </c>
      <c r="B3" t="s">
        <v>157</v>
      </c>
      <c r="C3" s="232" t="str">
        <f t="shared" ref="C3:C66" si="0">A3 &amp; "," &amp; B3</f>
        <v>AN, RK</v>
      </c>
      <c r="D3" s="229"/>
      <c r="E3" s="25"/>
      <c r="F3" s="230"/>
      <c r="G3" s="32"/>
      <c r="H3" s="32"/>
    </row>
    <row r="4" spans="1:8" ht="14.1" outlineLevel="1">
      <c r="A4" t="s">
        <v>11</v>
      </c>
      <c r="B4" t="s">
        <v>152</v>
      </c>
      <c r="C4" s="232" t="str">
        <f t="shared" si="0"/>
        <v>AN, Nc</v>
      </c>
      <c r="D4" s="229"/>
      <c r="E4" s="25"/>
      <c r="F4" s="230"/>
      <c r="G4" s="32"/>
      <c r="H4" s="32"/>
    </row>
    <row r="5" spans="1:8" ht="14.1" outlineLevel="1">
      <c r="A5" t="s">
        <v>11</v>
      </c>
      <c r="B5" t="s">
        <v>150</v>
      </c>
      <c r="C5" s="232" t="str">
        <f t="shared" si="0"/>
        <v>AN, Wb</v>
      </c>
      <c r="D5" s="229"/>
      <c r="E5" s="25"/>
      <c r="F5" s="230"/>
      <c r="G5" s="32"/>
      <c r="H5" s="32"/>
    </row>
    <row r="6" spans="1:8" ht="14.1" outlineLevel="1">
      <c r="A6" t="s">
        <v>4</v>
      </c>
      <c r="B6" t="s">
        <v>164</v>
      </c>
      <c r="C6" s="232" t="str">
        <f t="shared" si="0"/>
        <v>B, K</v>
      </c>
      <c r="D6" s="229"/>
      <c r="E6" s="25"/>
      <c r="F6" s="230"/>
      <c r="G6" s="32"/>
      <c r="H6" s="32"/>
    </row>
    <row r="7" spans="1:8" ht="14.1" outlineLevel="1">
      <c r="A7" t="s">
        <v>4</v>
      </c>
      <c r="B7" t="s">
        <v>154</v>
      </c>
      <c r="C7" s="232" t="str">
        <f t="shared" si="0"/>
        <v>B, Wc</v>
      </c>
      <c r="D7" s="229"/>
      <c r="E7" s="25"/>
      <c r="F7" s="230"/>
      <c r="G7" s="32"/>
      <c r="H7" s="32"/>
    </row>
    <row r="8" spans="1:8" ht="14.1" outlineLevel="1">
      <c r="A8" t="s">
        <v>194</v>
      </c>
      <c r="B8" t="s">
        <v>170</v>
      </c>
      <c r="C8" s="232" t="str">
        <f t="shared" si="0"/>
        <v>CapA, CapJ</v>
      </c>
      <c r="D8" s="229"/>
      <c r="E8" s="25"/>
      <c r="F8" s="230"/>
      <c r="G8" s="32"/>
      <c r="H8" s="32"/>
    </row>
    <row r="9" spans="1:8" ht="14.1" outlineLevel="1">
      <c r="A9" t="s">
        <v>194</v>
      </c>
      <c r="B9" t="s">
        <v>168</v>
      </c>
      <c r="C9" s="232" t="str">
        <f t="shared" si="0"/>
        <v>CapA, CapL</v>
      </c>
      <c r="D9" s="229"/>
      <c r="E9" s="25"/>
      <c r="F9" s="230"/>
      <c r="G9" s="32"/>
      <c r="H9" s="32"/>
    </row>
    <row r="10" spans="1:8" ht="14.1" outlineLevel="1">
      <c r="A10" t="s">
        <v>194</v>
      </c>
      <c r="B10" t="s">
        <v>174</v>
      </c>
      <c r="C10" s="232" t="str">
        <f t="shared" si="0"/>
        <v>CapA, CapF</v>
      </c>
      <c r="D10" s="229"/>
      <c r="E10" s="25"/>
      <c r="F10" s="230"/>
      <c r="G10" s="32"/>
      <c r="H10" s="32"/>
    </row>
    <row r="11" spans="1:8" ht="14.1" outlineLevel="1">
      <c r="A11" t="s">
        <v>192</v>
      </c>
      <c r="B11" t="s">
        <v>169</v>
      </c>
      <c r="C11" s="232" t="str">
        <f t="shared" si="0"/>
        <v>CapC, CapK</v>
      </c>
      <c r="D11" s="229"/>
      <c r="E11" s="25"/>
      <c r="F11" s="230"/>
      <c r="G11" s="32"/>
      <c r="H11" s="32"/>
    </row>
    <row r="12" spans="1:8" ht="14.1" outlineLevel="1">
      <c r="A12" t="s">
        <v>190</v>
      </c>
      <c r="B12" t="s">
        <v>168</v>
      </c>
      <c r="C12" s="232" t="str">
        <f t="shared" si="0"/>
        <v>CapE, CapL</v>
      </c>
      <c r="D12" s="229"/>
      <c r="E12" s="25"/>
      <c r="F12" s="230"/>
      <c r="G12" s="32"/>
      <c r="H12" s="32"/>
    </row>
    <row r="13" spans="1:8" ht="14.1" outlineLevel="1">
      <c r="A13" t="s">
        <v>189</v>
      </c>
      <c r="B13" t="s">
        <v>179</v>
      </c>
      <c r="C13" s="232" t="str">
        <f t="shared" si="0"/>
        <v>CapF, CapA</v>
      </c>
      <c r="D13" s="229"/>
      <c r="E13" s="25"/>
      <c r="F13" s="230"/>
      <c r="G13" s="32"/>
      <c r="H13" s="32"/>
    </row>
    <row r="14" spans="1:8" s="23" customFormat="1" ht="14.1" outlineLevel="1">
      <c r="A14" t="s">
        <v>188</v>
      </c>
      <c r="B14" t="s">
        <v>171</v>
      </c>
      <c r="C14" s="232" t="str">
        <f t="shared" si="0"/>
        <v>CapG, CapI</v>
      </c>
      <c r="D14" s="229"/>
      <c r="E14" s="25"/>
      <c r="F14" s="230"/>
      <c r="G14" s="229"/>
      <c r="H14" s="229"/>
    </row>
    <row r="15" spans="1:8" s="23" customFormat="1" ht="14.1" outlineLevel="1">
      <c r="A15" t="s">
        <v>186</v>
      </c>
      <c r="B15" t="s">
        <v>173</v>
      </c>
      <c r="C15" s="232" t="str">
        <f t="shared" si="0"/>
        <v>CapI, CapG</v>
      </c>
      <c r="D15" s="229"/>
      <c r="E15" s="25"/>
      <c r="F15" s="230"/>
      <c r="G15" s="229"/>
      <c r="H15" s="229"/>
    </row>
    <row r="16" spans="1:8" ht="14.1" outlineLevel="1">
      <c r="A16" t="s">
        <v>185</v>
      </c>
      <c r="B16" t="s">
        <v>179</v>
      </c>
      <c r="C16" s="232" t="str">
        <f t="shared" si="0"/>
        <v>CapJ, CapA</v>
      </c>
      <c r="D16" s="229"/>
      <c r="E16" s="25"/>
      <c r="F16" s="230"/>
      <c r="G16" s="32"/>
      <c r="H16" s="32"/>
    </row>
    <row r="17" spans="1:8" outlineLevel="1">
      <c r="A17" t="s">
        <v>184</v>
      </c>
      <c r="B17" t="s">
        <v>168</v>
      </c>
      <c r="C17" s="232" t="str">
        <f t="shared" si="0"/>
        <v>CapK, CapL</v>
      </c>
      <c r="D17" s="32"/>
      <c r="E17" s="2"/>
      <c r="F17" s="211"/>
      <c r="G17" s="32"/>
      <c r="H17" s="32"/>
    </row>
    <row r="18" spans="1:8" ht="14.1" outlineLevel="1">
      <c r="A18" t="s">
        <v>184</v>
      </c>
      <c r="B18" t="s">
        <v>177</v>
      </c>
      <c r="C18" s="232" t="str">
        <f t="shared" si="0"/>
        <v>CapK, CapC</v>
      </c>
      <c r="D18" s="229"/>
      <c r="E18" s="25"/>
      <c r="F18" s="230"/>
      <c r="G18" s="32"/>
      <c r="H18" s="32"/>
    </row>
    <row r="19" spans="1:8" ht="14.1" outlineLevel="1">
      <c r="A19" t="s">
        <v>183</v>
      </c>
      <c r="B19" t="s">
        <v>166</v>
      </c>
      <c r="C19" s="232" t="str">
        <f t="shared" si="0"/>
        <v>CapL, CapN</v>
      </c>
      <c r="D19" s="222"/>
      <c r="E19" s="223"/>
      <c r="F19" s="224"/>
      <c r="G19" s="32"/>
      <c r="H19" s="32"/>
    </row>
    <row r="20" spans="1:8" ht="14.1" outlineLevel="1">
      <c r="A20" t="s">
        <v>183</v>
      </c>
      <c r="B20" t="s">
        <v>175</v>
      </c>
      <c r="C20" s="232" t="str">
        <f t="shared" si="0"/>
        <v>CapL, CapE</v>
      </c>
      <c r="D20" s="222"/>
      <c r="E20" s="223"/>
      <c r="F20" s="224"/>
      <c r="G20" s="32"/>
      <c r="H20" s="32"/>
    </row>
    <row r="21" spans="1:8" ht="14.1" outlineLevel="1">
      <c r="A21" t="s">
        <v>183</v>
      </c>
      <c r="B21" t="s">
        <v>179</v>
      </c>
      <c r="C21" s="232" t="str">
        <f t="shared" si="0"/>
        <v>CapL, CapA</v>
      </c>
      <c r="D21" s="222"/>
      <c r="E21" s="223"/>
      <c r="F21" s="224"/>
      <c r="G21" s="32"/>
      <c r="H21" s="32"/>
    </row>
    <row r="22" spans="1:8" ht="14.1" outlineLevel="1">
      <c r="A22" t="s">
        <v>183</v>
      </c>
      <c r="B22" t="s">
        <v>169</v>
      </c>
      <c r="C22" s="232" t="str">
        <f t="shared" si="0"/>
        <v>CapL, CapK</v>
      </c>
      <c r="D22" s="222"/>
      <c r="E22" s="223"/>
      <c r="F22" s="224"/>
      <c r="G22" s="32"/>
      <c r="H22" s="32"/>
    </row>
    <row r="23" spans="1:8" ht="14.1" outlineLevel="1">
      <c r="A23" t="s">
        <v>180</v>
      </c>
      <c r="B23" t="s">
        <v>168</v>
      </c>
      <c r="C23" s="232" t="str">
        <f t="shared" si="0"/>
        <v>CapN, CapL</v>
      </c>
      <c r="D23" s="222"/>
      <c r="E23" s="223"/>
      <c r="F23" s="224"/>
      <c r="G23" s="32"/>
      <c r="H23" s="32"/>
    </row>
    <row r="24" spans="1:8" ht="14.1" outlineLevel="1">
      <c r="A24" t="s">
        <v>124</v>
      </c>
      <c r="B24" t="s">
        <v>149</v>
      </c>
      <c r="C24" s="232" t="str">
        <f t="shared" si="0"/>
        <v>Eb, Sb</v>
      </c>
      <c r="D24" s="229"/>
      <c r="E24" s="25"/>
      <c r="F24" s="230"/>
      <c r="G24" s="32"/>
      <c r="H24" s="32"/>
    </row>
    <row r="25" spans="1:8" ht="14.1" outlineLevel="1">
      <c r="A25" t="s">
        <v>124</v>
      </c>
      <c r="B25" t="s">
        <v>157</v>
      </c>
      <c r="C25" s="232" t="str">
        <f t="shared" si="0"/>
        <v>Eb, RK</v>
      </c>
      <c r="D25" s="229"/>
      <c r="E25" s="25"/>
      <c r="F25" s="230"/>
      <c r="G25" s="32"/>
      <c r="H25" s="32"/>
    </row>
    <row r="26" spans="1:8" outlineLevel="1">
      <c r="A26" t="s">
        <v>124</v>
      </c>
      <c r="B26" t="s">
        <v>144</v>
      </c>
      <c r="C26" s="232" t="str">
        <f t="shared" si="0"/>
        <v>Eb, M</v>
      </c>
      <c r="D26" s="232"/>
      <c r="E26" s="233"/>
      <c r="F26" s="234"/>
      <c r="G26" s="32"/>
      <c r="H26" s="32"/>
    </row>
    <row r="27" spans="1:8" ht="14.1" outlineLevel="1">
      <c r="A27" t="s">
        <v>124</v>
      </c>
      <c r="B27" t="s">
        <v>143</v>
      </c>
      <c r="C27" s="232" t="str">
        <f t="shared" si="0"/>
        <v>Eb, B</v>
      </c>
      <c r="D27" s="229"/>
      <c r="E27" s="25"/>
      <c r="F27" s="230"/>
      <c r="G27" s="32"/>
      <c r="H27" s="32"/>
    </row>
    <row r="28" spans="1:8" ht="14.1" outlineLevel="1">
      <c r="A28" t="s">
        <v>124</v>
      </c>
      <c r="B28" t="s">
        <v>153</v>
      </c>
      <c r="C28" s="232" t="str">
        <f t="shared" si="0"/>
        <v>Eb, Sc</v>
      </c>
      <c r="D28" s="229"/>
      <c r="E28" s="25"/>
      <c r="F28" s="230"/>
      <c r="G28" s="32"/>
      <c r="H28" s="32"/>
    </row>
    <row r="29" spans="1:8" ht="14.1" outlineLevel="1">
      <c r="A29" t="s">
        <v>124</v>
      </c>
      <c r="B29" t="s">
        <v>164</v>
      </c>
      <c r="C29" s="232" t="str">
        <f t="shared" si="0"/>
        <v>Eb, K</v>
      </c>
      <c r="D29" s="229"/>
      <c r="E29" s="25"/>
      <c r="F29" s="230"/>
      <c r="G29" s="32"/>
      <c r="H29" s="32"/>
    </row>
    <row r="30" spans="1:8" ht="14.1" outlineLevel="1">
      <c r="A30" t="s">
        <v>124</v>
      </c>
      <c r="B30" t="s">
        <v>155</v>
      </c>
      <c r="C30" s="232" t="str">
        <f t="shared" si="0"/>
        <v>Eb, Ec</v>
      </c>
      <c r="D30" s="229"/>
      <c r="E30" s="25"/>
      <c r="F30" s="230"/>
      <c r="G30" s="32"/>
      <c r="H30" s="32"/>
    </row>
    <row r="31" spans="1:8" ht="14.1" outlineLevel="1">
      <c r="A31" t="s">
        <v>124</v>
      </c>
      <c r="B31" t="s">
        <v>150</v>
      </c>
      <c r="C31" s="232" t="str">
        <f t="shared" si="0"/>
        <v>Eb, Wb</v>
      </c>
      <c r="D31" s="229"/>
      <c r="E31" s="25"/>
      <c r="F31" s="230"/>
      <c r="G31" s="32"/>
      <c r="H31" s="32"/>
    </row>
    <row r="32" spans="1:8" outlineLevel="1">
      <c r="A32" t="s">
        <v>128</v>
      </c>
      <c r="B32" t="s">
        <v>151</v>
      </c>
      <c r="C32" s="232" t="str">
        <f t="shared" si="0"/>
        <v>Ec, Eb</v>
      </c>
      <c r="D32" s="32"/>
      <c r="E32" s="2"/>
      <c r="F32" s="211"/>
      <c r="G32" s="32"/>
      <c r="H32" s="32"/>
    </row>
    <row r="33" spans="1:8" ht="14.1" outlineLevel="1">
      <c r="A33" t="s">
        <v>128</v>
      </c>
      <c r="B33" t="s">
        <v>145</v>
      </c>
      <c r="C33" s="232" t="str">
        <f t="shared" si="0"/>
        <v>Ec, J</v>
      </c>
      <c r="D33" s="229"/>
      <c r="E33" s="25"/>
      <c r="F33" s="230"/>
      <c r="G33" s="32"/>
      <c r="H33" s="32"/>
    </row>
    <row r="34" spans="1:8" ht="14.1" outlineLevel="1">
      <c r="A34" t="s">
        <v>128</v>
      </c>
      <c r="B34" t="s">
        <v>149</v>
      </c>
      <c r="C34" s="232" t="str">
        <f t="shared" si="0"/>
        <v>Ec, Sb</v>
      </c>
      <c r="D34" s="229"/>
      <c r="E34" s="25"/>
      <c r="F34" s="230"/>
      <c r="G34" s="32"/>
      <c r="H34" s="32"/>
    </row>
    <row r="35" spans="1:8" ht="14.1" outlineLevel="1">
      <c r="A35" t="s">
        <v>134</v>
      </c>
      <c r="B35" t="s">
        <v>145</v>
      </c>
      <c r="C35" s="232" t="str">
        <f t="shared" si="0"/>
        <v>HawC, J</v>
      </c>
      <c r="D35" s="229"/>
      <c r="E35" s="25"/>
      <c r="F35" s="230"/>
      <c r="G35" s="32"/>
      <c r="H35" s="32"/>
    </row>
    <row r="36" spans="1:8" ht="14.1" outlineLevel="1">
      <c r="A36" t="s">
        <v>134</v>
      </c>
      <c r="B36" t="s">
        <v>162</v>
      </c>
      <c r="C36" s="232" t="str">
        <f t="shared" si="0"/>
        <v>HawC, RC</v>
      </c>
      <c r="D36" s="229"/>
      <c r="E36" s="25"/>
      <c r="F36" s="230"/>
      <c r="G36" s="32"/>
      <c r="H36" s="32"/>
    </row>
    <row r="37" spans="1:8" ht="14.1" outlineLevel="1">
      <c r="A37" t="s">
        <v>135</v>
      </c>
      <c r="B37" t="s">
        <v>161</v>
      </c>
      <c r="C37" s="232" t="str">
        <f t="shared" si="0"/>
        <v>HawK, PO</v>
      </c>
      <c r="D37" s="229"/>
      <c r="E37" s="25"/>
      <c r="F37" s="230"/>
      <c r="G37" s="32"/>
      <c r="H37" s="32"/>
    </row>
    <row r="38" spans="1:8" outlineLevel="1">
      <c r="A38" t="s">
        <v>136</v>
      </c>
      <c r="B38" t="s">
        <v>144</v>
      </c>
      <c r="C38" s="232" t="str">
        <f t="shared" si="0"/>
        <v>HawW, M</v>
      </c>
      <c r="D38" s="32"/>
      <c r="E38" s="2"/>
      <c r="F38" s="211"/>
      <c r="G38" s="32"/>
      <c r="H38" s="32"/>
    </row>
    <row r="39" spans="1:8" outlineLevel="1">
      <c r="A39" t="s">
        <v>136</v>
      </c>
      <c r="B39" t="s">
        <v>147</v>
      </c>
      <c r="C39" s="232" t="str">
        <f t="shared" si="0"/>
        <v>HawW, P</v>
      </c>
      <c r="D39" s="32"/>
      <c r="E39" s="2"/>
      <c r="F39" s="211"/>
      <c r="G39" s="32"/>
      <c r="H39" s="32"/>
    </row>
    <row r="40" spans="1:8" outlineLevel="1">
      <c r="A40" t="s">
        <v>101</v>
      </c>
      <c r="B40" t="s">
        <v>164</v>
      </c>
      <c r="C40" s="232" t="str">
        <f t="shared" si="0"/>
        <v>Hk, K</v>
      </c>
      <c r="D40" s="32"/>
      <c r="E40" s="2"/>
      <c r="F40" s="211"/>
      <c r="G40" s="32"/>
      <c r="H40" s="32"/>
    </row>
    <row r="41" spans="1:8" ht="14.1" outlineLevel="1">
      <c r="A41" t="s">
        <v>17</v>
      </c>
      <c r="B41" t="s">
        <v>158</v>
      </c>
      <c r="C41" s="232" t="str">
        <f t="shared" si="0"/>
        <v>J, HawC</v>
      </c>
      <c r="D41" s="229"/>
      <c r="E41" s="25"/>
      <c r="F41" s="230"/>
      <c r="G41" s="32"/>
      <c r="H41" s="32"/>
    </row>
    <row r="42" spans="1:8" outlineLevel="1">
      <c r="A42" t="s">
        <v>17</v>
      </c>
      <c r="B42" t="s">
        <v>155</v>
      </c>
      <c r="C42" s="232" t="str">
        <f t="shared" si="0"/>
        <v>J, Ec</v>
      </c>
      <c r="D42" s="32"/>
      <c r="E42" s="2"/>
      <c r="F42" s="211"/>
      <c r="G42" s="32"/>
      <c r="H42" s="32"/>
    </row>
    <row r="43" spans="1:8" ht="14.1" outlineLevel="1">
      <c r="A43" t="s">
        <v>16</v>
      </c>
      <c r="B43" t="s">
        <v>146</v>
      </c>
      <c r="C43" s="232" t="str">
        <f t="shared" si="0"/>
        <v>K, Hk</v>
      </c>
      <c r="D43" s="229"/>
      <c r="E43" s="25"/>
      <c r="F43" s="230"/>
      <c r="G43" s="32"/>
      <c r="H43" s="32"/>
    </row>
    <row r="44" spans="1:8" ht="14.1" outlineLevel="1">
      <c r="A44" t="s">
        <v>16</v>
      </c>
      <c r="B44" t="s">
        <v>151</v>
      </c>
      <c r="C44" s="232" t="str">
        <f t="shared" si="0"/>
        <v>K, Eb</v>
      </c>
      <c r="D44" s="229"/>
      <c r="E44" s="25"/>
      <c r="F44" s="230"/>
      <c r="G44" s="32"/>
      <c r="H44" s="32"/>
    </row>
    <row r="45" spans="1:8" ht="14.1" outlineLevel="1">
      <c r="A45" t="s">
        <v>16</v>
      </c>
      <c r="B45" t="s">
        <v>143</v>
      </c>
      <c r="C45" s="232" t="str">
        <f t="shared" si="0"/>
        <v>K, B</v>
      </c>
      <c r="D45" s="229"/>
      <c r="E45" s="25"/>
      <c r="F45" s="230"/>
      <c r="G45" s="32"/>
      <c r="H45" s="32"/>
    </row>
    <row r="46" spans="1:8" ht="14.1" outlineLevel="1">
      <c r="A46" t="s">
        <v>16</v>
      </c>
      <c r="B46" t="s">
        <v>157</v>
      </c>
      <c r="C46" s="232" t="str">
        <f t="shared" si="0"/>
        <v>K, RK</v>
      </c>
      <c r="D46" s="229"/>
      <c r="E46" s="25"/>
      <c r="F46" s="230"/>
      <c r="G46" s="32"/>
      <c r="H46" s="32"/>
    </row>
    <row r="47" spans="1:8" ht="14.1" outlineLevel="1">
      <c r="A47" t="s">
        <v>195</v>
      </c>
      <c r="B47" t="s">
        <v>214</v>
      </c>
      <c r="C47" s="232" t="str">
        <f t="shared" si="0"/>
        <v>LP1, LPc</v>
      </c>
      <c r="D47" s="229"/>
      <c r="E47" s="25"/>
      <c r="F47" s="230"/>
      <c r="G47" s="32"/>
      <c r="H47" s="32"/>
    </row>
    <row r="48" spans="1:8" ht="14.1" outlineLevel="1">
      <c r="A48" t="s">
        <v>216</v>
      </c>
      <c r="B48" t="s">
        <v>204</v>
      </c>
      <c r="C48" s="232" t="str">
        <f t="shared" si="0"/>
        <v>LP2, LPa</v>
      </c>
      <c r="D48" s="229"/>
      <c r="E48" s="25"/>
      <c r="F48" s="230"/>
      <c r="G48" s="32"/>
      <c r="H48" s="32"/>
    </row>
    <row r="49" spans="1:8" ht="14.1" outlineLevel="1">
      <c r="A49" t="s">
        <v>216</v>
      </c>
      <c r="B49" t="s">
        <v>200</v>
      </c>
      <c r="C49" s="232" t="str">
        <f t="shared" si="0"/>
        <v>LP2, LP6</v>
      </c>
      <c r="D49" s="229"/>
      <c r="E49" s="25"/>
      <c r="F49" s="230"/>
      <c r="G49" s="32"/>
      <c r="H49" s="32"/>
    </row>
    <row r="50" spans="1:8" ht="14.1" outlineLevel="1">
      <c r="A50" t="s">
        <v>216</v>
      </c>
      <c r="B50" t="s">
        <v>212</v>
      </c>
      <c r="C50" s="232" t="str">
        <f t="shared" si="0"/>
        <v>LP2, LPe</v>
      </c>
      <c r="D50" s="229"/>
      <c r="E50" s="25"/>
      <c r="F50" s="230"/>
      <c r="G50" s="32"/>
      <c r="H50" s="32"/>
    </row>
    <row r="51" spans="1:8" ht="14.1" outlineLevel="1">
      <c r="A51" t="s">
        <v>216</v>
      </c>
      <c r="B51" t="s">
        <v>209</v>
      </c>
      <c r="C51" s="232" t="str">
        <f t="shared" si="0"/>
        <v>LP2, LPh</v>
      </c>
      <c r="D51" s="229"/>
      <c r="E51" s="25"/>
      <c r="F51" s="230"/>
      <c r="G51" s="32"/>
      <c r="H51" s="32"/>
    </row>
    <row r="52" spans="1:8" ht="14.1" outlineLevel="1">
      <c r="A52" t="s">
        <v>218</v>
      </c>
      <c r="B52" t="s">
        <v>214</v>
      </c>
      <c r="C52" s="232" t="str">
        <f t="shared" si="0"/>
        <v>LP3, LPc</v>
      </c>
      <c r="D52" s="229"/>
      <c r="E52" s="25"/>
      <c r="F52" s="230"/>
      <c r="G52" s="32"/>
      <c r="H52" s="32"/>
    </row>
    <row r="53" spans="1:8" ht="14.1" outlineLevel="1">
      <c r="A53" t="s">
        <v>218</v>
      </c>
      <c r="B53" t="s">
        <v>198</v>
      </c>
      <c r="C53" s="232" t="str">
        <f t="shared" si="0"/>
        <v>LP3, LP4</v>
      </c>
      <c r="D53" s="229"/>
      <c r="E53" s="25"/>
      <c r="F53" s="230"/>
      <c r="G53" s="32"/>
      <c r="H53" s="32"/>
    </row>
    <row r="54" spans="1:8" ht="14.1" outlineLevel="1">
      <c r="A54" t="s">
        <v>218</v>
      </c>
      <c r="B54" t="s">
        <v>199</v>
      </c>
      <c r="C54" s="232" t="str">
        <f t="shared" si="0"/>
        <v>LP3, LP5</v>
      </c>
      <c r="D54" s="229"/>
      <c r="E54" s="25"/>
      <c r="F54" s="230"/>
      <c r="G54" s="32"/>
      <c r="H54" s="32"/>
    </row>
    <row r="55" spans="1:8" ht="14.1" outlineLevel="1">
      <c r="A55" t="s">
        <v>218</v>
      </c>
      <c r="B55" t="s">
        <v>202</v>
      </c>
      <c r="C55" s="232" t="str">
        <f t="shared" si="0"/>
        <v>LP3, LP8</v>
      </c>
      <c r="D55" s="229"/>
      <c r="E55" s="25"/>
      <c r="F55" s="230"/>
      <c r="G55" s="32"/>
      <c r="H55" s="32"/>
    </row>
    <row r="56" spans="1:8" ht="14.1" outlineLevel="1">
      <c r="A56" t="s">
        <v>218</v>
      </c>
      <c r="B56" t="s">
        <v>203</v>
      </c>
      <c r="C56" s="232" t="str">
        <f t="shared" si="0"/>
        <v>LP3, LP9</v>
      </c>
      <c r="D56" s="229"/>
      <c r="E56" s="25"/>
      <c r="F56" s="230"/>
      <c r="G56" s="32"/>
      <c r="H56" s="32"/>
    </row>
    <row r="57" spans="1:8" ht="14.1" outlineLevel="1">
      <c r="A57" t="s">
        <v>218</v>
      </c>
      <c r="B57" t="s">
        <v>210</v>
      </c>
      <c r="C57" s="232" t="str">
        <f t="shared" si="0"/>
        <v>LP3, LPg</v>
      </c>
      <c r="D57" s="229"/>
      <c r="E57" s="25"/>
      <c r="F57" s="230"/>
      <c r="G57" s="32"/>
      <c r="H57" s="32"/>
    </row>
    <row r="58" spans="1:8" ht="14.1" outlineLevel="1">
      <c r="A58" t="s">
        <v>219</v>
      </c>
      <c r="B58" t="s">
        <v>207</v>
      </c>
      <c r="C58" s="232" t="str">
        <f t="shared" si="0"/>
        <v>LP4, LPj</v>
      </c>
      <c r="D58" s="229"/>
      <c r="E58" s="25"/>
      <c r="F58" s="230"/>
      <c r="G58" s="32"/>
      <c r="H58" s="32"/>
    </row>
    <row r="59" spans="1:8" ht="14.1" outlineLevel="1">
      <c r="A59" t="s">
        <v>219</v>
      </c>
      <c r="B59" t="s">
        <v>197</v>
      </c>
      <c r="C59" s="232" t="str">
        <f t="shared" si="0"/>
        <v>LP4, LP3</v>
      </c>
      <c r="D59" s="229"/>
      <c r="E59" s="25"/>
      <c r="F59" s="230"/>
      <c r="G59" s="32"/>
      <c r="H59" s="32"/>
    </row>
    <row r="60" spans="1:8" outlineLevel="1">
      <c r="A60" t="s">
        <v>220</v>
      </c>
      <c r="B60" t="s">
        <v>207</v>
      </c>
      <c r="C60" s="232" t="str">
        <f t="shared" si="0"/>
        <v>LP5, LPj</v>
      </c>
      <c r="D60" s="32"/>
      <c r="E60" s="2"/>
      <c r="F60" s="211"/>
      <c r="G60" s="32"/>
      <c r="H60" s="32"/>
    </row>
    <row r="61" spans="1:8" outlineLevel="1">
      <c r="A61" t="s">
        <v>220</v>
      </c>
      <c r="B61" t="s">
        <v>197</v>
      </c>
      <c r="C61" s="232" t="str">
        <f t="shared" si="0"/>
        <v>LP5, LP3</v>
      </c>
      <c r="D61" s="32"/>
      <c r="E61" s="2"/>
      <c r="F61" s="211"/>
      <c r="G61" s="32"/>
      <c r="H61" s="32"/>
    </row>
    <row r="62" spans="1:8" outlineLevel="1">
      <c r="A62" t="s">
        <v>220</v>
      </c>
      <c r="B62" t="s">
        <v>211</v>
      </c>
      <c r="C62" s="232" t="str">
        <f t="shared" si="0"/>
        <v>LP5, LPf</v>
      </c>
      <c r="D62" s="32"/>
      <c r="E62" s="2"/>
      <c r="F62" s="211"/>
      <c r="G62" s="32"/>
      <c r="H62" s="32"/>
    </row>
    <row r="63" spans="1:8" outlineLevel="1">
      <c r="A63" t="s">
        <v>220</v>
      </c>
      <c r="B63" t="s">
        <v>210</v>
      </c>
      <c r="C63" s="232" t="str">
        <f t="shared" si="0"/>
        <v>LP5, LPg</v>
      </c>
      <c r="D63" s="32"/>
      <c r="E63" s="2"/>
      <c r="F63" s="211"/>
      <c r="G63" s="32"/>
      <c r="H63" s="32"/>
    </row>
    <row r="64" spans="1:8" outlineLevel="1">
      <c r="A64" t="s">
        <v>221</v>
      </c>
      <c r="B64" t="s">
        <v>206</v>
      </c>
      <c r="C64" s="232" t="str">
        <f t="shared" si="0"/>
        <v>LP6, LPk</v>
      </c>
      <c r="D64" s="32"/>
      <c r="E64" s="2"/>
      <c r="F64" s="211"/>
      <c r="G64" s="32"/>
      <c r="H64" s="32"/>
    </row>
    <row r="65" spans="1:8" outlineLevel="1">
      <c r="A65" t="s">
        <v>221</v>
      </c>
      <c r="B65" t="s">
        <v>196</v>
      </c>
      <c r="C65" s="232" t="str">
        <f t="shared" si="0"/>
        <v>LP6, LP2</v>
      </c>
      <c r="D65" s="32"/>
      <c r="E65" s="2"/>
      <c r="F65" s="211"/>
      <c r="G65" s="32"/>
      <c r="H65" s="32"/>
    </row>
    <row r="66" spans="1:8" outlineLevel="1">
      <c r="A66" t="s">
        <v>223</v>
      </c>
      <c r="B66" t="s">
        <v>197</v>
      </c>
      <c r="C66" s="232" t="str">
        <f t="shared" si="0"/>
        <v>LP8, LP3</v>
      </c>
      <c r="D66" s="32"/>
      <c r="E66" s="2"/>
      <c r="F66" s="211"/>
      <c r="G66" s="32"/>
      <c r="H66" s="32"/>
    </row>
    <row r="67" spans="1:8" outlineLevel="1">
      <c r="A67" t="s">
        <v>223</v>
      </c>
      <c r="B67" t="s">
        <v>211</v>
      </c>
      <c r="C67" s="232" t="str">
        <f t="shared" ref="C67:C130" si="1">A67 &amp; "," &amp; B67</f>
        <v>LP8, LPf</v>
      </c>
      <c r="D67" s="32"/>
      <c r="E67" s="2"/>
      <c r="F67" s="211"/>
      <c r="G67" s="32"/>
      <c r="H67" s="32"/>
    </row>
    <row r="68" spans="1:8" outlineLevel="1">
      <c r="A68" t="s">
        <v>224</v>
      </c>
      <c r="B68" t="s">
        <v>197</v>
      </c>
      <c r="C68" s="232" t="str">
        <f t="shared" si="1"/>
        <v>LP9, LP3</v>
      </c>
      <c r="D68" s="32"/>
      <c r="E68" s="2"/>
      <c r="F68" s="211"/>
      <c r="G68" s="32"/>
      <c r="H68" s="32"/>
    </row>
    <row r="69" spans="1:8" outlineLevel="1">
      <c r="A69" t="s">
        <v>225</v>
      </c>
      <c r="B69" t="s">
        <v>207</v>
      </c>
      <c r="C69" s="232" t="str">
        <f t="shared" si="1"/>
        <v>LPa, LPj</v>
      </c>
      <c r="D69" s="32"/>
      <c r="E69" s="2"/>
      <c r="F69" s="211"/>
      <c r="G69" s="32"/>
      <c r="H69" s="32"/>
    </row>
    <row r="70" spans="1:8" ht="14.1" outlineLevel="1">
      <c r="A70" t="s">
        <v>225</v>
      </c>
      <c r="B70" t="s">
        <v>212</v>
      </c>
      <c r="C70" s="232" t="str">
        <f t="shared" si="1"/>
        <v>LPa, LPe</v>
      </c>
      <c r="D70" s="235"/>
      <c r="E70" s="236"/>
      <c r="F70" s="237"/>
      <c r="G70" s="32"/>
      <c r="H70" s="32"/>
    </row>
    <row r="71" spans="1:8" outlineLevel="1">
      <c r="A71" t="s">
        <v>225</v>
      </c>
      <c r="B71" t="s">
        <v>211</v>
      </c>
      <c r="C71" s="232" t="str">
        <f t="shared" si="1"/>
        <v>LPa, LPf</v>
      </c>
      <c r="D71" s="32"/>
      <c r="E71" s="2"/>
      <c r="F71" s="211"/>
      <c r="G71" s="32"/>
      <c r="H71" s="32"/>
    </row>
    <row r="72" spans="1:8" ht="14.1" outlineLevel="1">
      <c r="A72" t="s">
        <v>225</v>
      </c>
      <c r="B72" t="s">
        <v>196</v>
      </c>
      <c r="C72" s="232" t="str">
        <f t="shared" si="1"/>
        <v>LPa, LP2</v>
      </c>
      <c r="D72" s="235"/>
      <c r="E72" s="236"/>
      <c r="F72" s="237"/>
      <c r="G72" s="32"/>
      <c r="H72" s="32"/>
    </row>
    <row r="73" spans="1:8" outlineLevel="1">
      <c r="A73" t="s">
        <v>235</v>
      </c>
      <c r="B73" t="s">
        <v>197</v>
      </c>
      <c r="C73" s="232" t="str">
        <f t="shared" si="1"/>
        <v>LPc, LP3</v>
      </c>
      <c r="D73" s="32"/>
      <c r="E73" s="2"/>
      <c r="F73" s="211"/>
      <c r="G73" s="32"/>
      <c r="H73" s="32"/>
    </row>
    <row r="74" spans="1:8" outlineLevel="1">
      <c r="A74" t="s">
        <v>235</v>
      </c>
      <c r="B74" t="s">
        <v>217</v>
      </c>
      <c r="C74" s="232" t="str">
        <f t="shared" si="1"/>
        <v>LPc, LP1</v>
      </c>
      <c r="D74" s="32"/>
      <c r="E74" s="2"/>
      <c r="F74" s="211"/>
      <c r="G74" s="32"/>
      <c r="H74" s="32"/>
    </row>
    <row r="75" spans="1:8" outlineLevel="1">
      <c r="A75" t="s">
        <v>235</v>
      </c>
      <c r="B75" t="s">
        <v>210</v>
      </c>
      <c r="C75" s="232" t="str">
        <f t="shared" si="1"/>
        <v>LPc, LPg</v>
      </c>
      <c r="D75" s="32"/>
      <c r="E75" s="2"/>
      <c r="F75" s="211"/>
      <c r="G75" s="32"/>
      <c r="H75" s="32"/>
    </row>
    <row r="76" spans="1:8" outlineLevel="1">
      <c r="A76" t="s">
        <v>233</v>
      </c>
      <c r="B76" t="s">
        <v>211</v>
      </c>
      <c r="C76" s="232" t="str">
        <f t="shared" si="1"/>
        <v>LPe, LPf</v>
      </c>
      <c r="D76" s="32"/>
      <c r="E76" s="2"/>
      <c r="F76" s="211"/>
      <c r="G76" s="32"/>
      <c r="H76" s="32"/>
    </row>
    <row r="77" spans="1:8" outlineLevel="1">
      <c r="A77" t="s">
        <v>233</v>
      </c>
      <c r="B77" t="s">
        <v>210</v>
      </c>
      <c r="C77" s="232" t="str">
        <f t="shared" si="1"/>
        <v>LPe, LPg</v>
      </c>
      <c r="D77" s="32"/>
      <c r="E77" s="2"/>
      <c r="F77" s="211"/>
      <c r="G77" s="32"/>
      <c r="H77" s="32"/>
    </row>
    <row r="78" spans="1:8" outlineLevel="1">
      <c r="A78" t="s">
        <v>233</v>
      </c>
      <c r="B78" t="s">
        <v>196</v>
      </c>
      <c r="C78" s="232" t="str">
        <f t="shared" si="1"/>
        <v>LPe, LP2</v>
      </c>
      <c r="D78" s="32"/>
      <c r="E78" s="2"/>
      <c r="F78" s="211"/>
      <c r="G78" s="32"/>
      <c r="H78" s="32"/>
    </row>
    <row r="79" spans="1:8" outlineLevel="1">
      <c r="A79" t="s">
        <v>233</v>
      </c>
      <c r="B79" t="s">
        <v>204</v>
      </c>
      <c r="C79" s="232" t="str">
        <f t="shared" si="1"/>
        <v>LPe, LPa</v>
      </c>
      <c r="D79" s="32"/>
      <c r="E79" s="2"/>
      <c r="F79" s="211"/>
      <c r="G79" s="32"/>
      <c r="H79" s="32"/>
    </row>
    <row r="80" spans="1:8" outlineLevel="1">
      <c r="A80" t="s">
        <v>232</v>
      </c>
      <c r="B80" t="s">
        <v>199</v>
      </c>
      <c r="C80" s="232" t="str">
        <f t="shared" si="1"/>
        <v>LPf, LP5</v>
      </c>
      <c r="D80" s="32"/>
      <c r="E80" s="2"/>
      <c r="F80" s="211"/>
      <c r="G80" s="32"/>
      <c r="H80" s="32"/>
    </row>
    <row r="81" spans="1:8" outlineLevel="1">
      <c r="A81" t="s">
        <v>232</v>
      </c>
      <c r="B81" t="s">
        <v>207</v>
      </c>
      <c r="C81" s="232" t="str">
        <f t="shared" si="1"/>
        <v>LPf, LPj</v>
      </c>
      <c r="D81" s="32"/>
      <c r="E81" s="2"/>
      <c r="F81" s="211"/>
      <c r="G81" s="32"/>
      <c r="H81" s="32"/>
    </row>
    <row r="82" spans="1:8" outlineLevel="1">
      <c r="A82" t="s">
        <v>232</v>
      </c>
      <c r="B82" t="s">
        <v>202</v>
      </c>
      <c r="C82" s="232" t="str">
        <f t="shared" si="1"/>
        <v>LPf, LP8</v>
      </c>
      <c r="D82" s="32"/>
      <c r="E82" s="2"/>
      <c r="F82" s="211"/>
      <c r="G82" s="32"/>
      <c r="H82" s="32"/>
    </row>
    <row r="83" spans="1:8" ht="14.1" outlineLevel="1">
      <c r="A83" t="s">
        <v>232</v>
      </c>
      <c r="B83" t="s">
        <v>212</v>
      </c>
      <c r="C83" s="232" t="str">
        <f t="shared" si="1"/>
        <v>LPf, LPe</v>
      </c>
      <c r="D83" s="235"/>
      <c r="E83" s="236"/>
      <c r="F83" s="237"/>
      <c r="G83" s="32"/>
      <c r="H83" s="32"/>
    </row>
    <row r="84" spans="1:8" outlineLevel="1">
      <c r="A84" t="s">
        <v>232</v>
      </c>
      <c r="B84" t="s">
        <v>204</v>
      </c>
      <c r="C84" s="232" t="str">
        <f t="shared" si="1"/>
        <v>LPf, LPa</v>
      </c>
      <c r="D84" s="32"/>
      <c r="E84" s="2"/>
      <c r="F84" s="211"/>
      <c r="G84" s="32"/>
      <c r="H84" s="32"/>
    </row>
    <row r="85" spans="1:8" outlineLevel="1">
      <c r="A85" t="s">
        <v>231</v>
      </c>
      <c r="B85" t="s">
        <v>214</v>
      </c>
      <c r="C85" s="232" t="str">
        <f t="shared" si="1"/>
        <v>LPg, LPc</v>
      </c>
      <c r="D85" s="32"/>
      <c r="E85" s="2"/>
      <c r="F85" s="211"/>
      <c r="G85" s="32"/>
      <c r="H85" s="32"/>
    </row>
    <row r="86" spans="1:8" outlineLevel="1">
      <c r="A86" t="s">
        <v>231</v>
      </c>
      <c r="B86" t="s">
        <v>197</v>
      </c>
      <c r="C86" s="232" t="str">
        <f t="shared" si="1"/>
        <v>LPg, LP3</v>
      </c>
      <c r="D86" s="32"/>
      <c r="E86" s="2"/>
      <c r="F86" s="211"/>
      <c r="G86" s="32"/>
      <c r="H86" s="32"/>
    </row>
    <row r="87" spans="1:8" outlineLevel="1">
      <c r="A87" t="s">
        <v>231</v>
      </c>
      <c r="B87" t="s">
        <v>199</v>
      </c>
      <c r="C87" s="232" t="str">
        <f t="shared" si="1"/>
        <v>LPg, LP5</v>
      </c>
      <c r="D87" s="32"/>
      <c r="E87" s="2"/>
      <c r="F87" s="211"/>
      <c r="G87" s="32"/>
      <c r="H87" s="32"/>
    </row>
    <row r="88" spans="1:8" outlineLevel="1">
      <c r="A88" t="s">
        <v>231</v>
      </c>
      <c r="B88" t="s">
        <v>212</v>
      </c>
      <c r="C88" s="232" t="str">
        <f t="shared" si="1"/>
        <v>LPg, LPe</v>
      </c>
      <c r="D88" s="32"/>
      <c r="E88" s="2"/>
      <c r="F88" s="211"/>
      <c r="G88" s="32"/>
      <c r="H88" s="32"/>
    </row>
    <row r="89" spans="1:8" outlineLevel="1">
      <c r="A89" t="s">
        <v>230</v>
      </c>
      <c r="B89" t="s">
        <v>207</v>
      </c>
      <c r="C89" s="232" t="str">
        <f t="shared" si="1"/>
        <v>LPh, LPj</v>
      </c>
      <c r="D89" s="32"/>
      <c r="E89" s="2"/>
      <c r="F89" s="211"/>
      <c r="G89" s="32"/>
      <c r="H89" s="32"/>
    </row>
    <row r="90" spans="1:8" outlineLevel="1">
      <c r="A90" t="s">
        <v>230</v>
      </c>
      <c r="B90" t="s">
        <v>196</v>
      </c>
      <c r="C90" s="232" t="str">
        <f t="shared" si="1"/>
        <v>LPh, LP2</v>
      </c>
      <c r="D90" s="32"/>
      <c r="E90" s="2"/>
      <c r="F90" s="211"/>
      <c r="G90" s="32"/>
      <c r="H90" s="32"/>
    </row>
    <row r="91" spans="1:8" outlineLevel="1">
      <c r="A91" t="s">
        <v>228</v>
      </c>
      <c r="B91" t="s">
        <v>198</v>
      </c>
      <c r="C91" s="232" t="str">
        <f t="shared" si="1"/>
        <v>LPj, LP4</v>
      </c>
      <c r="D91" s="32"/>
      <c r="E91" s="2"/>
      <c r="F91" s="211"/>
      <c r="G91" s="32"/>
      <c r="H91" s="32"/>
    </row>
    <row r="92" spans="1:8" outlineLevel="1">
      <c r="A92" t="s">
        <v>228</v>
      </c>
      <c r="B92" t="s">
        <v>211</v>
      </c>
      <c r="C92" s="232" t="str">
        <f t="shared" si="1"/>
        <v>LPj, LPf</v>
      </c>
      <c r="D92" s="32"/>
      <c r="E92" s="2"/>
      <c r="F92" s="211"/>
      <c r="G92" s="32"/>
      <c r="H92" s="32"/>
    </row>
    <row r="93" spans="1:8" outlineLevel="1">
      <c r="A93" t="s">
        <v>228</v>
      </c>
      <c r="B93" t="s">
        <v>199</v>
      </c>
      <c r="C93" s="232" t="str">
        <f t="shared" si="1"/>
        <v>LPj, LP5</v>
      </c>
      <c r="D93" s="32"/>
      <c r="E93" s="2"/>
      <c r="F93" s="211"/>
      <c r="G93" s="32"/>
      <c r="H93" s="32"/>
    </row>
    <row r="94" spans="1:8" outlineLevel="1">
      <c r="A94" t="s">
        <v>228</v>
      </c>
      <c r="B94" t="s">
        <v>204</v>
      </c>
      <c r="C94" s="232" t="str">
        <f t="shared" si="1"/>
        <v>LPj, LPa</v>
      </c>
      <c r="D94" s="32"/>
      <c r="E94" s="2"/>
      <c r="F94" s="211"/>
      <c r="G94" s="32"/>
      <c r="H94" s="32"/>
    </row>
    <row r="95" spans="1:8" outlineLevel="1">
      <c r="A95" t="s">
        <v>228</v>
      </c>
      <c r="B95" t="s">
        <v>209</v>
      </c>
      <c r="C95" s="232" t="str">
        <f t="shared" si="1"/>
        <v>LPj, LPh</v>
      </c>
      <c r="D95" s="32"/>
      <c r="E95" s="2"/>
      <c r="F95" s="211"/>
      <c r="G95" s="32"/>
      <c r="H95" s="32"/>
    </row>
    <row r="96" spans="1:8" outlineLevel="1">
      <c r="A96" t="s">
        <v>227</v>
      </c>
      <c r="B96" t="s">
        <v>200</v>
      </c>
      <c r="C96" s="232" t="str">
        <f t="shared" si="1"/>
        <v>LPk, LP6</v>
      </c>
      <c r="D96" s="32"/>
      <c r="E96" s="2"/>
      <c r="F96" s="211"/>
      <c r="G96" s="32"/>
      <c r="H96" s="32"/>
    </row>
    <row r="97" spans="1:8" outlineLevel="1">
      <c r="A97" t="s">
        <v>100</v>
      </c>
      <c r="B97" t="s">
        <v>160</v>
      </c>
      <c r="C97" s="232" t="str">
        <f t="shared" si="1"/>
        <v>M, HawW</v>
      </c>
      <c r="D97" s="32"/>
      <c r="E97" s="2"/>
      <c r="F97" s="211"/>
      <c r="G97" s="32"/>
      <c r="H97" s="32"/>
    </row>
    <row r="98" spans="1:8" outlineLevel="1">
      <c r="A98" t="s">
        <v>100</v>
      </c>
      <c r="B98" t="s">
        <v>151</v>
      </c>
      <c r="C98" s="232" t="str">
        <f t="shared" si="1"/>
        <v>M, Eb</v>
      </c>
      <c r="D98" s="32"/>
      <c r="E98" s="2"/>
      <c r="F98" s="211"/>
      <c r="G98" s="32"/>
      <c r="H98" s="32"/>
    </row>
    <row r="99" spans="1:8" outlineLevel="1">
      <c r="A99" t="s">
        <v>100</v>
      </c>
      <c r="B99" t="s">
        <v>150</v>
      </c>
      <c r="C99" s="232" t="str">
        <f t="shared" si="1"/>
        <v>M, Wb</v>
      </c>
      <c r="D99" s="32"/>
      <c r="E99" s="2"/>
      <c r="F99" s="211"/>
      <c r="G99" s="32"/>
      <c r="H99" s="32"/>
    </row>
    <row r="100" spans="1:8" outlineLevel="1">
      <c r="A100" t="s">
        <v>100</v>
      </c>
      <c r="B100" t="s">
        <v>152</v>
      </c>
      <c r="C100" s="232" t="str">
        <f t="shared" si="1"/>
        <v>M, Nc</v>
      </c>
      <c r="D100" s="32"/>
      <c r="E100" s="2"/>
      <c r="F100" s="211"/>
      <c r="G100" s="32"/>
      <c r="H100" s="32"/>
    </row>
    <row r="101" spans="1:8" outlineLevel="1">
      <c r="A101" t="s">
        <v>121</v>
      </c>
      <c r="B101" t="s">
        <v>152</v>
      </c>
      <c r="C101" s="232" t="str">
        <f t="shared" si="1"/>
        <v>Nb, Nc</v>
      </c>
      <c r="D101" s="32"/>
      <c r="E101" s="2"/>
      <c r="F101" s="211"/>
      <c r="G101" s="32"/>
      <c r="H101" s="32"/>
    </row>
    <row r="102" spans="1:8" outlineLevel="1">
      <c r="A102" t="s">
        <v>121</v>
      </c>
      <c r="B102" t="s">
        <v>161</v>
      </c>
      <c r="C102" s="232" t="str">
        <f t="shared" si="1"/>
        <v>Nb, PO</v>
      </c>
      <c r="D102" s="32"/>
      <c r="E102" s="2"/>
      <c r="F102" s="211"/>
      <c r="G102" s="32"/>
      <c r="H102" s="32"/>
    </row>
    <row r="103" spans="1:8" outlineLevel="1">
      <c r="A103" t="s">
        <v>125</v>
      </c>
      <c r="B103" t="s">
        <v>148</v>
      </c>
      <c r="C103" s="232" t="str">
        <f t="shared" si="1"/>
        <v>Nc, Nb</v>
      </c>
      <c r="D103" s="32"/>
      <c r="E103" s="2"/>
      <c r="F103" s="211"/>
      <c r="G103" s="32"/>
      <c r="H103" s="32"/>
    </row>
    <row r="104" spans="1:8" outlineLevel="1">
      <c r="A104" t="s">
        <v>125</v>
      </c>
      <c r="B104" t="s">
        <v>163</v>
      </c>
      <c r="C104" s="232" t="str">
        <f t="shared" si="1"/>
        <v>Nc, AN</v>
      </c>
      <c r="D104" s="32"/>
      <c r="E104" s="2"/>
      <c r="F104" s="211"/>
      <c r="G104" s="32"/>
      <c r="H104" s="32"/>
    </row>
    <row r="105" spans="1:8" outlineLevel="1">
      <c r="A105" t="s">
        <v>125</v>
      </c>
      <c r="B105" t="s">
        <v>144</v>
      </c>
      <c r="C105" s="232" t="str">
        <f t="shared" si="1"/>
        <v>Nc, M</v>
      </c>
      <c r="D105" s="32"/>
      <c r="E105" s="2"/>
      <c r="F105" s="211"/>
      <c r="G105" s="32"/>
      <c r="H105" s="32"/>
    </row>
    <row r="106" spans="1:8" outlineLevel="1">
      <c r="A106" t="s">
        <v>132</v>
      </c>
      <c r="B106" t="s">
        <v>160</v>
      </c>
      <c r="C106" s="232" t="str">
        <f t="shared" si="1"/>
        <v>P, HawW</v>
      </c>
      <c r="D106" s="32"/>
      <c r="E106" s="2"/>
      <c r="F106" s="211"/>
      <c r="G106" s="32"/>
      <c r="H106" s="32"/>
    </row>
    <row r="107" spans="1:8" outlineLevel="1">
      <c r="A107" t="s">
        <v>10</v>
      </c>
      <c r="B107" t="s">
        <v>148</v>
      </c>
      <c r="C107" s="232" t="str">
        <f t="shared" si="1"/>
        <v>PO, Nb</v>
      </c>
      <c r="D107" s="32"/>
      <c r="E107" s="2"/>
      <c r="F107" s="211"/>
      <c r="G107" s="32"/>
      <c r="H107" s="32"/>
    </row>
    <row r="108" spans="1:8" outlineLevel="1">
      <c r="A108" t="s">
        <v>10</v>
      </c>
      <c r="B108" t="s">
        <v>159</v>
      </c>
      <c r="C108" s="232" t="str">
        <f t="shared" si="1"/>
        <v>PO, HawK</v>
      </c>
      <c r="D108" s="32"/>
      <c r="E108" s="2"/>
      <c r="F108" s="211"/>
      <c r="G108" s="32"/>
      <c r="H108" s="32"/>
    </row>
    <row r="109" spans="1:8" outlineLevel="1">
      <c r="A109" t="s">
        <v>137</v>
      </c>
      <c r="B109" t="s">
        <v>158</v>
      </c>
      <c r="C109" s="232" t="str">
        <f t="shared" si="1"/>
        <v>RC, HawC</v>
      </c>
      <c r="D109" s="32"/>
      <c r="E109" s="2"/>
      <c r="F109" s="211"/>
      <c r="G109" s="32"/>
      <c r="H109" s="32"/>
    </row>
    <row r="110" spans="1:8" outlineLevel="1">
      <c r="A110" t="s">
        <v>137</v>
      </c>
      <c r="B110" t="s">
        <v>150</v>
      </c>
      <c r="C110" s="232" t="str">
        <f t="shared" si="1"/>
        <v>RC, Wb</v>
      </c>
      <c r="D110" s="32"/>
      <c r="E110" s="2"/>
      <c r="F110" s="211"/>
      <c r="G110" s="32"/>
      <c r="H110" s="32"/>
    </row>
    <row r="111" spans="1:8" outlineLevel="1">
      <c r="A111" t="s">
        <v>129</v>
      </c>
      <c r="B111" t="s">
        <v>163</v>
      </c>
      <c r="C111" s="232" t="str">
        <f t="shared" si="1"/>
        <v>RK, AN</v>
      </c>
      <c r="D111" s="32"/>
      <c r="E111" s="2"/>
      <c r="F111" s="211"/>
      <c r="G111" s="32"/>
      <c r="H111" s="32"/>
    </row>
    <row r="112" spans="1:8" outlineLevel="1">
      <c r="A112" t="s">
        <v>129</v>
      </c>
      <c r="B112" t="s">
        <v>151</v>
      </c>
      <c r="C112" s="232" t="str">
        <f t="shared" si="1"/>
        <v>RK, Eb</v>
      </c>
      <c r="D112" s="32"/>
      <c r="E112" s="2"/>
      <c r="F112" s="211"/>
      <c r="G112" s="32"/>
      <c r="H112" s="32"/>
    </row>
    <row r="113" spans="1:8" outlineLevel="1">
      <c r="A113" t="s">
        <v>129</v>
      </c>
      <c r="B113" t="s">
        <v>164</v>
      </c>
      <c r="C113" s="232" t="str">
        <f t="shared" si="1"/>
        <v>RK, K</v>
      </c>
      <c r="D113" s="32"/>
      <c r="E113" s="2"/>
      <c r="F113" s="211"/>
      <c r="G113" s="32"/>
      <c r="H113" s="32"/>
    </row>
    <row r="114" spans="1:8" outlineLevel="1">
      <c r="A114" t="s">
        <v>122</v>
      </c>
      <c r="B114" t="s">
        <v>153</v>
      </c>
      <c r="C114" s="232" t="str">
        <f t="shared" si="1"/>
        <v>Sb, Sc</v>
      </c>
      <c r="D114" s="32"/>
      <c r="E114" s="2"/>
      <c r="F114" s="211"/>
      <c r="G114" s="32"/>
      <c r="H114" s="32"/>
    </row>
    <row r="115" spans="1:8" outlineLevel="1">
      <c r="A115" t="s">
        <v>122</v>
      </c>
      <c r="B115" t="s">
        <v>163</v>
      </c>
      <c r="C115" s="232" t="str">
        <f t="shared" si="1"/>
        <v>Sb, AN</v>
      </c>
      <c r="D115" s="32"/>
      <c r="E115" s="2"/>
      <c r="F115" s="211"/>
      <c r="G115" s="32"/>
      <c r="H115" s="32"/>
    </row>
    <row r="116" spans="1:8" outlineLevel="1">
      <c r="A116" t="s">
        <v>122</v>
      </c>
      <c r="B116" t="s">
        <v>151</v>
      </c>
      <c r="C116" s="232" t="str">
        <f t="shared" si="1"/>
        <v>Sb, Eb</v>
      </c>
      <c r="D116" s="32"/>
      <c r="E116" s="2"/>
      <c r="F116" s="211"/>
      <c r="G116" s="32"/>
      <c r="H116" s="32"/>
    </row>
    <row r="117" spans="1:8" outlineLevel="1">
      <c r="A117" t="s">
        <v>122</v>
      </c>
      <c r="B117" t="s">
        <v>155</v>
      </c>
      <c r="C117" s="232" t="str">
        <f t="shared" si="1"/>
        <v>Sb, Ec</v>
      </c>
      <c r="D117" s="32"/>
      <c r="E117" s="2"/>
      <c r="F117" s="211"/>
      <c r="G117" s="32"/>
      <c r="H117" s="32"/>
    </row>
    <row r="118" spans="1:8" ht="14.1" outlineLevel="1">
      <c r="A118" t="s">
        <v>126</v>
      </c>
      <c r="B118" t="s">
        <v>151</v>
      </c>
      <c r="C118" s="232" t="str">
        <f t="shared" si="1"/>
        <v>Sc, Eb</v>
      </c>
      <c r="D118" s="229"/>
      <c r="E118" s="25"/>
      <c r="F118" s="230"/>
      <c r="G118" s="32"/>
      <c r="H118" s="32"/>
    </row>
    <row r="119" spans="1:8" outlineLevel="1">
      <c r="A119" t="s">
        <v>126</v>
      </c>
      <c r="B119" t="s">
        <v>149</v>
      </c>
      <c r="C119" s="232" t="str">
        <f t="shared" si="1"/>
        <v>Sc, Sb</v>
      </c>
      <c r="D119" s="32"/>
      <c r="E119" s="2"/>
      <c r="F119" s="211"/>
      <c r="G119" s="32"/>
      <c r="H119" s="32"/>
    </row>
    <row r="120" spans="1:8" outlineLevel="1">
      <c r="A120" t="s">
        <v>126</v>
      </c>
      <c r="B120" t="s">
        <v>147</v>
      </c>
      <c r="C120" s="232" t="str">
        <f t="shared" si="1"/>
        <v>Sc, P</v>
      </c>
      <c r="D120" s="32"/>
      <c r="E120" s="2"/>
      <c r="F120" s="211"/>
      <c r="G120" s="32"/>
      <c r="H120" s="32"/>
    </row>
    <row r="121" spans="1:8" outlineLevel="1">
      <c r="A121" t="s">
        <v>123</v>
      </c>
      <c r="B121" t="s">
        <v>162</v>
      </c>
      <c r="C121" s="232" t="str">
        <f t="shared" si="1"/>
        <v>Wb, RC</v>
      </c>
      <c r="D121" s="32"/>
      <c r="E121" s="2"/>
      <c r="F121" s="211"/>
      <c r="G121" s="32"/>
      <c r="H121" s="32"/>
    </row>
    <row r="122" spans="1:8" outlineLevel="1">
      <c r="A122" t="s">
        <v>123</v>
      </c>
      <c r="B122" t="s">
        <v>163</v>
      </c>
      <c r="C122" s="232" t="str">
        <f t="shared" si="1"/>
        <v>Wb, AN</v>
      </c>
      <c r="D122" s="32"/>
      <c r="E122" s="2"/>
      <c r="F122" s="211"/>
      <c r="G122" s="32"/>
      <c r="H122" s="32"/>
    </row>
    <row r="123" spans="1:8" outlineLevel="1">
      <c r="A123" t="s">
        <v>123</v>
      </c>
      <c r="B123" t="s">
        <v>154</v>
      </c>
      <c r="C123" s="232" t="str">
        <f t="shared" si="1"/>
        <v>Wb, Wc</v>
      </c>
      <c r="D123" s="32"/>
      <c r="E123" s="2"/>
      <c r="F123" s="211"/>
      <c r="G123" s="32"/>
      <c r="H123" s="32"/>
    </row>
    <row r="124" spans="1:8" outlineLevel="1">
      <c r="A124" t="s">
        <v>123</v>
      </c>
      <c r="B124" t="s">
        <v>144</v>
      </c>
      <c r="C124" s="232" t="str">
        <f t="shared" si="1"/>
        <v>Wb, M</v>
      </c>
      <c r="D124" s="32"/>
      <c r="E124" s="2"/>
      <c r="F124" s="211"/>
      <c r="G124" s="32"/>
      <c r="H124" s="32"/>
    </row>
    <row r="125" spans="1:8" outlineLevel="1">
      <c r="A125" t="s">
        <v>127</v>
      </c>
      <c r="B125" t="s">
        <v>143</v>
      </c>
      <c r="C125" s="232" t="str">
        <f t="shared" si="1"/>
        <v>Wc, B</v>
      </c>
      <c r="D125" s="32"/>
      <c r="E125" s="2"/>
      <c r="F125" s="211"/>
      <c r="G125" s="32"/>
      <c r="H125" s="32"/>
    </row>
    <row r="126" spans="1:8" outlineLevel="1">
      <c r="A126" t="s">
        <v>127</v>
      </c>
      <c r="B126" t="s">
        <v>150</v>
      </c>
      <c r="C126" s="232" t="str">
        <f t="shared" si="1"/>
        <v>Wc, Wb</v>
      </c>
      <c r="D126" s="32"/>
      <c r="E126" s="2"/>
      <c r="F126" s="211"/>
      <c r="G126" s="32"/>
      <c r="H126" s="32"/>
    </row>
    <row r="127" spans="1:8" outlineLevel="1">
      <c r="A127" t="s">
        <v>133</v>
      </c>
      <c r="B127" t="s">
        <v>144</v>
      </c>
      <c r="C127" s="232" t="str">
        <f t="shared" si="1"/>
        <v>Ac, M</v>
      </c>
      <c r="D127" s="32"/>
      <c r="E127" s="2"/>
      <c r="F127" s="211"/>
      <c r="G127" s="32"/>
      <c r="H127" s="32"/>
    </row>
    <row r="128" spans="1:8" outlineLevel="1">
      <c r="A128" t="s">
        <v>133</v>
      </c>
      <c r="B128" t="s">
        <v>152</v>
      </c>
      <c r="C128" s="232" t="str">
        <f t="shared" si="1"/>
        <v>Ac, Nc</v>
      </c>
      <c r="D128" s="32"/>
      <c r="E128" s="2"/>
      <c r="F128" s="211"/>
      <c r="G128" s="32"/>
      <c r="H128" s="32"/>
    </row>
    <row r="129" spans="1:8" ht="14.1" outlineLevel="1">
      <c r="A129" t="s">
        <v>11</v>
      </c>
      <c r="B129" t="s">
        <v>155</v>
      </c>
      <c r="C129" s="232" t="str">
        <f t="shared" si="1"/>
        <v>AN, Ec</v>
      </c>
      <c r="D129" s="229"/>
      <c r="E129" s="25"/>
      <c r="F129" s="230"/>
      <c r="G129" s="32"/>
      <c r="H129" s="32"/>
    </row>
    <row r="130" spans="1:8" outlineLevel="1">
      <c r="A130" t="s">
        <v>11</v>
      </c>
      <c r="B130" t="s">
        <v>160</v>
      </c>
      <c r="C130" s="232" t="str">
        <f t="shared" si="1"/>
        <v>AN, HawW</v>
      </c>
      <c r="D130" s="32"/>
      <c r="E130" s="2"/>
      <c r="F130" s="211"/>
      <c r="G130" s="32"/>
      <c r="H130" s="32"/>
    </row>
    <row r="131" spans="1:8" outlineLevel="1">
      <c r="A131" t="s">
        <v>11</v>
      </c>
      <c r="B131" t="s">
        <v>161</v>
      </c>
      <c r="C131" s="232" t="str">
        <f t="shared" ref="C131:C194" si="2">A131 &amp; "," &amp; B131</f>
        <v>AN, PO</v>
      </c>
      <c r="D131" s="32"/>
      <c r="E131" s="2"/>
      <c r="F131" s="211"/>
      <c r="G131" s="32"/>
      <c r="H131" s="32"/>
    </row>
    <row r="132" spans="1:8" outlineLevel="1">
      <c r="A132" t="s">
        <v>4</v>
      </c>
      <c r="B132" t="s">
        <v>159</v>
      </c>
      <c r="C132" s="232" t="str">
        <f t="shared" si="2"/>
        <v>B, HawK</v>
      </c>
      <c r="D132" s="32"/>
      <c r="E132" s="2"/>
      <c r="F132" s="211"/>
      <c r="G132" s="32"/>
      <c r="H132" s="32"/>
    </row>
    <row r="133" spans="1:8" outlineLevel="1">
      <c r="A133" t="s">
        <v>4</v>
      </c>
      <c r="B133" t="s">
        <v>160</v>
      </c>
      <c r="C133" s="232" t="str">
        <f t="shared" si="2"/>
        <v>B, HawW</v>
      </c>
      <c r="D133" s="32"/>
      <c r="E133" s="2"/>
      <c r="F133" s="211"/>
      <c r="G133" s="32"/>
      <c r="H133" s="32"/>
    </row>
    <row r="134" spans="1:8" outlineLevel="1">
      <c r="A134" t="s">
        <v>193</v>
      </c>
      <c r="B134" t="s">
        <v>167</v>
      </c>
      <c r="C134" s="232" t="str">
        <f t="shared" si="2"/>
        <v>CapB, CapM</v>
      </c>
      <c r="D134" s="32"/>
      <c r="E134" s="2"/>
      <c r="F134" s="211"/>
      <c r="G134" s="32"/>
      <c r="H134" s="32"/>
    </row>
    <row r="135" spans="1:8" outlineLevel="1">
      <c r="A135" t="s">
        <v>193</v>
      </c>
      <c r="B135" t="s">
        <v>174</v>
      </c>
      <c r="C135" s="232" t="str">
        <f t="shared" si="2"/>
        <v>CapB, CapF</v>
      </c>
      <c r="D135" s="32"/>
      <c r="E135" s="2"/>
      <c r="F135" s="211"/>
      <c r="G135" s="32"/>
      <c r="H135" s="32"/>
    </row>
    <row r="136" spans="1:8" outlineLevel="1">
      <c r="A136" t="s">
        <v>193</v>
      </c>
      <c r="B136" t="s">
        <v>173</v>
      </c>
      <c r="C136" s="232" t="str">
        <f t="shared" si="2"/>
        <v>CapB, CapG</v>
      </c>
      <c r="D136" s="32"/>
      <c r="E136" s="2"/>
      <c r="F136" s="211"/>
      <c r="G136" s="32"/>
      <c r="H136" s="32"/>
    </row>
    <row r="137" spans="1:8" outlineLevel="1">
      <c r="A137" t="s">
        <v>192</v>
      </c>
      <c r="B137" t="s">
        <v>174</v>
      </c>
      <c r="C137" s="232" t="str">
        <f t="shared" si="2"/>
        <v>CapC, CapF</v>
      </c>
      <c r="D137" s="32"/>
      <c r="E137" s="2"/>
      <c r="F137" s="211"/>
      <c r="G137" s="32"/>
      <c r="H137" s="32"/>
    </row>
    <row r="138" spans="1:8" outlineLevel="1">
      <c r="A138" t="s">
        <v>191</v>
      </c>
      <c r="B138" t="s">
        <v>166</v>
      </c>
      <c r="C138" s="232" t="str">
        <f t="shared" si="2"/>
        <v>CapD, CapN</v>
      </c>
      <c r="D138" s="32"/>
      <c r="E138" s="2"/>
      <c r="F138" s="211"/>
      <c r="G138" s="32"/>
      <c r="H138" s="32"/>
    </row>
    <row r="139" spans="1:8" outlineLevel="1">
      <c r="A139" t="s">
        <v>190</v>
      </c>
      <c r="B139" t="s">
        <v>172</v>
      </c>
      <c r="C139" s="232" t="str">
        <f t="shared" si="2"/>
        <v>CapE, CapH</v>
      </c>
      <c r="D139" s="32"/>
      <c r="E139" s="2"/>
      <c r="F139" s="211"/>
      <c r="G139" s="32"/>
      <c r="H139" s="32"/>
    </row>
    <row r="140" spans="1:8" outlineLevel="1">
      <c r="A140" t="s">
        <v>189</v>
      </c>
      <c r="B140" t="s">
        <v>177</v>
      </c>
      <c r="C140" s="232" t="str">
        <f t="shared" si="2"/>
        <v>CapF, CapC</v>
      </c>
      <c r="D140" s="32"/>
      <c r="E140" s="2"/>
      <c r="F140" s="211"/>
      <c r="G140" s="32"/>
      <c r="H140" s="32"/>
    </row>
    <row r="141" spans="1:8" outlineLevel="1">
      <c r="A141" t="s">
        <v>189</v>
      </c>
      <c r="B141" t="s">
        <v>178</v>
      </c>
      <c r="C141" s="232" t="str">
        <f t="shared" si="2"/>
        <v>CapF, CapB</v>
      </c>
      <c r="D141" s="32"/>
      <c r="E141" s="2"/>
      <c r="F141" s="211"/>
      <c r="G141" s="32"/>
      <c r="H141" s="32"/>
    </row>
    <row r="142" spans="1:8" outlineLevel="1">
      <c r="A142" t="s">
        <v>189</v>
      </c>
      <c r="B142" t="s">
        <v>181</v>
      </c>
      <c r="C142" s="232" t="str">
        <f t="shared" si="2"/>
        <v>CapF, CapO</v>
      </c>
      <c r="D142" s="32"/>
      <c r="E142" s="2"/>
      <c r="F142" s="211"/>
      <c r="G142" s="32"/>
      <c r="H142" s="32"/>
    </row>
    <row r="143" spans="1:8" outlineLevel="1">
      <c r="A143" t="s">
        <v>188</v>
      </c>
      <c r="B143" t="s">
        <v>178</v>
      </c>
      <c r="C143" s="232" t="str">
        <f t="shared" si="2"/>
        <v>CapG, CapB</v>
      </c>
      <c r="D143" s="32"/>
      <c r="E143" s="2"/>
      <c r="F143" s="211"/>
      <c r="G143" s="32"/>
      <c r="H143" s="32"/>
    </row>
    <row r="144" spans="1:8" outlineLevel="1">
      <c r="A144" t="s">
        <v>187</v>
      </c>
      <c r="B144" t="s">
        <v>175</v>
      </c>
      <c r="C144" s="232" t="str">
        <f t="shared" si="2"/>
        <v>CapH, CapE</v>
      </c>
      <c r="D144" s="32"/>
      <c r="E144" s="2"/>
      <c r="F144" s="211"/>
      <c r="G144" s="32"/>
      <c r="H144" s="32"/>
    </row>
    <row r="145" spans="1:8" outlineLevel="1">
      <c r="A145" t="s">
        <v>187</v>
      </c>
      <c r="B145" t="s">
        <v>166</v>
      </c>
      <c r="C145" s="232" t="str">
        <f t="shared" si="2"/>
        <v>CapH, CapN</v>
      </c>
      <c r="D145" s="32"/>
      <c r="E145" s="2"/>
      <c r="F145" s="211"/>
      <c r="G145" s="32"/>
      <c r="H145" s="32"/>
    </row>
    <row r="146" spans="1:8" outlineLevel="1">
      <c r="A146" t="s">
        <v>186</v>
      </c>
      <c r="B146" t="s">
        <v>168</v>
      </c>
      <c r="C146" s="232" t="str">
        <f t="shared" si="2"/>
        <v>CapI, CapL</v>
      </c>
      <c r="D146" s="32"/>
      <c r="E146" s="2"/>
      <c r="F146" s="211"/>
      <c r="G146" s="32"/>
      <c r="H146" s="32"/>
    </row>
    <row r="147" spans="1:8" outlineLevel="1">
      <c r="A147" t="s">
        <v>185</v>
      </c>
      <c r="B147" t="s">
        <v>169</v>
      </c>
      <c r="C147" s="232" t="str">
        <f t="shared" si="2"/>
        <v>CapJ, CapK</v>
      </c>
      <c r="D147" s="32"/>
      <c r="E147" s="2"/>
      <c r="F147" s="211"/>
      <c r="G147" s="32"/>
      <c r="H147" s="32"/>
    </row>
    <row r="148" spans="1:8" outlineLevel="1">
      <c r="A148" t="s">
        <v>184</v>
      </c>
      <c r="B148" t="s">
        <v>170</v>
      </c>
      <c r="C148" s="232" t="str">
        <f t="shared" si="2"/>
        <v>CapK, CapJ</v>
      </c>
      <c r="D148" s="218"/>
      <c r="E148" s="219"/>
      <c r="F148" s="220"/>
      <c r="G148" s="32"/>
      <c r="H148" s="32"/>
    </row>
    <row r="149" spans="1:8" outlineLevel="1">
      <c r="A149" t="s">
        <v>183</v>
      </c>
      <c r="B149" t="s">
        <v>167</v>
      </c>
      <c r="C149" s="232" t="str">
        <f t="shared" si="2"/>
        <v>CapL, CapM</v>
      </c>
      <c r="D149" s="239"/>
      <c r="E149" s="240"/>
      <c r="F149" s="241"/>
      <c r="G149" s="32"/>
      <c r="H149" s="32"/>
    </row>
    <row r="150" spans="1:8" outlineLevel="1">
      <c r="A150" t="s">
        <v>183</v>
      </c>
      <c r="B150" t="s">
        <v>171</v>
      </c>
      <c r="C150" s="232" t="str">
        <f t="shared" si="2"/>
        <v>CapL, CapI</v>
      </c>
      <c r="D150" s="218"/>
      <c r="E150" s="219"/>
      <c r="F150" s="220"/>
      <c r="G150" s="32"/>
      <c r="H150" s="32"/>
    </row>
    <row r="151" spans="1:8" outlineLevel="1">
      <c r="A151" t="s">
        <v>182</v>
      </c>
      <c r="B151" t="s">
        <v>178</v>
      </c>
      <c r="C151" s="232" t="str">
        <f t="shared" si="2"/>
        <v>CapM, CapB</v>
      </c>
      <c r="D151" s="218"/>
      <c r="E151" s="219"/>
      <c r="F151" s="220"/>
      <c r="G151" s="32"/>
      <c r="H151" s="32"/>
    </row>
    <row r="152" spans="1:8" ht="14.1" outlineLevel="1">
      <c r="A152" t="s">
        <v>182</v>
      </c>
      <c r="B152" t="s">
        <v>168</v>
      </c>
      <c r="C152" s="232" t="str">
        <f t="shared" si="2"/>
        <v>CapM, CapL</v>
      </c>
      <c r="D152" s="226"/>
      <c r="E152" s="227"/>
      <c r="F152" s="228"/>
      <c r="G152" s="32"/>
      <c r="H152" s="32"/>
    </row>
    <row r="153" spans="1:8" outlineLevel="1">
      <c r="A153" t="s">
        <v>180</v>
      </c>
      <c r="B153" t="s">
        <v>176</v>
      </c>
      <c r="C153" s="232" t="str">
        <f t="shared" si="2"/>
        <v>CapN, CapD</v>
      </c>
      <c r="D153" s="218"/>
      <c r="E153" s="219"/>
      <c r="F153" s="220"/>
      <c r="G153" s="32"/>
      <c r="H153" s="32"/>
    </row>
    <row r="154" spans="1:8" outlineLevel="1">
      <c r="A154" t="s">
        <v>180</v>
      </c>
      <c r="B154" t="s">
        <v>172</v>
      </c>
      <c r="C154" s="232" t="str">
        <f t="shared" si="2"/>
        <v>CapN, CapH</v>
      </c>
      <c r="D154" s="218"/>
      <c r="E154" s="219"/>
      <c r="F154" s="220"/>
      <c r="G154" s="32"/>
      <c r="H154" s="32"/>
    </row>
    <row r="155" spans="1:8" outlineLevel="1">
      <c r="A155" t="s">
        <v>165</v>
      </c>
      <c r="B155" t="s">
        <v>174</v>
      </c>
      <c r="C155" s="232" t="str">
        <f t="shared" si="2"/>
        <v>CapO, CapF</v>
      </c>
      <c r="D155" s="218"/>
      <c r="E155" s="219"/>
      <c r="F155" s="220"/>
      <c r="G155" s="32"/>
      <c r="H155" s="32"/>
    </row>
    <row r="156" spans="1:8" outlineLevel="1">
      <c r="A156" t="s">
        <v>124</v>
      </c>
      <c r="B156" t="s">
        <v>160</v>
      </c>
      <c r="C156" s="232" t="str">
        <f t="shared" si="2"/>
        <v>Eb, HawW</v>
      </c>
      <c r="D156" s="218"/>
      <c r="E156" s="219"/>
      <c r="F156" s="220"/>
      <c r="G156" s="32"/>
      <c r="H156" s="32"/>
    </row>
    <row r="157" spans="1:8" outlineLevel="1">
      <c r="A157" t="s">
        <v>124</v>
      </c>
      <c r="B157" t="s">
        <v>162</v>
      </c>
      <c r="C157" s="232" t="str">
        <f t="shared" si="2"/>
        <v>Eb, RC</v>
      </c>
      <c r="D157" s="218"/>
      <c r="E157" s="219"/>
      <c r="F157" s="220"/>
      <c r="G157" s="32"/>
      <c r="H157" s="32"/>
    </row>
    <row r="158" spans="1:8" outlineLevel="1">
      <c r="A158" t="s">
        <v>128</v>
      </c>
      <c r="B158" t="s">
        <v>163</v>
      </c>
      <c r="C158" s="232" t="str">
        <f t="shared" si="2"/>
        <v>Ec, AN</v>
      </c>
      <c r="D158" s="218"/>
      <c r="E158" s="219"/>
      <c r="F158" s="220"/>
      <c r="G158" s="32"/>
      <c r="H158" s="32"/>
    </row>
    <row r="159" spans="1:8" outlineLevel="1">
      <c r="A159" t="s">
        <v>128</v>
      </c>
      <c r="B159" t="s">
        <v>158</v>
      </c>
      <c r="C159" s="232" t="str">
        <f t="shared" si="2"/>
        <v>Ec, HawC</v>
      </c>
      <c r="D159" s="218"/>
      <c r="E159" s="219"/>
      <c r="F159" s="220"/>
      <c r="G159" s="32"/>
      <c r="H159" s="32"/>
    </row>
    <row r="160" spans="1:8" outlineLevel="1">
      <c r="A160" t="s">
        <v>128</v>
      </c>
      <c r="B160" t="s">
        <v>157</v>
      </c>
      <c r="C160" s="232" t="str">
        <f t="shared" si="2"/>
        <v>Ec, RK</v>
      </c>
      <c r="D160" s="218"/>
      <c r="E160" s="219"/>
      <c r="F160" s="220"/>
      <c r="G160" s="32"/>
      <c r="H160" s="32"/>
    </row>
    <row r="161" spans="1:8" outlineLevel="1">
      <c r="A161" t="s">
        <v>128</v>
      </c>
      <c r="B161" t="s">
        <v>159</v>
      </c>
      <c r="C161" s="232" t="str">
        <f t="shared" si="2"/>
        <v>Ec, HawK</v>
      </c>
      <c r="D161" s="218"/>
      <c r="E161" s="219"/>
      <c r="F161" s="220"/>
      <c r="G161" s="32"/>
      <c r="H161" s="32"/>
    </row>
    <row r="162" spans="1:8" outlineLevel="1">
      <c r="A162" t="s">
        <v>134</v>
      </c>
      <c r="B162" t="s">
        <v>155</v>
      </c>
      <c r="C162" s="232" t="str">
        <f t="shared" si="2"/>
        <v>HawC, Ec</v>
      </c>
      <c r="D162" s="218"/>
      <c r="E162" s="219"/>
      <c r="F162" s="220"/>
      <c r="G162" s="32"/>
      <c r="H162" s="32"/>
    </row>
    <row r="163" spans="1:8" outlineLevel="1">
      <c r="A163" t="s">
        <v>134</v>
      </c>
      <c r="B163" t="s">
        <v>160</v>
      </c>
      <c r="C163" s="232" t="str">
        <f t="shared" si="2"/>
        <v>HawC, HawW</v>
      </c>
      <c r="D163" s="218"/>
      <c r="E163" s="219"/>
      <c r="F163" s="220"/>
      <c r="G163" s="32"/>
      <c r="H163" s="32"/>
    </row>
    <row r="164" spans="1:8" outlineLevel="1">
      <c r="A164" t="s">
        <v>135</v>
      </c>
      <c r="B164" t="s">
        <v>155</v>
      </c>
      <c r="C164" s="232" t="str">
        <f t="shared" si="2"/>
        <v>HawK, Ec</v>
      </c>
      <c r="D164" s="218"/>
      <c r="E164" s="219"/>
      <c r="F164" s="220"/>
      <c r="G164" s="32"/>
      <c r="H164" s="32"/>
    </row>
    <row r="165" spans="1:8" outlineLevel="1">
      <c r="A165" t="s">
        <v>135</v>
      </c>
      <c r="B165" t="s">
        <v>143</v>
      </c>
      <c r="C165" s="232" t="str">
        <f t="shared" si="2"/>
        <v>HawK, B</v>
      </c>
      <c r="D165" s="218"/>
      <c r="E165" s="219"/>
      <c r="F165" s="220"/>
      <c r="G165" s="32"/>
      <c r="H165" s="32"/>
    </row>
    <row r="166" spans="1:8" outlineLevel="1">
      <c r="A166" t="s">
        <v>135</v>
      </c>
      <c r="B166" t="s">
        <v>149</v>
      </c>
      <c r="C166" s="232" t="str">
        <f t="shared" si="2"/>
        <v>HawK, Sb</v>
      </c>
      <c r="D166" s="218"/>
      <c r="E166" s="219"/>
      <c r="F166" s="220"/>
      <c r="G166" s="32"/>
      <c r="H166" s="32"/>
    </row>
    <row r="167" spans="1:8" outlineLevel="1">
      <c r="A167" t="s">
        <v>135</v>
      </c>
      <c r="B167" t="s">
        <v>150</v>
      </c>
      <c r="C167" s="232" t="str">
        <f t="shared" si="2"/>
        <v>HawK, Wb</v>
      </c>
      <c r="D167" s="218"/>
      <c r="E167" s="219"/>
      <c r="F167" s="220"/>
      <c r="G167" s="32"/>
      <c r="H167" s="32"/>
    </row>
    <row r="168" spans="1:8" outlineLevel="1">
      <c r="A168" t="s">
        <v>136</v>
      </c>
      <c r="B168" t="s">
        <v>163</v>
      </c>
      <c r="C168" s="232" t="str">
        <f t="shared" si="2"/>
        <v>HawW, AN</v>
      </c>
      <c r="D168" s="218"/>
      <c r="E168" s="219"/>
      <c r="F168" s="220"/>
      <c r="G168" s="32"/>
      <c r="H168" s="32"/>
    </row>
    <row r="169" spans="1:8" ht="14.1" outlineLevel="1">
      <c r="A169" t="s">
        <v>136</v>
      </c>
      <c r="B169" t="s">
        <v>151</v>
      </c>
      <c r="C169" s="232" t="str">
        <f t="shared" si="2"/>
        <v>HawW, Eb</v>
      </c>
      <c r="D169" s="226"/>
      <c r="E169" s="227"/>
      <c r="F169" s="228"/>
      <c r="G169" s="32"/>
      <c r="H169" s="32"/>
    </row>
    <row r="170" spans="1:8" outlineLevel="1">
      <c r="A170" t="s">
        <v>136</v>
      </c>
      <c r="B170" t="s">
        <v>143</v>
      </c>
      <c r="C170" s="232" t="str">
        <f t="shared" si="2"/>
        <v>HawW, B</v>
      </c>
      <c r="D170" s="218"/>
      <c r="E170" s="219"/>
      <c r="F170" s="220"/>
      <c r="G170" s="32"/>
      <c r="H170" s="32"/>
    </row>
    <row r="171" spans="1:8" ht="14.1" outlineLevel="1">
      <c r="A171" t="s">
        <v>136</v>
      </c>
      <c r="B171" t="s">
        <v>158</v>
      </c>
      <c r="C171" s="232" t="str">
        <f t="shared" si="2"/>
        <v>HawW, HawC</v>
      </c>
      <c r="D171" s="222"/>
      <c r="E171" s="223"/>
      <c r="F171" s="224"/>
      <c r="G171" s="32"/>
      <c r="H171" s="32"/>
    </row>
    <row r="172" spans="1:8" outlineLevel="1">
      <c r="A172" t="s">
        <v>136</v>
      </c>
      <c r="B172" t="s">
        <v>152</v>
      </c>
      <c r="C172" s="232" t="str">
        <f t="shared" si="2"/>
        <v>HawW, Nc</v>
      </c>
      <c r="D172" s="218"/>
      <c r="E172" s="219"/>
      <c r="F172" s="220"/>
      <c r="G172" s="32"/>
      <c r="H172" s="32"/>
    </row>
    <row r="173" spans="1:8" outlineLevel="1">
      <c r="A173" t="s">
        <v>101</v>
      </c>
      <c r="B173" t="s">
        <v>157</v>
      </c>
      <c r="C173" s="232" t="str">
        <f t="shared" si="2"/>
        <v>Hk, RK</v>
      </c>
      <c r="D173" s="218"/>
      <c r="E173" s="219"/>
      <c r="F173" s="220"/>
      <c r="G173" s="32"/>
      <c r="H173" s="32"/>
    </row>
    <row r="174" spans="1:8" outlineLevel="1">
      <c r="A174" t="s">
        <v>101</v>
      </c>
      <c r="B174" t="s">
        <v>161</v>
      </c>
      <c r="C174" s="232" t="str">
        <f t="shared" si="2"/>
        <v>Hk, PO</v>
      </c>
      <c r="D174" s="218"/>
      <c r="E174" s="219"/>
      <c r="F174" s="220"/>
      <c r="G174" s="32"/>
      <c r="H174" s="32"/>
    </row>
    <row r="175" spans="1:8" outlineLevel="1">
      <c r="A175" t="s">
        <v>17</v>
      </c>
      <c r="B175" t="s">
        <v>161</v>
      </c>
      <c r="C175" s="232" t="str">
        <f t="shared" si="2"/>
        <v>J, PO</v>
      </c>
      <c r="D175" s="218"/>
      <c r="E175" s="219"/>
      <c r="F175" s="220"/>
      <c r="G175" s="32"/>
      <c r="H175" s="32"/>
    </row>
    <row r="176" spans="1:8" outlineLevel="1">
      <c r="A176" t="s">
        <v>16</v>
      </c>
      <c r="B176" t="s">
        <v>148</v>
      </c>
      <c r="C176" s="232" t="str">
        <f t="shared" si="2"/>
        <v>K, Nb</v>
      </c>
      <c r="D176" s="218"/>
      <c r="E176" s="219"/>
      <c r="F176" s="220"/>
      <c r="G176" s="32"/>
      <c r="H176" s="32"/>
    </row>
    <row r="177" spans="1:8" outlineLevel="1">
      <c r="A177" t="s">
        <v>195</v>
      </c>
      <c r="B177" t="s">
        <v>207</v>
      </c>
      <c r="C177" s="232" t="str">
        <f t="shared" si="2"/>
        <v>LP1, LPj</v>
      </c>
      <c r="D177" s="218"/>
      <c r="E177" s="219"/>
      <c r="F177" s="220"/>
      <c r="G177" s="32"/>
      <c r="H177" s="32"/>
    </row>
    <row r="178" spans="1:8" outlineLevel="1">
      <c r="A178" t="s">
        <v>195</v>
      </c>
      <c r="B178" t="s">
        <v>215</v>
      </c>
      <c r="C178" s="232" t="str">
        <f t="shared" si="2"/>
        <v>LP1, LPb</v>
      </c>
      <c r="D178" s="218"/>
      <c r="E178" s="219"/>
      <c r="F178" s="220"/>
      <c r="G178" s="32"/>
      <c r="H178" s="32"/>
    </row>
    <row r="179" spans="1:8" outlineLevel="1">
      <c r="A179" t="s">
        <v>218</v>
      </c>
      <c r="B179" t="s">
        <v>215</v>
      </c>
      <c r="C179" s="232" t="str">
        <f t="shared" si="2"/>
        <v>LP3, LPb</v>
      </c>
      <c r="D179" s="218"/>
      <c r="E179" s="219"/>
      <c r="F179" s="220"/>
      <c r="G179" s="32"/>
      <c r="H179" s="32"/>
    </row>
    <row r="180" spans="1:8" outlineLevel="1">
      <c r="A180" t="s">
        <v>219</v>
      </c>
      <c r="B180" t="s">
        <v>199</v>
      </c>
      <c r="C180" s="232" t="str">
        <f t="shared" si="2"/>
        <v>LP4, LP5</v>
      </c>
      <c r="D180" s="218"/>
      <c r="E180" s="219"/>
      <c r="F180" s="220"/>
      <c r="G180" s="32"/>
      <c r="H180" s="32"/>
    </row>
    <row r="181" spans="1:8" outlineLevel="1">
      <c r="A181" t="s">
        <v>219</v>
      </c>
      <c r="B181" t="s">
        <v>210</v>
      </c>
      <c r="C181" s="232" t="str">
        <f t="shared" si="2"/>
        <v>LP4, LPg</v>
      </c>
      <c r="D181" s="218"/>
      <c r="E181" s="219"/>
      <c r="F181" s="220"/>
      <c r="G181" s="32"/>
      <c r="H181" s="32"/>
    </row>
    <row r="182" spans="1:8" outlineLevel="1">
      <c r="A182" t="s">
        <v>220</v>
      </c>
      <c r="B182" t="s">
        <v>198</v>
      </c>
      <c r="C182" s="232" t="str">
        <f t="shared" si="2"/>
        <v>LP5, LP4</v>
      </c>
      <c r="D182" s="218"/>
      <c r="E182" s="219"/>
      <c r="F182" s="220"/>
      <c r="G182" s="32"/>
      <c r="H182" s="32"/>
    </row>
    <row r="183" spans="1:8" ht="14.1" outlineLevel="1">
      <c r="A183" t="s">
        <v>220</v>
      </c>
      <c r="B183" t="s">
        <v>213</v>
      </c>
      <c r="C183" s="232" t="str">
        <f t="shared" si="2"/>
        <v>LP5, LPd</v>
      </c>
      <c r="D183" s="226"/>
      <c r="E183" s="227"/>
      <c r="F183" s="228"/>
      <c r="G183" s="32"/>
      <c r="H183" s="32"/>
    </row>
    <row r="184" spans="1:8" outlineLevel="1">
      <c r="A184" t="s">
        <v>220</v>
      </c>
      <c r="B184" t="s">
        <v>209</v>
      </c>
      <c r="C184" s="232" t="str">
        <f t="shared" si="2"/>
        <v>LP5, LPh</v>
      </c>
      <c r="D184" s="218"/>
      <c r="E184" s="219"/>
      <c r="F184" s="220"/>
      <c r="G184" s="32"/>
      <c r="H184" s="32"/>
    </row>
    <row r="185" spans="1:8" ht="14.1" outlineLevel="1">
      <c r="A185" t="s">
        <v>221</v>
      </c>
      <c r="B185" t="s">
        <v>202</v>
      </c>
      <c r="C185" s="232" t="str">
        <f t="shared" si="2"/>
        <v>LP6, LP8</v>
      </c>
      <c r="D185" s="226"/>
      <c r="E185" s="227"/>
      <c r="F185" s="228"/>
      <c r="G185" s="32"/>
      <c r="H185" s="32"/>
    </row>
    <row r="186" spans="1:8" outlineLevel="1">
      <c r="A186" t="s">
        <v>222</v>
      </c>
      <c r="B186" t="s">
        <v>205</v>
      </c>
      <c r="C186" s="232" t="str">
        <f t="shared" si="2"/>
        <v>LP7, LPz</v>
      </c>
      <c r="D186" s="218"/>
      <c r="E186" s="219"/>
      <c r="F186" s="220"/>
      <c r="G186" s="32"/>
      <c r="H186" s="32"/>
    </row>
    <row r="187" spans="1:8" outlineLevel="1">
      <c r="A187" t="s">
        <v>222</v>
      </c>
      <c r="B187" t="s">
        <v>211</v>
      </c>
      <c r="C187" s="232" t="str">
        <f t="shared" si="2"/>
        <v>LP7, LPf</v>
      </c>
      <c r="D187" s="218"/>
      <c r="E187" s="219"/>
      <c r="F187" s="220"/>
      <c r="G187" s="32"/>
      <c r="H187" s="32"/>
    </row>
    <row r="188" spans="1:8" ht="14.1" outlineLevel="1">
      <c r="A188" t="s">
        <v>222</v>
      </c>
      <c r="B188" t="s">
        <v>202</v>
      </c>
      <c r="C188" s="232" t="str">
        <f t="shared" si="2"/>
        <v>LP7, LP8</v>
      </c>
      <c r="D188" s="226"/>
      <c r="E188" s="227"/>
      <c r="F188" s="228"/>
      <c r="G188" s="32"/>
      <c r="H188" s="32"/>
    </row>
    <row r="189" spans="1:8" ht="14.1" outlineLevel="1">
      <c r="A189" t="s">
        <v>223</v>
      </c>
      <c r="B189" t="s">
        <v>201</v>
      </c>
      <c r="C189" s="232" t="str">
        <f t="shared" si="2"/>
        <v>LP8, LP7</v>
      </c>
      <c r="D189" s="226"/>
      <c r="E189" s="227"/>
      <c r="F189" s="228"/>
      <c r="G189" s="32"/>
      <c r="H189" s="32"/>
    </row>
    <row r="190" spans="1:8" ht="14.1" outlineLevel="1">
      <c r="A190" t="s">
        <v>223</v>
      </c>
      <c r="B190" t="s">
        <v>200</v>
      </c>
      <c r="C190" s="232" t="str">
        <f t="shared" si="2"/>
        <v>LP8, LP6</v>
      </c>
      <c r="D190" s="226"/>
      <c r="E190" s="227"/>
      <c r="F190" s="228"/>
      <c r="G190" s="32"/>
      <c r="H190" s="32"/>
    </row>
    <row r="191" spans="1:8" outlineLevel="1">
      <c r="A191" t="s">
        <v>224</v>
      </c>
      <c r="B191" t="s">
        <v>206</v>
      </c>
      <c r="C191" s="232" t="str">
        <f t="shared" si="2"/>
        <v>LP9, LPk</v>
      </c>
      <c r="D191" s="218"/>
      <c r="E191" s="219"/>
      <c r="F191" s="220"/>
      <c r="G191" s="32"/>
      <c r="H191" s="32"/>
    </row>
    <row r="192" spans="1:8" outlineLevel="1">
      <c r="A192" t="s">
        <v>224</v>
      </c>
      <c r="B192" t="s">
        <v>211</v>
      </c>
      <c r="C192" s="232" t="str">
        <f t="shared" si="2"/>
        <v>LP9, LPf</v>
      </c>
      <c r="D192" s="218"/>
      <c r="E192" s="219"/>
      <c r="F192" s="220"/>
      <c r="G192" s="32"/>
      <c r="H192" s="32"/>
    </row>
    <row r="193" spans="1:8" outlineLevel="1">
      <c r="A193" t="s">
        <v>224</v>
      </c>
      <c r="B193" t="s">
        <v>209</v>
      </c>
      <c r="C193" s="232" t="str">
        <f t="shared" si="2"/>
        <v>LP9, LPh</v>
      </c>
      <c r="D193" s="218"/>
      <c r="E193" s="219"/>
      <c r="F193" s="220"/>
      <c r="G193" s="32"/>
      <c r="H193" s="32"/>
    </row>
    <row r="194" spans="1:8" outlineLevel="1">
      <c r="A194" t="s">
        <v>225</v>
      </c>
      <c r="B194" t="s">
        <v>208</v>
      </c>
      <c r="C194" s="232" t="str">
        <f t="shared" si="2"/>
        <v>LPa, LPi</v>
      </c>
      <c r="D194" s="218"/>
      <c r="E194" s="219"/>
      <c r="F194" s="220"/>
      <c r="G194" s="32"/>
      <c r="H194" s="32"/>
    </row>
    <row r="195" spans="1:8" outlineLevel="1">
      <c r="A195" t="s">
        <v>225</v>
      </c>
      <c r="B195" t="s">
        <v>209</v>
      </c>
      <c r="C195" s="232" t="str">
        <f t="shared" ref="C195:C239" si="3">A195 &amp; "," &amp; B195</f>
        <v>LPa, LPh</v>
      </c>
      <c r="D195" s="218"/>
      <c r="E195" s="219"/>
      <c r="F195" s="220"/>
      <c r="G195" s="32"/>
      <c r="H195" s="32"/>
    </row>
    <row r="196" spans="1:8" outlineLevel="1">
      <c r="A196" t="s">
        <v>236</v>
      </c>
      <c r="B196" t="s">
        <v>214</v>
      </c>
      <c r="C196" s="232" t="str">
        <f t="shared" si="3"/>
        <v>LPb, LPc</v>
      </c>
      <c r="D196" s="218"/>
      <c r="E196" s="219"/>
      <c r="F196" s="220"/>
      <c r="G196" s="32"/>
      <c r="H196" s="32"/>
    </row>
    <row r="197" spans="1:8" outlineLevel="1">
      <c r="A197" t="s">
        <v>236</v>
      </c>
      <c r="B197" t="s">
        <v>197</v>
      </c>
      <c r="C197" s="232" t="str">
        <f t="shared" si="3"/>
        <v>LPb, LP3</v>
      </c>
      <c r="D197" s="218"/>
      <c r="E197" s="219"/>
      <c r="F197" s="220"/>
      <c r="G197" s="32"/>
      <c r="H197" s="32"/>
    </row>
    <row r="198" spans="1:8" ht="14.1" outlineLevel="1">
      <c r="A198" t="s">
        <v>236</v>
      </c>
      <c r="B198" t="s">
        <v>217</v>
      </c>
      <c r="C198" s="232" t="str">
        <f t="shared" si="3"/>
        <v>LPb, LP1</v>
      </c>
      <c r="D198" s="226"/>
      <c r="E198" s="227"/>
      <c r="F198" s="228"/>
      <c r="G198" s="32"/>
      <c r="H198" s="32"/>
    </row>
    <row r="199" spans="1:8" outlineLevel="1">
      <c r="A199" t="s">
        <v>235</v>
      </c>
      <c r="B199" t="s">
        <v>215</v>
      </c>
      <c r="C199" s="232" t="str">
        <f t="shared" si="3"/>
        <v>LPc, LPb</v>
      </c>
      <c r="D199" s="218"/>
      <c r="E199" s="219"/>
      <c r="F199" s="220"/>
      <c r="G199" s="32"/>
      <c r="H199" s="32"/>
    </row>
    <row r="200" spans="1:8" outlineLevel="1">
      <c r="A200" t="s">
        <v>234</v>
      </c>
      <c r="B200" t="s">
        <v>199</v>
      </c>
      <c r="C200" s="232" t="str">
        <f t="shared" si="3"/>
        <v>LPd, LP5</v>
      </c>
      <c r="D200" s="218"/>
      <c r="E200" s="219"/>
      <c r="F200" s="220"/>
      <c r="G200" s="32"/>
      <c r="H200" s="32"/>
    </row>
    <row r="201" spans="1:8" outlineLevel="1">
      <c r="A201" t="s">
        <v>233</v>
      </c>
      <c r="B201" t="s">
        <v>205</v>
      </c>
      <c r="C201" s="232" t="str">
        <f t="shared" si="3"/>
        <v>LPe, LPz</v>
      </c>
      <c r="D201" s="218"/>
      <c r="E201" s="219"/>
      <c r="F201" s="220"/>
      <c r="G201" s="32"/>
      <c r="H201" s="32"/>
    </row>
    <row r="202" spans="1:8" outlineLevel="1">
      <c r="A202" t="s">
        <v>232</v>
      </c>
      <c r="B202" t="s">
        <v>203</v>
      </c>
      <c r="C202" s="232" t="str">
        <f t="shared" si="3"/>
        <v>LPf, LP9</v>
      </c>
      <c r="D202" s="218"/>
      <c r="E202" s="219"/>
      <c r="F202" s="220"/>
      <c r="G202" s="32"/>
      <c r="H202" s="32"/>
    </row>
    <row r="203" spans="1:8" outlineLevel="1">
      <c r="A203" t="s">
        <v>232</v>
      </c>
      <c r="B203" t="s">
        <v>201</v>
      </c>
      <c r="C203" s="232" t="str">
        <f t="shared" si="3"/>
        <v>LPf, LP7</v>
      </c>
      <c r="D203" s="218"/>
      <c r="E203" s="219"/>
      <c r="F203" s="220"/>
      <c r="G203" s="32"/>
      <c r="H203" s="32"/>
    </row>
    <row r="204" spans="1:8" outlineLevel="1">
      <c r="A204" t="s">
        <v>232</v>
      </c>
      <c r="B204" t="s">
        <v>206</v>
      </c>
      <c r="C204" s="232" t="str">
        <f t="shared" si="3"/>
        <v>LPf, LPk</v>
      </c>
      <c r="D204" s="218"/>
      <c r="E204" s="219"/>
      <c r="F204" s="220"/>
      <c r="G204" s="32"/>
      <c r="H204" s="32"/>
    </row>
    <row r="205" spans="1:8" outlineLevel="1">
      <c r="A205" t="s">
        <v>231</v>
      </c>
      <c r="B205" t="s">
        <v>198</v>
      </c>
      <c r="C205" s="232" t="str">
        <f t="shared" si="3"/>
        <v>LPg, LP4</v>
      </c>
      <c r="D205" s="218"/>
      <c r="E205" s="219"/>
      <c r="F205" s="220"/>
      <c r="G205" s="32"/>
      <c r="H205" s="32"/>
    </row>
    <row r="206" spans="1:8" outlineLevel="1">
      <c r="A206" t="s">
        <v>230</v>
      </c>
      <c r="B206" t="s">
        <v>203</v>
      </c>
      <c r="C206" s="232" t="str">
        <f t="shared" si="3"/>
        <v>LPh, LP9</v>
      </c>
      <c r="D206" s="32"/>
      <c r="E206" s="2"/>
      <c r="F206" s="211"/>
      <c r="G206" s="32"/>
      <c r="H206" s="32"/>
    </row>
    <row r="207" spans="1:8" outlineLevel="1">
      <c r="A207" t="s">
        <v>230</v>
      </c>
      <c r="B207" t="s">
        <v>204</v>
      </c>
      <c r="C207" s="232" t="str">
        <f t="shared" si="3"/>
        <v>LPh, LPa</v>
      </c>
      <c r="D207" s="32"/>
      <c r="E207" s="2"/>
      <c r="F207" s="211"/>
      <c r="G207" s="32"/>
      <c r="H207" s="32"/>
    </row>
    <row r="208" spans="1:8" outlineLevel="1">
      <c r="A208" t="s">
        <v>230</v>
      </c>
      <c r="B208" t="s">
        <v>208</v>
      </c>
      <c r="C208" s="232" t="str">
        <f t="shared" si="3"/>
        <v>LPh, LPi</v>
      </c>
      <c r="D208" s="32"/>
      <c r="E208" s="2"/>
      <c r="F208" s="211"/>
      <c r="G208" s="32"/>
      <c r="H208" s="32"/>
    </row>
    <row r="209" spans="1:8" outlineLevel="1">
      <c r="A209" t="s">
        <v>230</v>
      </c>
      <c r="B209" t="s">
        <v>199</v>
      </c>
      <c r="C209" s="232" t="str">
        <f t="shared" si="3"/>
        <v>LPh, LP5</v>
      </c>
      <c r="D209" s="32"/>
      <c r="E209" s="2"/>
      <c r="F209" s="211"/>
      <c r="G209" s="32"/>
      <c r="H209" s="32"/>
    </row>
    <row r="210" spans="1:8" outlineLevel="1">
      <c r="A210" t="s">
        <v>229</v>
      </c>
      <c r="B210" t="s">
        <v>204</v>
      </c>
      <c r="C210" s="232" t="str">
        <f t="shared" si="3"/>
        <v>LPi, LPa</v>
      </c>
      <c r="D210" s="32"/>
      <c r="E210" s="2"/>
      <c r="F210" s="211"/>
      <c r="G210" s="32"/>
      <c r="H210" s="32"/>
    </row>
    <row r="211" spans="1:8" outlineLevel="1">
      <c r="A211" t="s">
        <v>229</v>
      </c>
      <c r="B211" t="s">
        <v>209</v>
      </c>
      <c r="C211" s="232" t="str">
        <f t="shared" si="3"/>
        <v>LPi, LPh</v>
      </c>
      <c r="D211" s="32"/>
      <c r="E211" s="2"/>
      <c r="F211" s="211"/>
      <c r="G211" s="32"/>
      <c r="H211" s="32"/>
    </row>
    <row r="212" spans="1:8" outlineLevel="1">
      <c r="A212" t="s">
        <v>228</v>
      </c>
      <c r="B212" t="s">
        <v>217</v>
      </c>
      <c r="C212" s="232" t="str">
        <f t="shared" si="3"/>
        <v>LPj, LP1</v>
      </c>
      <c r="D212" s="32"/>
      <c r="E212" s="2"/>
      <c r="F212" s="211"/>
      <c r="G212" s="32"/>
      <c r="H212" s="32"/>
    </row>
    <row r="213" spans="1:8" outlineLevel="1">
      <c r="A213" t="s">
        <v>227</v>
      </c>
      <c r="B213" t="s">
        <v>211</v>
      </c>
      <c r="C213" s="232" t="str">
        <f t="shared" si="3"/>
        <v>LPk, LPf</v>
      </c>
      <c r="D213" s="32"/>
      <c r="E213" s="2"/>
      <c r="F213" s="211"/>
      <c r="G213" s="32"/>
      <c r="H213" s="32"/>
    </row>
    <row r="214" spans="1:8" outlineLevel="1">
      <c r="A214" t="s">
        <v>227</v>
      </c>
      <c r="B214" t="s">
        <v>203</v>
      </c>
      <c r="C214" s="232" t="str">
        <f t="shared" si="3"/>
        <v>LPk, LP9</v>
      </c>
      <c r="D214" s="32"/>
      <c r="E214" s="2"/>
      <c r="F214" s="211"/>
      <c r="G214" s="32"/>
      <c r="H214" s="32"/>
    </row>
    <row r="215" spans="1:8" outlineLevel="1">
      <c r="A215" t="s">
        <v>227</v>
      </c>
      <c r="B215" t="s">
        <v>205</v>
      </c>
      <c r="C215" s="232" t="str">
        <f t="shared" si="3"/>
        <v>LPk, LPz</v>
      </c>
      <c r="D215" s="32"/>
      <c r="E215" s="2"/>
      <c r="F215" s="211"/>
      <c r="G215" s="32"/>
      <c r="H215" s="32"/>
    </row>
    <row r="216" spans="1:8" outlineLevel="1">
      <c r="A216" t="s">
        <v>226</v>
      </c>
      <c r="B216" t="s">
        <v>212</v>
      </c>
      <c r="C216" s="232" t="str">
        <f t="shared" si="3"/>
        <v>LPz, LPe</v>
      </c>
      <c r="D216" s="32"/>
      <c r="E216" s="2"/>
      <c r="F216" s="211"/>
      <c r="G216" s="32"/>
      <c r="H216" s="32"/>
    </row>
    <row r="217" spans="1:8" outlineLevel="1">
      <c r="A217" t="s">
        <v>226</v>
      </c>
      <c r="B217" t="s">
        <v>206</v>
      </c>
      <c r="C217" s="232" t="str">
        <f t="shared" si="3"/>
        <v>LPz, LPk</v>
      </c>
      <c r="D217" s="32"/>
      <c r="E217" s="2"/>
      <c r="F217" s="211"/>
      <c r="G217" s="32"/>
      <c r="H217" s="32"/>
    </row>
    <row r="218" spans="1:8" outlineLevel="1">
      <c r="A218" t="s">
        <v>226</v>
      </c>
      <c r="B218" t="s">
        <v>201</v>
      </c>
      <c r="C218" s="232" t="str">
        <f t="shared" si="3"/>
        <v>LPz, LP7</v>
      </c>
      <c r="D218" s="32"/>
      <c r="E218" s="2"/>
      <c r="F218" s="211"/>
      <c r="G218" s="32"/>
      <c r="H218" s="32"/>
    </row>
    <row r="219" spans="1:8" outlineLevel="1">
      <c r="A219" t="s">
        <v>100</v>
      </c>
      <c r="B219" t="s">
        <v>156</v>
      </c>
      <c r="C219" s="232" t="str">
        <f t="shared" si="3"/>
        <v>M, Ac</v>
      </c>
      <c r="D219" s="32"/>
      <c r="E219" s="2"/>
      <c r="F219" s="211"/>
      <c r="G219" s="32"/>
      <c r="H219" s="32"/>
    </row>
    <row r="220" spans="1:8" outlineLevel="1">
      <c r="A220" t="s">
        <v>100</v>
      </c>
      <c r="B220" t="s">
        <v>162</v>
      </c>
      <c r="C220" s="232" t="str">
        <f t="shared" si="3"/>
        <v>M, RC</v>
      </c>
      <c r="D220" s="32"/>
      <c r="E220" s="2"/>
      <c r="F220" s="211"/>
      <c r="G220" s="32"/>
      <c r="H220" s="32"/>
    </row>
    <row r="221" spans="1:8" outlineLevel="1">
      <c r="A221" t="s">
        <v>121</v>
      </c>
      <c r="B221" t="s">
        <v>157</v>
      </c>
      <c r="C221" s="232" t="str">
        <f t="shared" si="3"/>
        <v>Nb, RK</v>
      </c>
      <c r="D221" s="32"/>
      <c r="E221" s="2"/>
      <c r="F221" s="211"/>
      <c r="G221" s="32"/>
      <c r="H221" s="32"/>
    </row>
    <row r="222" spans="1:8" outlineLevel="1">
      <c r="A222" t="s">
        <v>121</v>
      </c>
      <c r="B222" t="s">
        <v>164</v>
      </c>
      <c r="C222" s="232" t="str">
        <f t="shared" si="3"/>
        <v>Nb, K</v>
      </c>
      <c r="D222" s="32"/>
      <c r="E222" s="2"/>
      <c r="F222" s="211"/>
      <c r="G222" s="32"/>
      <c r="H222" s="32"/>
    </row>
    <row r="223" spans="1:8" outlineLevel="1">
      <c r="A223" t="s">
        <v>125</v>
      </c>
      <c r="B223" t="s">
        <v>160</v>
      </c>
      <c r="C223" s="232" t="str">
        <f t="shared" si="3"/>
        <v>Nc, HawW</v>
      </c>
      <c r="D223" s="32"/>
      <c r="E223" s="2"/>
      <c r="F223" s="211"/>
      <c r="G223" s="32"/>
      <c r="H223" s="32"/>
    </row>
    <row r="224" spans="1:8" outlineLevel="1">
      <c r="A224" t="s">
        <v>125</v>
      </c>
      <c r="B224" t="s">
        <v>156</v>
      </c>
      <c r="C224" s="232" t="str">
        <f t="shared" si="3"/>
        <v>Nc, Ac</v>
      </c>
      <c r="D224" s="32"/>
      <c r="E224" s="2"/>
      <c r="F224" s="211"/>
      <c r="G224" s="32"/>
      <c r="H224" s="32"/>
    </row>
    <row r="225" spans="1:8" outlineLevel="1">
      <c r="A225" t="s">
        <v>132</v>
      </c>
      <c r="B225" t="s">
        <v>149</v>
      </c>
      <c r="C225" s="232" t="str">
        <f t="shared" si="3"/>
        <v>P, Sb</v>
      </c>
      <c r="D225" s="32"/>
      <c r="E225" s="2"/>
      <c r="F225" s="211"/>
      <c r="G225" s="32"/>
      <c r="H225" s="32"/>
    </row>
    <row r="226" spans="1:8" outlineLevel="1">
      <c r="A226" t="s">
        <v>10</v>
      </c>
      <c r="B226" t="s">
        <v>163</v>
      </c>
      <c r="C226" s="232" t="str">
        <f t="shared" si="3"/>
        <v>PO, AN</v>
      </c>
      <c r="D226" s="32"/>
      <c r="E226" s="2"/>
      <c r="F226" s="211"/>
      <c r="G226" s="32"/>
      <c r="H226" s="32"/>
    </row>
    <row r="227" spans="1:8" outlineLevel="1">
      <c r="A227" t="s">
        <v>10</v>
      </c>
      <c r="B227" t="s">
        <v>145</v>
      </c>
      <c r="C227" s="232" t="str">
        <f t="shared" si="3"/>
        <v>PO, J</v>
      </c>
      <c r="D227" s="32"/>
      <c r="E227" s="2"/>
      <c r="F227" s="211"/>
      <c r="G227" s="32"/>
      <c r="H227" s="32"/>
    </row>
    <row r="228" spans="1:8" outlineLevel="1">
      <c r="A228" t="s">
        <v>10</v>
      </c>
      <c r="B228" t="s">
        <v>146</v>
      </c>
      <c r="C228" s="232" t="str">
        <f t="shared" si="3"/>
        <v>PO, Hk</v>
      </c>
      <c r="D228" s="32"/>
      <c r="E228" s="2"/>
      <c r="F228" s="211"/>
      <c r="G228" s="32"/>
      <c r="H228" s="32"/>
    </row>
    <row r="229" spans="1:8" outlineLevel="1">
      <c r="A229" t="s">
        <v>137</v>
      </c>
      <c r="B229" t="s">
        <v>151</v>
      </c>
      <c r="C229" s="232" t="str">
        <f t="shared" si="3"/>
        <v>RC, Eb</v>
      </c>
      <c r="D229" s="32"/>
      <c r="E229" s="2"/>
      <c r="F229" s="211"/>
      <c r="G229" s="32"/>
      <c r="H229" s="32"/>
    </row>
    <row r="230" spans="1:8" outlineLevel="1">
      <c r="A230" t="s">
        <v>137</v>
      </c>
      <c r="B230" t="s">
        <v>144</v>
      </c>
      <c r="C230" s="232" t="str">
        <f t="shared" si="3"/>
        <v>RC, M</v>
      </c>
      <c r="D230" s="32"/>
      <c r="E230" s="2"/>
      <c r="F230" s="211"/>
      <c r="G230" s="32"/>
      <c r="H230" s="32"/>
    </row>
    <row r="231" spans="1:8" outlineLevel="1">
      <c r="A231" t="s">
        <v>137</v>
      </c>
      <c r="B231" t="s">
        <v>149</v>
      </c>
      <c r="C231" s="232" t="str">
        <f t="shared" si="3"/>
        <v>RC, Sb</v>
      </c>
      <c r="D231" s="32"/>
      <c r="E231" s="2"/>
      <c r="F231" s="211"/>
      <c r="G231" s="32"/>
      <c r="H231" s="32"/>
    </row>
    <row r="232" spans="1:8" outlineLevel="1">
      <c r="A232" t="s">
        <v>129</v>
      </c>
      <c r="B232" t="s">
        <v>146</v>
      </c>
      <c r="C232" s="232" t="str">
        <f t="shared" si="3"/>
        <v>RK, Hk</v>
      </c>
      <c r="D232" s="32"/>
      <c r="E232" s="2"/>
      <c r="F232" s="211"/>
      <c r="G232" s="32"/>
      <c r="H232" s="32"/>
    </row>
    <row r="233" spans="1:8" outlineLevel="1">
      <c r="A233" t="s">
        <v>129</v>
      </c>
      <c r="B233" t="s">
        <v>155</v>
      </c>
      <c r="C233" s="232" t="str">
        <f t="shared" si="3"/>
        <v>RK, Ec</v>
      </c>
      <c r="D233" s="32"/>
      <c r="E233" s="2"/>
      <c r="F233" s="211"/>
      <c r="G233" s="32"/>
      <c r="H233" s="32"/>
    </row>
    <row r="234" spans="1:8" outlineLevel="1">
      <c r="A234" t="s">
        <v>129</v>
      </c>
      <c r="B234" t="s">
        <v>148</v>
      </c>
      <c r="C234" s="232" t="str">
        <f t="shared" si="3"/>
        <v>RK, Nb</v>
      </c>
      <c r="D234" s="32"/>
      <c r="E234" s="2"/>
      <c r="F234" s="211"/>
      <c r="G234" s="32"/>
      <c r="H234" s="32"/>
    </row>
    <row r="235" spans="1:8" outlineLevel="1">
      <c r="A235" t="s">
        <v>122</v>
      </c>
      <c r="B235" t="s">
        <v>147</v>
      </c>
      <c r="C235" s="232" t="str">
        <f t="shared" si="3"/>
        <v>Sb, P</v>
      </c>
      <c r="D235" s="32"/>
      <c r="E235" s="2"/>
      <c r="F235" s="211"/>
      <c r="G235" s="32"/>
      <c r="H235" s="32"/>
    </row>
    <row r="236" spans="1:8" outlineLevel="1">
      <c r="A236" t="s">
        <v>122</v>
      </c>
      <c r="B236" t="s">
        <v>159</v>
      </c>
      <c r="C236" s="232" t="str">
        <f t="shared" si="3"/>
        <v>Sb, HawK</v>
      </c>
      <c r="D236" s="32"/>
      <c r="E236" s="2"/>
      <c r="F236" s="211"/>
      <c r="G236" s="32"/>
      <c r="H236" s="32"/>
    </row>
    <row r="237" spans="1:8" outlineLevel="1">
      <c r="A237" t="s">
        <v>122</v>
      </c>
      <c r="B237" t="s">
        <v>162</v>
      </c>
      <c r="C237" s="232" t="str">
        <f t="shared" si="3"/>
        <v>Sb, RC</v>
      </c>
      <c r="D237" s="32"/>
      <c r="E237" s="2"/>
      <c r="F237" s="211"/>
      <c r="G237" s="32"/>
      <c r="H237" s="32"/>
    </row>
    <row r="238" spans="1:8" outlineLevel="1">
      <c r="A238" t="s">
        <v>123</v>
      </c>
      <c r="B238" t="s">
        <v>159</v>
      </c>
      <c r="C238" s="232" t="str">
        <f t="shared" si="3"/>
        <v>Wb, HawK</v>
      </c>
      <c r="D238" s="32"/>
      <c r="E238" s="2"/>
      <c r="F238" s="211"/>
      <c r="G238" s="32"/>
      <c r="H238" s="32"/>
    </row>
    <row r="239" spans="1:8" outlineLevel="1">
      <c r="A239" t="s">
        <v>123</v>
      </c>
      <c r="B239" t="s">
        <v>157</v>
      </c>
      <c r="C239" s="232" t="str">
        <f t="shared" si="3"/>
        <v>Wb, RK</v>
      </c>
      <c r="D239" s="32"/>
      <c r="E239" s="2"/>
      <c r="F239" s="211"/>
      <c r="G239" s="32"/>
      <c r="H239" s="32"/>
    </row>
    <row r="240" spans="1:8" outlineLevel="1">
      <c r="C240" s="232"/>
      <c r="D240" s="32"/>
      <c r="E240" s="2"/>
      <c r="F240" s="211"/>
      <c r="G240" s="32"/>
      <c r="H240" s="32"/>
    </row>
    <row r="241" spans="3:8" outlineLevel="1">
      <c r="C241" s="232"/>
      <c r="D241" s="32"/>
      <c r="E241" s="2"/>
      <c r="F241" s="211"/>
      <c r="G241" s="32"/>
      <c r="H241" s="32"/>
    </row>
    <row r="242" spans="3:8" outlineLevel="1">
      <c r="C242" s="232"/>
      <c r="D242" s="32"/>
      <c r="E242" s="2"/>
      <c r="F242" s="211"/>
      <c r="G242" s="32"/>
      <c r="H242" s="32"/>
    </row>
    <row r="243" spans="3:8" outlineLevel="1">
      <c r="C243" s="232"/>
      <c r="D243" s="32"/>
      <c r="E243" s="2"/>
      <c r="F243" s="211"/>
      <c r="G243" s="32"/>
      <c r="H243" s="32"/>
    </row>
    <row r="244" spans="3:8" outlineLevel="1">
      <c r="C244" s="232"/>
      <c r="D244" s="32"/>
      <c r="E244" s="2"/>
      <c r="F244" s="211"/>
      <c r="G244" s="32"/>
      <c r="H244" s="32"/>
    </row>
    <row r="245" spans="3:8">
      <c r="C245" s="232"/>
      <c r="D245" s="32"/>
      <c r="E245" s="2"/>
      <c r="F245" s="211"/>
      <c r="G245" s="32"/>
      <c r="H245" s="32"/>
    </row>
    <row r="246" spans="3:8">
      <c r="C246" s="232"/>
      <c r="D246" s="32"/>
      <c r="E246" s="2"/>
      <c r="F246" s="211"/>
      <c r="G246" s="32"/>
      <c r="H246" s="32"/>
    </row>
    <row r="247" spans="3:8">
      <c r="C247" s="232"/>
      <c r="D247" s="32"/>
      <c r="E247" s="2"/>
      <c r="F247" s="211"/>
      <c r="G247" s="32"/>
      <c r="H247" s="32"/>
    </row>
    <row r="248" spans="3:8">
      <c r="C248" s="232"/>
      <c r="D248" s="32"/>
      <c r="E248" s="2"/>
      <c r="F248" s="211"/>
      <c r="G248" s="32"/>
      <c r="H248" s="32"/>
    </row>
    <row r="249" spans="3:8">
      <c r="C249" s="232"/>
      <c r="D249" s="32"/>
      <c r="E249" s="2"/>
      <c r="F249" s="211"/>
      <c r="G249" s="32"/>
      <c r="H249" s="32"/>
    </row>
    <row r="250" spans="3:8">
      <c r="C250" s="232"/>
      <c r="D250" s="32"/>
      <c r="E250" s="2"/>
      <c r="F250" s="211"/>
      <c r="G250" s="32"/>
      <c r="H250" s="32"/>
    </row>
    <row r="251" spans="3:8">
      <c r="C251" s="232"/>
      <c r="D251" s="32"/>
      <c r="E251" s="2"/>
      <c r="F251" s="211"/>
      <c r="G251" s="32"/>
      <c r="H251" s="32"/>
    </row>
    <row r="252" spans="3:8">
      <c r="C252" s="232"/>
      <c r="D252" s="32"/>
      <c r="E252" s="2"/>
      <c r="F252" s="211"/>
      <c r="G252" s="32"/>
      <c r="H252" s="32"/>
    </row>
    <row r="253" spans="3:8">
      <c r="C253" s="232"/>
      <c r="D253" s="32"/>
      <c r="E253" s="2"/>
      <c r="F253" s="211"/>
      <c r="G253" s="32"/>
      <c r="H253" s="32"/>
    </row>
    <row r="254" spans="3:8">
      <c r="C254" s="232"/>
      <c r="D254" s="32"/>
      <c r="E254" s="2"/>
      <c r="F254" s="211"/>
      <c r="G254" s="32"/>
      <c r="H254" s="32"/>
    </row>
    <row r="255" spans="3:8">
      <c r="C255" s="232"/>
      <c r="D255" s="32"/>
      <c r="E255" s="2"/>
      <c r="F255" s="211"/>
      <c r="G255" s="32"/>
      <c r="H255" s="32"/>
    </row>
    <row r="256" spans="3:8" ht="14.1">
      <c r="C256" s="235"/>
      <c r="D256" s="235"/>
      <c r="E256" s="236"/>
      <c r="F256" s="237"/>
      <c r="G256" s="32"/>
      <c r="H256" s="32"/>
    </row>
    <row r="257" spans="3:8">
      <c r="C257" s="232"/>
      <c r="D257" s="32"/>
      <c r="E257" s="2"/>
      <c r="F257" s="211"/>
      <c r="G257" s="32"/>
      <c r="H257" s="32"/>
    </row>
    <row r="258" spans="3:8">
      <c r="C258" s="232"/>
      <c r="D258" s="32"/>
      <c r="E258" s="2"/>
      <c r="F258" s="211"/>
      <c r="G258" s="32"/>
      <c r="H258" s="32"/>
    </row>
    <row r="259" spans="3:8">
      <c r="C259" s="232"/>
      <c r="D259" s="32"/>
      <c r="E259" s="2"/>
      <c r="F259" s="211"/>
      <c r="G259" s="32"/>
      <c r="H259" s="32"/>
    </row>
    <row r="260" spans="3:8">
      <c r="C260" s="232"/>
      <c r="D260" s="32"/>
      <c r="E260" s="2"/>
      <c r="F260" s="211"/>
      <c r="G260" s="32"/>
      <c r="H260" s="32"/>
    </row>
    <row r="261" spans="3:8">
      <c r="C261" s="232"/>
      <c r="D261" s="32"/>
      <c r="E261" s="2"/>
      <c r="F261" s="211"/>
      <c r="G261" s="32"/>
      <c r="H261" s="32"/>
    </row>
    <row r="262" spans="3:8" ht="14.1">
      <c r="C262" s="235"/>
      <c r="D262" s="235"/>
      <c r="E262" s="236"/>
      <c r="F262" s="237"/>
      <c r="G262" s="32"/>
      <c r="H262" s="32"/>
    </row>
    <row r="263" spans="3:8">
      <c r="C263" s="232"/>
      <c r="D263" s="32"/>
      <c r="E263" s="2"/>
      <c r="F263" s="211"/>
      <c r="G263" s="32"/>
      <c r="H263" s="32"/>
    </row>
    <row r="264" spans="3:8">
      <c r="C264" s="232"/>
      <c r="D264" s="32"/>
      <c r="E264" s="2"/>
      <c r="F264" s="211"/>
      <c r="G264" s="32"/>
      <c r="H264" s="32"/>
    </row>
    <row r="265" spans="3:8">
      <c r="C265" s="232"/>
      <c r="D265" s="32"/>
      <c r="E265" s="2"/>
      <c r="F265" s="211"/>
      <c r="G265" s="32"/>
      <c r="H265" s="32"/>
    </row>
    <row r="266" spans="3:8">
      <c r="C266" s="232"/>
      <c r="D266" s="32"/>
      <c r="E266" s="2"/>
      <c r="F266" s="211"/>
      <c r="G266" s="32"/>
      <c r="H266" s="32"/>
    </row>
    <row r="267" spans="3:8">
      <c r="C267" s="232"/>
      <c r="D267" s="32"/>
      <c r="E267" s="2"/>
      <c r="F267" s="211"/>
      <c r="G267" s="32"/>
      <c r="H267" s="32"/>
    </row>
    <row r="268" spans="3:8">
      <c r="C268" s="232"/>
      <c r="D268" s="32"/>
      <c r="E268" s="2"/>
      <c r="F268" s="211"/>
      <c r="G268" s="32"/>
      <c r="H268" s="32"/>
    </row>
    <row r="269" spans="3:8">
      <c r="C269" s="232"/>
      <c r="D269" s="32"/>
      <c r="E269" s="2"/>
      <c r="F269" s="211"/>
      <c r="G269" s="32"/>
      <c r="H269" s="32"/>
    </row>
    <row r="270" spans="3:8">
      <c r="C270" s="232"/>
      <c r="D270" s="32"/>
      <c r="E270" s="2"/>
      <c r="F270" s="211"/>
      <c r="G270" s="32"/>
      <c r="H270" s="32"/>
    </row>
    <row r="271" spans="3:8">
      <c r="C271" s="232"/>
      <c r="D271" s="32"/>
      <c r="E271" s="2"/>
      <c r="F271" s="211"/>
      <c r="G271" s="32"/>
      <c r="H271" s="32"/>
    </row>
    <row r="272" spans="3:8" ht="14.1">
      <c r="C272" s="232"/>
      <c r="D272" s="229"/>
      <c r="E272" s="25"/>
      <c r="F272" s="230"/>
      <c r="G272" s="32"/>
      <c r="H272" s="32"/>
    </row>
    <row r="273" spans="3:8">
      <c r="C273" s="232"/>
      <c r="D273" s="32"/>
      <c r="E273" s="2"/>
      <c r="F273" s="211"/>
      <c r="G273" s="32"/>
      <c r="H273" s="32"/>
    </row>
    <row r="274" spans="3:8">
      <c r="C274" s="232"/>
      <c r="D274" s="32"/>
      <c r="E274" s="2"/>
      <c r="F274" s="211"/>
      <c r="G274" s="32"/>
      <c r="H274" s="32"/>
    </row>
    <row r="275" spans="3:8">
      <c r="C275" s="232"/>
      <c r="D275" s="32"/>
      <c r="E275" s="2"/>
      <c r="F275" s="211"/>
      <c r="G275" s="32"/>
      <c r="H275" s="32"/>
    </row>
    <row r="276" spans="3:8">
      <c r="C276" s="232"/>
      <c r="D276" s="32"/>
      <c r="E276" s="2"/>
      <c r="F276" s="211"/>
      <c r="G276" s="32"/>
      <c r="H276" s="32"/>
    </row>
    <row r="277" spans="3:8">
      <c r="C277" s="232"/>
      <c r="D277" s="32"/>
      <c r="E277" s="2"/>
      <c r="F277" s="211"/>
      <c r="G277" s="32"/>
      <c r="H277" s="32"/>
    </row>
    <row r="278" spans="3:8">
      <c r="C278" s="232"/>
      <c r="D278" s="32"/>
      <c r="E278" s="2"/>
      <c r="F278" s="211"/>
      <c r="G278" s="32"/>
      <c r="H278" s="32"/>
    </row>
    <row r="279" spans="3:8">
      <c r="C279" s="232"/>
      <c r="D279" s="32"/>
      <c r="E279" s="2"/>
      <c r="F279" s="211"/>
      <c r="G279" s="32"/>
      <c r="H279" s="32"/>
    </row>
    <row r="280" spans="3:8">
      <c r="C280" s="232"/>
      <c r="D280" s="32"/>
      <c r="E280" s="2"/>
      <c r="F280" s="211"/>
      <c r="G280" s="32"/>
      <c r="H280" s="32"/>
    </row>
    <row r="281" spans="3:8">
      <c r="C281" s="232"/>
      <c r="D281" s="32"/>
      <c r="E281" s="2"/>
      <c r="F281" s="211"/>
      <c r="G281" s="32"/>
      <c r="H281" s="32"/>
    </row>
    <row r="282" spans="3:8">
      <c r="C282" s="232"/>
      <c r="D282" s="32"/>
      <c r="E282" s="2"/>
      <c r="F282" s="211"/>
      <c r="G282" s="32"/>
      <c r="H282" s="32"/>
    </row>
    <row r="283" spans="3:8">
      <c r="C283" s="232"/>
      <c r="D283" s="32"/>
      <c r="E283" s="2"/>
      <c r="F283" s="211"/>
      <c r="G283" s="32"/>
      <c r="H283" s="32"/>
    </row>
    <row r="284" spans="3:8">
      <c r="C284" s="232"/>
      <c r="D284" s="32"/>
      <c r="E284" s="2"/>
      <c r="F284" s="211"/>
      <c r="G284" s="32"/>
      <c r="H284" s="32"/>
    </row>
    <row r="285" spans="3:8">
      <c r="C285" s="232"/>
      <c r="D285" s="32"/>
      <c r="E285" s="2"/>
      <c r="F285" s="211"/>
      <c r="G285" s="32"/>
      <c r="H285" s="32"/>
    </row>
    <row r="286" spans="3:8">
      <c r="C286" s="232"/>
      <c r="D286" s="32"/>
      <c r="E286" s="2"/>
      <c r="F286" s="211"/>
      <c r="G286" s="32"/>
      <c r="H286" s="32"/>
    </row>
    <row r="287" spans="3:8">
      <c r="C287" s="232"/>
      <c r="D287" s="32"/>
      <c r="E287" s="2"/>
      <c r="F287" s="211"/>
      <c r="G287" s="32"/>
      <c r="H287" s="32"/>
    </row>
    <row r="288" spans="3:8">
      <c r="C288" s="232"/>
      <c r="D288" s="32"/>
      <c r="E288" s="2"/>
      <c r="F288" s="211"/>
      <c r="G288" s="32"/>
      <c r="H288" s="32"/>
    </row>
    <row r="289" spans="3:8">
      <c r="C289" s="232"/>
      <c r="D289" s="32"/>
      <c r="E289" s="2"/>
      <c r="F289" s="211"/>
      <c r="G289" s="32"/>
      <c r="H289" s="32"/>
    </row>
    <row r="290" spans="3:8">
      <c r="C290" s="232"/>
      <c r="D290" s="32"/>
      <c r="E290" s="2"/>
      <c r="F290" s="211"/>
      <c r="G290" s="32"/>
      <c r="H290" s="32"/>
    </row>
    <row r="291" spans="3:8">
      <c r="C291" s="232"/>
      <c r="D291" s="32"/>
      <c r="E291" s="2"/>
      <c r="F291" s="211"/>
      <c r="G291" s="32"/>
      <c r="H291" s="32"/>
    </row>
    <row r="292" spans="3:8">
      <c r="C292" s="232"/>
      <c r="D292" s="32"/>
      <c r="E292" s="2"/>
      <c r="F292" s="211"/>
      <c r="G292" s="32"/>
      <c r="H292" s="32"/>
    </row>
    <row r="293" spans="3:8">
      <c r="C293" s="232"/>
      <c r="D293" s="32"/>
      <c r="E293" s="2"/>
      <c r="F293" s="211"/>
      <c r="G293" s="32"/>
      <c r="H293" s="32"/>
    </row>
    <row r="294" spans="3:8">
      <c r="C294" s="232"/>
      <c r="D294" s="32"/>
      <c r="E294" s="2"/>
      <c r="F294" s="211"/>
      <c r="G294" s="32"/>
      <c r="H294" s="32"/>
    </row>
    <row r="295" spans="3:8">
      <c r="C295" s="232"/>
      <c r="D295" s="32"/>
      <c r="E295" s="2"/>
      <c r="F295" s="211"/>
      <c r="G295" s="32"/>
      <c r="H295" s="32"/>
    </row>
    <row r="296" spans="3:8">
      <c r="C296" s="232"/>
      <c r="D296" s="32"/>
      <c r="E296" s="2"/>
      <c r="F296" s="211"/>
      <c r="G296" s="32"/>
      <c r="H296" s="32"/>
    </row>
    <row r="297" spans="3:8">
      <c r="C297" s="232"/>
      <c r="D297" s="32"/>
      <c r="E297" s="2"/>
      <c r="F297" s="211"/>
      <c r="G297" s="32"/>
      <c r="H297" s="32"/>
    </row>
    <row r="298" spans="3:8">
      <c r="C298" s="232"/>
      <c r="D298" s="32"/>
      <c r="E298" s="2"/>
      <c r="F298" s="211"/>
      <c r="G298" s="32"/>
      <c r="H298" s="32"/>
    </row>
    <row r="299" spans="3:8">
      <c r="C299" s="232"/>
      <c r="D299" s="32"/>
      <c r="E299" s="2"/>
      <c r="F299" s="211"/>
      <c r="G299" s="32"/>
      <c r="H299" s="32"/>
    </row>
    <row r="300" spans="3:8">
      <c r="C300" s="232"/>
      <c r="D300" s="32"/>
      <c r="E300" s="2"/>
      <c r="F300" s="211"/>
      <c r="G300" s="32"/>
      <c r="H300" s="32"/>
    </row>
    <row r="301" spans="3:8">
      <c r="C301" s="232"/>
      <c r="D301" s="32"/>
      <c r="E301" s="2"/>
      <c r="F301" s="211"/>
      <c r="G301" s="32"/>
      <c r="H301" s="32"/>
    </row>
    <row r="302" spans="3:8">
      <c r="C302" s="232"/>
      <c r="D302" s="32"/>
      <c r="E302" s="2"/>
      <c r="F302" s="211"/>
      <c r="G302" s="32"/>
      <c r="H302" s="32"/>
    </row>
    <row r="303" spans="3:8">
      <c r="C303" s="232"/>
      <c r="D303" s="32"/>
      <c r="E303" s="2"/>
      <c r="F303" s="211"/>
      <c r="G303" s="32"/>
      <c r="H303" s="32"/>
    </row>
    <row r="304" spans="3:8">
      <c r="C304" s="232"/>
      <c r="D304" s="32"/>
      <c r="E304" s="2"/>
      <c r="F304" s="211"/>
      <c r="G304" s="32"/>
      <c r="H304" s="32"/>
    </row>
    <row r="305" spans="3:8">
      <c r="C305" s="232"/>
      <c r="D305" s="32"/>
      <c r="E305" s="2"/>
      <c r="F305" s="211"/>
      <c r="G305" s="32"/>
      <c r="H305" s="32"/>
    </row>
    <row r="306" spans="3:8">
      <c r="C306" s="232"/>
      <c r="D306" s="32"/>
      <c r="E306" s="2"/>
      <c r="F306" s="211"/>
      <c r="G306" s="32"/>
      <c r="H306" s="32"/>
    </row>
    <row r="307" spans="3:8">
      <c r="C307" s="232"/>
      <c r="D307" s="32"/>
      <c r="E307" s="2"/>
      <c r="F307" s="211"/>
      <c r="G307" s="32"/>
      <c r="H307" s="32"/>
    </row>
    <row r="308" spans="3:8">
      <c r="C308" s="232"/>
      <c r="D308" s="32"/>
      <c r="E308" s="2"/>
      <c r="F308" s="211"/>
      <c r="G308" s="32"/>
      <c r="H308" s="32"/>
    </row>
    <row r="309" spans="3:8" ht="14.1">
      <c r="C309" s="232"/>
      <c r="D309" s="229"/>
      <c r="E309" s="25"/>
      <c r="F309" s="230"/>
      <c r="G309" s="32"/>
      <c r="H309" s="32"/>
    </row>
    <row r="310" spans="3:8">
      <c r="C310" s="232"/>
      <c r="D310" s="32"/>
      <c r="E310" s="2"/>
      <c r="F310" s="211"/>
      <c r="G310" s="32"/>
      <c r="H310" s="32"/>
    </row>
    <row r="311" spans="3:8">
      <c r="C311" s="232"/>
      <c r="D311" s="32"/>
      <c r="E311" s="2"/>
      <c r="F311" s="211"/>
      <c r="G311" s="32"/>
      <c r="H311" s="32"/>
    </row>
    <row r="312" spans="3:8">
      <c r="C312" s="232"/>
      <c r="D312" s="32"/>
      <c r="E312" s="2"/>
      <c r="F312" s="211"/>
      <c r="G312" s="32"/>
      <c r="H312" s="32"/>
    </row>
    <row r="313" spans="3:8">
      <c r="C313" s="232"/>
      <c r="D313" s="32"/>
      <c r="E313" s="2"/>
      <c r="F313" s="211"/>
      <c r="G313" s="32"/>
      <c r="H313" s="32"/>
    </row>
    <row r="314" spans="3:8">
      <c r="C314" s="232"/>
      <c r="D314" s="32"/>
      <c r="E314" s="2"/>
      <c r="F314" s="211"/>
      <c r="G314" s="32"/>
      <c r="H314" s="32"/>
    </row>
    <row r="315" spans="3:8">
      <c r="C315" s="232"/>
      <c r="D315" s="32"/>
      <c r="E315" s="2"/>
      <c r="F315" s="211"/>
      <c r="G315" s="32"/>
      <c r="H315" s="32"/>
    </row>
    <row r="316" spans="3:8">
      <c r="C316" s="232"/>
      <c r="D316" s="32"/>
      <c r="E316" s="2"/>
      <c r="F316" s="211"/>
      <c r="G316" s="32"/>
      <c r="H316" s="32"/>
    </row>
    <row r="317" spans="3:8">
      <c r="C317" s="232"/>
      <c r="D317" s="32"/>
      <c r="E317" s="2"/>
      <c r="F317" s="211"/>
      <c r="G317" s="32"/>
      <c r="H317" s="32"/>
    </row>
    <row r="318" spans="3:8">
      <c r="C318" s="232"/>
      <c r="D318" s="32"/>
      <c r="E318" s="2"/>
      <c r="F318" s="211"/>
      <c r="G318" s="32"/>
      <c r="H318" s="32"/>
    </row>
    <row r="319" spans="3:8">
      <c r="C319" s="232"/>
      <c r="D319" s="32"/>
      <c r="E319" s="2"/>
      <c r="F319" s="211"/>
      <c r="G319" s="32"/>
      <c r="H319" s="32"/>
    </row>
    <row r="320" spans="3:8">
      <c r="C320" s="232"/>
      <c r="D320" s="32"/>
      <c r="E320" s="2"/>
      <c r="F320" s="211"/>
      <c r="G320" s="32"/>
      <c r="H320" s="32"/>
    </row>
    <row r="321" spans="3:8">
      <c r="C321" s="232"/>
      <c r="D321" s="32"/>
      <c r="E321" s="2"/>
      <c r="F321" s="211"/>
      <c r="G321" s="32"/>
      <c r="H321" s="32"/>
    </row>
    <row r="322" spans="3:8">
      <c r="C322" s="232"/>
      <c r="D322" s="32"/>
      <c r="E322" s="2"/>
      <c r="F322" s="211"/>
      <c r="G322" s="32"/>
      <c r="H322" s="32"/>
    </row>
    <row r="323" spans="3:8">
      <c r="C323" s="232"/>
      <c r="D323" s="32"/>
      <c r="E323" s="2"/>
      <c r="F323" s="211"/>
      <c r="G323" s="32"/>
      <c r="H323" s="32"/>
    </row>
    <row r="324" spans="3:8">
      <c r="C324" s="232"/>
      <c r="D324" s="32"/>
      <c r="E324" s="2"/>
      <c r="F324" s="211"/>
      <c r="G324" s="32"/>
      <c r="H324" s="32"/>
    </row>
    <row r="325" spans="3:8">
      <c r="C325" s="232"/>
      <c r="D325" s="32"/>
      <c r="E325" s="2"/>
      <c r="F325" s="211"/>
      <c r="G325" s="32"/>
      <c r="H325" s="32"/>
    </row>
    <row r="326" spans="3:8">
      <c r="C326" s="232"/>
      <c r="D326" s="32"/>
      <c r="E326" s="2"/>
      <c r="F326" s="211"/>
      <c r="G326" s="32"/>
      <c r="H326" s="32"/>
    </row>
    <row r="327" spans="3:8">
      <c r="C327" s="232"/>
      <c r="D327" s="32"/>
      <c r="E327" s="2"/>
      <c r="F327" s="211"/>
      <c r="G327" s="32"/>
      <c r="H327" s="32"/>
    </row>
    <row r="328" spans="3:8">
      <c r="C328" s="232"/>
      <c r="D328" s="32"/>
      <c r="E328" s="2"/>
      <c r="F328" s="211"/>
      <c r="G328" s="32"/>
      <c r="H328" s="32"/>
    </row>
    <row r="329" spans="3:8">
      <c r="C329" s="232"/>
      <c r="D329" s="32"/>
      <c r="E329" s="2"/>
      <c r="F329" s="211"/>
      <c r="G329" s="32"/>
      <c r="H329" s="32"/>
    </row>
    <row r="330" spans="3:8">
      <c r="C330" s="232"/>
      <c r="D330" s="32"/>
      <c r="E330" s="2"/>
      <c r="F330" s="211"/>
      <c r="G330" s="32"/>
      <c r="H330" s="32"/>
    </row>
    <row r="331" spans="3:8">
      <c r="C331" s="232"/>
      <c r="D331" s="32"/>
      <c r="E331" s="2"/>
      <c r="F331" s="211"/>
      <c r="G331" s="32"/>
      <c r="H331" s="32"/>
    </row>
    <row r="332" spans="3:8">
      <c r="C332" s="232"/>
      <c r="D332" s="32"/>
      <c r="E332" s="2"/>
      <c r="F332" s="211"/>
      <c r="G332" s="32"/>
      <c r="H332" s="32"/>
    </row>
    <row r="333" spans="3:8">
      <c r="C333" s="232"/>
      <c r="D333" s="32"/>
      <c r="E333" s="2"/>
      <c r="F333" s="211"/>
      <c r="G333" s="32"/>
      <c r="H333" s="32"/>
    </row>
    <row r="334" spans="3:8">
      <c r="C334" s="232"/>
      <c r="D334" s="32"/>
      <c r="E334" s="2"/>
      <c r="F334" s="211"/>
      <c r="G334" s="32"/>
      <c r="H334" s="32"/>
    </row>
    <row r="335" spans="3:8">
      <c r="C335" s="232"/>
      <c r="D335" s="32"/>
      <c r="E335" s="2"/>
      <c r="F335" s="211"/>
      <c r="G335" s="32"/>
      <c r="H335" s="32"/>
    </row>
    <row r="336" spans="3:8">
      <c r="C336" s="232"/>
      <c r="D336" s="32"/>
      <c r="E336" s="2"/>
      <c r="F336" s="211"/>
      <c r="G336" s="32"/>
      <c r="H336" s="32"/>
    </row>
    <row r="337" spans="3:8">
      <c r="C337" s="232"/>
      <c r="D337" s="32"/>
      <c r="E337" s="2"/>
      <c r="F337" s="211"/>
      <c r="G337" s="32"/>
      <c r="H337" s="32"/>
    </row>
    <row r="338" spans="3:8">
      <c r="C338" s="232"/>
      <c r="D338" s="32"/>
      <c r="E338" s="2"/>
      <c r="F338" s="211"/>
      <c r="G338" s="32"/>
      <c r="H338" s="32"/>
    </row>
    <row r="339" spans="3:8">
      <c r="C339" s="232"/>
      <c r="D339" s="32"/>
      <c r="E339" s="2"/>
      <c r="F339" s="211"/>
      <c r="G339" s="32"/>
      <c r="H339" s="32"/>
    </row>
    <row r="340" spans="3:8">
      <c r="C340" s="232"/>
      <c r="D340" s="32"/>
      <c r="E340" s="2"/>
      <c r="F340" s="211"/>
      <c r="G340" s="32"/>
      <c r="H340" s="32"/>
    </row>
    <row r="341" spans="3:8">
      <c r="C341" s="232"/>
      <c r="D341" s="32"/>
      <c r="E341" s="2"/>
      <c r="F341" s="211"/>
      <c r="G341" s="32"/>
      <c r="H341" s="32"/>
    </row>
    <row r="342" spans="3:8">
      <c r="C342" s="232"/>
      <c r="D342" s="32"/>
      <c r="E342" s="2"/>
      <c r="F342" s="211"/>
      <c r="G342" s="32"/>
      <c r="H342" s="32"/>
    </row>
    <row r="343" spans="3:8">
      <c r="C343" s="232"/>
      <c r="D343" s="32"/>
      <c r="E343" s="2"/>
      <c r="F343" s="211"/>
      <c r="G343" s="32"/>
      <c r="H343" s="32"/>
    </row>
    <row r="344" spans="3:8">
      <c r="C344" s="232"/>
      <c r="D344" s="32"/>
      <c r="E344" s="2"/>
      <c r="F344" s="211"/>
      <c r="G344" s="32"/>
      <c r="H344" s="32"/>
    </row>
    <row r="345" spans="3:8">
      <c r="C345" s="232"/>
      <c r="D345" s="32"/>
      <c r="E345" s="2"/>
      <c r="F345" s="211"/>
      <c r="G345" s="32"/>
      <c r="H345" s="32"/>
    </row>
    <row r="346" spans="3:8">
      <c r="C346" s="232"/>
      <c r="D346" s="32"/>
      <c r="E346" s="2"/>
      <c r="F346" s="211"/>
      <c r="G346" s="32"/>
      <c r="H346" s="32"/>
    </row>
    <row r="347" spans="3:8">
      <c r="C347" s="232"/>
      <c r="D347" s="32"/>
      <c r="E347" s="2"/>
      <c r="F347" s="211"/>
      <c r="G347" s="32"/>
      <c r="H347" s="32"/>
    </row>
    <row r="348" spans="3:8">
      <c r="C348" s="232"/>
      <c r="D348" s="32"/>
      <c r="E348" s="2"/>
      <c r="F348" s="211"/>
      <c r="G348" s="32"/>
      <c r="H348" s="32"/>
    </row>
    <row r="349" spans="3:8">
      <c r="C349" s="232"/>
      <c r="D349" s="32"/>
      <c r="E349" s="2"/>
      <c r="F349" s="211"/>
      <c r="G349" s="32"/>
      <c r="H349" s="32"/>
    </row>
    <row r="350" spans="3:8">
      <c r="C350" s="232"/>
      <c r="D350" s="32"/>
      <c r="E350" s="2"/>
      <c r="F350" s="211"/>
      <c r="G350" s="32"/>
      <c r="H350" s="32"/>
    </row>
    <row r="351" spans="3:8">
      <c r="C351" s="232"/>
      <c r="D351" s="32"/>
      <c r="E351" s="2"/>
      <c r="F351" s="211"/>
      <c r="G351" s="32"/>
      <c r="H351" s="32"/>
    </row>
    <row r="352" spans="3:8">
      <c r="C352" s="232"/>
      <c r="D352" s="32"/>
      <c r="E352" s="2"/>
      <c r="F352" s="211"/>
      <c r="G352" s="32"/>
      <c r="H352" s="32"/>
    </row>
    <row r="353" spans="3:8">
      <c r="C353" s="232"/>
      <c r="D353" s="32"/>
      <c r="E353" s="2"/>
      <c r="F353" s="211"/>
      <c r="G353" s="32"/>
      <c r="H353" s="32"/>
    </row>
    <row r="354" spans="3:8">
      <c r="C354" s="232"/>
      <c r="D354" s="32"/>
      <c r="E354" s="2"/>
      <c r="F354" s="211"/>
      <c r="G354" s="32"/>
      <c r="H354" s="32"/>
    </row>
    <row r="355" spans="3:8">
      <c r="C355" s="232"/>
      <c r="D355" s="32"/>
      <c r="E355" s="2"/>
      <c r="F355" s="211"/>
      <c r="G355" s="32"/>
      <c r="H355" s="32"/>
    </row>
    <row r="356" spans="3:8">
      <c r="C356" s="232"/>
      <c r="D356" s="32"/>
      <c r="E356" s="2"/>
      <c r="F356" s="211"/>
      <c r="G356" s="32"/>
      <c r="H356" s="32"/>
    </row>
    <row r="357" spans="3:8">
      <c r="C357" s="232"/>
      <c r="D357" s="32"/>
      <c r="E357" s="2"/>
      <c r="F357" s="211"/>
      <c r="G357" s="32"/>
      <c r="H357" s="32"/>
    </row>
    <row r="358" spans="3:8">
      <c r="C358" s="232"/>
      <c r="D358" s="32"/>
      <c r="E358" s="2"/>
      <c r="F358" s="211"/>
      <c r="G358" s="32"/>
      <c r="H358" s="32"/>
    </row>
    <row r="359" spans="3:8">
      <c r="C359" s="232"/>
      <c r="D359" s="32"/>
      <c r="E359" s="2"/>
      <c r="F359" s="211"/>
      <c r="G359" s="32"/>
      <c r="H359" s="32"/>
    </row>
    <row r="360" spans="3:8">
      <c r="C360" s="232"/>
      <c r="D360" s="32"/>
      <c r="E360" s="2"/>
      <c r="F360" s="211"/>
      <c r="G360" s="32"/>
      <c r="H360" s="32"/>
    </row>
    <row r="361" spans="3:8">
      <c r="C361" s="232"/>
      <c r="D361" s="32"/>
      <c r="E361" s="2"/>
      <c r="F361" s="211"/>
      <c r="G361" s="32"/>
      <c r="H361" s="32"/>
    </row>
    <row r="362" spans="3:8">
      <c r="C362" s="232"/>
      <c r="D362" s="32"/>
      <c r="E362" s="2"/>
      <c r="F362" s="211"/>
      <c r="G362" s="32"/>
      <c r="H362" s="32"/>
    </row>
    <row r="363" spans="3:8">
      <c r="C363" s="232"/>
      <c r="D363" s="32"/>
      <c r="E363" s="2"/>
      <c r="F363" s="211"/>
      <c r="G363" s="32"/>
      <c r="H363" s="32"/>
    </row>
    <row r="364" spans="3:8">
      <c r="C364" s="232"/>
      <c r="D364" s="32"/>
      <c r="E364" s="2"/>
      <c r="F364" s="211"/>
      <c r="G364" s="32"/>
      <c r="H364" s="32"/>
    </row>
    <row r="365" spans="3:8">
      <c r="C365" s="232"/>
      <c r="D365" s="32"/>
      <c r="E365" s="2"/>
      <c r="F365" s="211"/>
      <c r="G365" s="32"/>
      <c r="H365" s="32"/>
    </row>
    <row r="366" spans="3:8">
      <c r="C366" s="232"/>
      <c r="D366" s="32"/>
      <c r="E366" s="2"/>
      <c r="F366" s="211"/>
      <c r="G366" s="32"/>
      <c r="H366" s="32"/>
    </row>
    <row r="367" spans="3:8">
      <c r="C367" s="232"/>
      <c r="D367" s="32"/>
      <c r="E367" s="2"/>
      <c r="F367" s="211"/>
      <c r="G367" s="32"/>
      <c r="H367" s="32"/>
    </row>
    <row r="368" spans="3:8">
      <c r="C368" s="232"/>
      <c r="D368" s="32"/>
      <c r="E368" s="2"/>
      <c r="F368" s="211"/>
      <c r="G368" s="32"/>
      <c r="H368" s="32"/>
    </row>
    <row r="369" spans="3:8">
      <c r="C369" s="232"/>
      <c r="D369" s="32"/>
      <c r="E369" s="2"/>
      <c r="F369" s="211"/>
      <c r="G369" s="32"/>
      <c r="H369" s="32"/>
    </row>
    <row r="370" spans="3:8">
      <c r="C370" s="232"/>
      <c r="D370" s="32"/>
      <c r="E370" s="2"/>
      <c r="F370" s="211"/>
      <c r="G370" s="32"/>
      <c r="H370" s="32"/>
    </row>
    <row r="371" spans="3:8">
      <c r="C371" s="232"/>
      <c r="D371" s="32"/>
      <c r="E371" s="2"/>
      <c r="F371" s="211"/>
      <c r="G371" s="32"/>
      <c r="H371" s="32"/>
    </row>
    <row r="372" spans="3:8" ht="14.1">
      <c r="C372" s="235"/>
      <c r="D372" s="235"/>
      <c r="E372" s="236"/>
      <c r="F372" s="237"/>
      <c r="G372" s="32"/>
      <c r="H372" s="32"/>
    </row>
    <row r="373" spans="3:8">
      <c r="C373" s="232"/>
      <c r="D373" s="32"/>
      <c r="E373" s="2"/>
      <c r="F373" s="211"/>
      <c r="G373" s="32"/>
      <c r="H373" s="32"/>
    </row>
    <row r="374" spans="3:8">
      <c r="C374" s="232"/>
      <c r="D374" s="32"/>
      <c r="E374" s="2"/>
      <c r="F374" s="211"/>
      <c r="G374" s="32"/>
      <c r="H374" s="32"/>
    </row>
    <row r="375" spans="3:8">
      <c r="C375" s="232"/>
      <c r="D375" s="32"/>
      <c r="E375" s="2"/>
      <c r="F375" s="211"/>
      <c r="G375" s="32"/>
      <c r="H375" s="32"/>
    </row>
    <row r="376" spans="3:8">
      <c r="C376" s="232"/>
      <c r="D376" s="32"/>
      <c r="E376" s="2"/>
      <c r="F376" s="211"/>
      <c r="G376" s="32"/>
      <c r="H376" s="32"/>
    </row>
    <row r="377" spans="3:8" ht="14.1">
      <c r="C377" s="235"/>
      <c r="D377" s="235"/>
      <c r="E377" s="236"/>
      <c r="F377" s="237"/>
      <c r="G377" s="32"/>
      <c r="H377" s="32"/>
    </row>
    <row r="378" spans="3:8">
      <c r="C378" s="232"/>
      <c r="D378" s="32"/>
      <c r="E378" s="2"/>
      <c r="F378" s="211"/>
      <c r="G378" s="32"/>
      <c r="H378" s="32"/>
    </row>
    <row r="379" spans="3:8">
      <c r="C379" s="232"/>
      <c r="D379" s="32"/>
      <c r="E379" s="2"/>
      <c r="F379" s="211"/>
      <c r="G379" s="32"/>
      <c r="H379" s="32"/>
    </row>
    <row r="380" spans="3:8">
      <c r="C380" s="232"/>
      <c r="D380" s="32"/>
      <c r="E380" s="2"/>
      <c r="F380" s="211"/>
      <c r="G380" s="32"/>
      <c r="H380" s="32"/>
    </row>
    <row r="381" spans="3:8" ht="14.1">
      <c r="C381" s="235"/>
      <c r="D381" s="235"/>
      <c r="E381" s="236"/>
      <c r="F381" s="237"/>
      <c r="G381" s="32"/>
      <c r="H381" s="32"/>
    </row>
    <row r="382" spans="3:8">
      <c r="C382" s="232"/>
      <c r="D382" s="32"/>
      <c r="E382" s="2"/>
      <c r="F382" s="211"/>
      <c r="G382" s="32"/>
      <c r="H382" s="32"/>
    </row>
    <row r="383" spans="3:8">
      <c r="C383" s="232"/>
      <c r="D383" s="32"/>
      <c r="E383" s="2"/>
      <c r="F383" s="211"/>
      <c r="G383" s="32"/>
      <c r="H383" s="32"/>
    </row>
    <row r="384" spans="3:8" ht="14.1">
      <c r="C384" s="235"/>
      <c r="D384" s="235"/>
      <c r="E384" s="236"/>
      <c r="F384" s="237"/>
      <c r="G384" s="32"/>
      <c r="H384" s="32"/>
    </row>
    <row r="385" spans="3:8">
      <c r="C385" s="232"/>
      <c r="D385" s="32"/>
      <c r="E385" s="2"/>
      <c r="F385" s="211"/>
      <c r="G385" s="32"/>
      <c r="H385" s="32"/>
    </row>
    <row r="386" spans="3:8">
      <c r="C386" s="232"/>
      <c r="D386" s="32"/>
      <c r="E386" s="2"/>
      <c r="F386" s="211"/>
      <c r="G386" s="32"/>
      <c r="H386" s="32"/>
    </row>
    <row r="387" spans="3:8">
      <c r="C387" s="232"/>
      <c r="D387" s="32"/>
      <c r="E387" s="2"/>
      <c r="F387" s="211"/>
      <c r="G387" s="32"/>
      <c r="H387" s="32"/>
    </row>
    <row r="388" spans="3:8">
      <c r="C388" s="232"/>
      <c r="D388" s="32"/>
      <c r="E388" s="2"/>
      <c r="F388" s="211"/>
      <c r="G388" s="32"/>
      <c r="H388" s="32"/>
    </row>
    <row r="389" spans="3:8">
      <c r="C389" s="232"/>
      <c r="D389" s="32"/>
      <c r="E389" s="2"/>
      <c r="F389" s="211"/>
      <c r="G389" s="32"/>
      <c r="H389" s="32"/>
    </row>
    <row r="390" spans="3:8">
      <c r="C390" s="232"/>
      <c r="D390" s="32"/>
      <c r="E390" s="2"/>
      <c r="F390" s="211"/>
      <c r="G390" s="32"/>
      <c r="H390" s="32"/>
    </row>
    <row r="391" spans="3:8">
      <c r="C391" s="232"/>
      <c r="D391" s="32"/>
      <c r="E391" s="2"/>
      <c r="F391" s="211"/>
      <c r="G391" s="32"/>
      <c r="H391" s="32"/>
    </row>
    <row r="392" spans="3:8">
      <c r="C392" s="232"/>
      <c r="D392" s="32"/>
      <c r="E392" s="2"/>
      <c r="F392" s="211"/>
      <c r="G392" s="32"/>
      <c r="H392" s="32"/>
    </row>
    <row r="393" spans="3:8">
      <c r="C393" s="232"/>
      <c r="D393" s="32"/>
      <c r="E393" s="2"/>
      <c r="F393" s="211"/>
      <c r="G393" s="32"/>
      <c r="H393" s="32"/>
    </row>
    <row r="394" spans="3:8">
      <c r="C394" s="232"/>
      <c r="D394" s="32"/>
      <c r="E394" s="2"/>
      <c r="F394" s="211"/>
      <c r="G394" s="32"/>
      <c r="H394" s="32"/>
    </row>
    <row r="395" spans="3:8">
      <c r="C395" s="232"/>
      <c r="D395" s="32"/>
      <c r="E395" s="2"/>
      <c r="F395" s="211"/>
      <c r="G395" s="32"/>
      <c r="H395" s="32"/>
    </row>
    <row r="396" spans="3:8">
      <c r="C396" s="232"/>
      <c r="D396" s="32"/>
      <c r="E396" s="2"/>
      <c r="F396" s="211"/>
      <c r="G396" s="32"/>
      <c r="H396" s="32"/>
    </row>
    <row r="397" spans="3:8">
      <c r="C397" s="232"/>
      <c r="D397" s="32"/>
      <c r="E397" s="2"/>
      <c r="F397" s="211"/>
      <c r="G397" s="32"/>
      <c r="H397" s="32"/>
    </row>
    <row r="398" spans="3:8">
      <c r="C398" s="232"/>
      <c r="D398" s="32"/>
      <c r="E398" s="2"/>
      <c r="F398" s="211"/>
      <c r="G398" s="32"/>
      <c r="H398" s="32"/>
    </row>
    <row r="399" spans="3:8">
      <c r="C399" s="232"/>
      <c r="D399" s="32"/>
      <c r="E399" s="2"/>
      <c r="F399" s="211"/>
      <c r="G399" s="32"/>
      <c r="H399" s="32"/>
    </row>
    <row r="400" spans="3:8">
      <c r="C400" s="232"/>
      <c r="D400" s="32"/>
      <c r="E400" s="2"/>
      <c r="F400" s="211"/>
      <c r="G400" s="32"/>
      <c r="H400" s="32"/>
    </row>
    <row r="401" spans="3:8">
      <c r="C401" s="232"/>
      <c r="D401" s="32"/>
      <c r="E401" s="2"/>
      <c r="F401" s="211"/>
      <c r="G401" s="32"/>
      <c r="H401" s="32"/>
    </row>
    <row r="402" spans="3:8">
      <c r="C402" s="232"/>
      <c r="D402" s="32"/>
      <c r="E402" s="2"/>
      <c r="F402" s="211"/>
      <c r="G402" s="32"/>
      <c r="H402" s="32"/>
    </row>
    <row r="403" spans="3:8">
      <c r="C403" s="232"/>
      <c r="D403" s="32"/>
      <c r="E403" s="2"/>
      <c r="F403" s="211"/>
      <c r="G403" s="32"/>
      <c r="H403" s="32"/>
    </row>
    <row r="404" spans="3:8">
      <c r="C404" s="232"/>
      <c r="D404" s="32"/>
      <c r="E404" s="2"/>
      <c r="F404" s="211"/>
      <c r="G404" s="32"/>
      <c r="H404" s="32"/>
    </row>
    <row r="405" spans="3:8">
      <c r="C405" s="232"/>
      <c r="D405" s="32"/>
      <c r="E405" s="2"/>
      <c r="F405" s="211"/>
      <c r="G405" s="32"/>
      <c r="H405" s="32"/>
    </row>
    <row r="406" spans="3:8" ht="14.1">
      <c r="C406" s="235"/>
      <c r="D406" s="235"/>
      <c r="E406" s="236"/>
      <c r="F406" s="237"/>
      <c r="G406" s="32"/>
      <c r="H406" s="32"/>
    </row>
    <row r="407" spans="3:8">
      <c r="C407" s="232"/>
      <c r="D407" s="32"/>
      <c r="E407" s="2"/>
      <c r="F407" s="211"/>
      <c r="G407" s="32"/>
      <c r="H407" s="32"/>
    </row>
    <row r="408" spans="3:8">
      <c r="C408" s="232"/>
      <c r="D408" s="32"/>
      <c r="E408" s="2"/>
      <c r="F408" s="211"/>
      <c r="G408" s="32"/>
      <c r="H408" s="32"/>
    </row>
    <row r="409" spans="3:8">
      <c r="C409" s="232"/>
      <c r="D409" s="32"/>
      <c r="E409" s="2"/>
      <c r="F409" s="211"/>
      <c r="G409" s="32"/>
      <c r="H409" s="32"/>
    </row>
    <row r="410" spans="3:8">
      <c r="C410" s="232"/>
      <c r="D410" s="32"/>
      <c r="E410" s="2"/>
      <c r="F410" s="211"/>
      <c r="G410" s="32"/>
      <c r="H410" s="32"/>
    </row>
    <row r="411" spans="3:8">
      <c r="C411" s="232"/>
      <c r="D411" s="32"/>
      <c r="E411" s="2"/>
      <c r="F411" s="211"/>
      <c r="G411" s="32"/>
      <c r="H411" s="32"/>
    </row>
    <row r="412" spans="3:8">
      <c r="C412" s="232"/>
      <c r="D412" s="32"/>
      <c r="E412" s="2"/>
      <c r="F412" s="211"/>
      <c r="G412" s="32"/>
      <c r="H412" s="32"/>
    </row>
    <row r="413" spans="3:8" ht="14.1">
      <c r="C413" s="232"/>
      <c r="D413" s="229"/>
      <c r="E413" s="25"/>
      <c r="F413" s="230"/>
      <c r="G413" s="32"/>
      <c r="H413" s="32"/>
    </row>
    <row r="414" spans="3:8">
      <c r="C414" s="232"/>
      <c r="D414" s="32"/>
      <c r="E414" s="2"/>
      <c r="F414" s="211"/>
      <c r="G414" s="32"/>
      <c r="H414" s="32"/>
    </row>
    <row r="415" spans="3:8">
      <c r="C415" s="232"/>
      <c r="D415" s="32"/>
      <c r="E415" s="2"/>
      <c r="F415" s="211"/>
      <c r="G415" s="32"/>
      <c r="H415" s="32"/>
    </row>
    <row r="416" spans="3:8">
      <c r="C416" s="232"/>
      <c r="D416" s="32"/>
      <c r="E416" s="2"/>
      <c r="F416" s="211"/>
      <c r="G416" s="32"/>
      <c r="H416" s="32"/>
    </row>
    <row r="417" spans="3:8">
      <c r="C417" s="232"/>
      <c r="D417" s="32"/>
      <c r="E417" s="2"/>
      <c r="F417" s="211"/>
      <c r="G417" s="32"/>
      <c r="H417" s="32"/>
    </row>
    <row r="418" spans="3:8">
      <c r="C418" s="232"/>
      <c r="D418" s="32"/>
      <c r="E418" s="2"/>
      <c r="F418" s="211"/>
      <c r="G418" s="32"/>
      <c r="H418" s="32"/>
    </row>
    <row r="419" spans="3:8">
      <c r="C419" s="232"/>
      <c r="D419" s="32"/>
      <c r="E419" s="2"/>
      <c r="F419" s="211"/>
      <c r="G419" s="32"/>
      <c r="H419" s="32"/>
    </row>
    <row r="420" spans="3:8">
      <c r="C420" s="232"/>
      <c r="D420" s="32"/>
      <c r="E420" s="2"/>
      <c r="F420" s="211"/>
      <c r="G420" s="32"/>
      <c r="H420" s="32"/>
    </row>
    <row r="421" spans="3:8">
      <c r="C421" s="232"/>
      <c r="D421" s="32"/>
      <c r="E421" s="2"/>
      <c r="F421" s="211"/>
      <c r="G421" s="32"/>
      <c r="H421" s="32"/>
    </row>
    <row r="422" spans="3:8">
      <c r="C422" s="232"/>
      <c r="D422" s="32"/>
      <c r="E422" s="2"/>
      <c r="F422" s="211"/>
      <c r="G422" s="32"/>
      <c r="H422" s="32"/>
    </row>
    <row r="423" spans="3:8">
      <c r="C423" s="232"/>
      <c r="D423" s="32"/>
      <c r="E423" s="2"/>
      <c r="F423" s="211"/>
      <c r="G423" s="32"/>
      <c r="H423" s="32"/>
    </row>
    <row r="424" spans="3:8" ht="14.1">
      <c r="C424" s="232"/>
      <c r="D424" s="229"/>
      <c r="E424" s="25"/>
      <c r="F424" s="230"/>
      <c r="G424" s="32"/>
      <c r="H424" s="32"/>
    </row>
    <row r="425" spans="3:8">
      <c r="C425" s="232"/>
      <c r="D425" s="32"/>
      <c r="E425" s="2"/>
      <c r="F425" s="211"/>
      <c r="G425" s="32"/>
      <c r="H425" s="32"/>
    </row>
    <row r="426" spans="3:8">
      <c r="C426" s="232"/>
      <c r="D426" s="32"/>
      <c r="E426" s="2"/>
      <c r="F426" s="211"/>
      <c r="G426" s="32"/>
      <c r="H426" s="32"/>
    </row>
    <row r="427" spans="3:8">
      <c r="C427" s="232"/>
      <c r="D427" s="32"/>
      <c r="E427" s="2"/>
      <c r="F427" s="211"/>
      <c r="G427" s="32"/>
      <c r="H427" s="32"/>
    </row>
    <row r="428" spans="3:8">
      <c r="C428" s="232"/>
      <c r="D428" s="32"/>
      <c r="E428" s="2"/>
      <c r="F428" s="211"/>
      <c r="G428" s="32"/>
      <c r="H428" s="32"/>
    </row>
    <row r="429" spans="3:8">
      <c r="C429" s="232"/>
      <c r="D429" s="32"/>
      <c r="E429" s="2"/>
      <c r="F429" s="211"/>
      <c r="G429" s="32"/>
      <c r="H429" s="32"/>
    </row>
    <row r="430" spans="3:8">
      <c r="C430" s="232"/>
      <c r="D430" s="32"/>
      <c r="E430" s="2"/>
      <c r="F430" s="211"/>
      <c r="G430" s="32"/>
      <c r="H430" s="32"/>
    </row>
    <row r="431" spans="3:8">
      <c r="C431" s="232"/>
      <c r="D431" s="32"/>
      <c r="E431" s="2"/>
      <c r="F431" s="211"/>
      <c r="G431" s="32"/>
      <c r="H431" s="32"/>
    </row>
    <row r="432" spans="3:8">
      <c r="C432" s="232"/>
      <c r="D432" s="32"/>
      <c r="E432" s="2"/>
      <c r="F432" s="211"/>
      <c r="G432" s="32"/>
      <c r="H432" s="32"/>
    </row>
    <row r="433" spans="3:8">
      <c r="C433" s="232"/>
      <c r="D433" s="32"/>
      <c r="E433" s="2"/>
      <c r="F433" s="211"/>
      <c r="G433" s="32"/>
      <c r="H433" s="32"/>
    </row>
    <row r="434" spans="3:8">
      <c r="C434" s="232"/>
      <c r="D434" s="32"/>
      <c r="E434" s="2"/>
      <c r="F434" s="211"/>
      <c r="G434" s="32"/>
      <c r="H434" s="32"/>
    </row>
    <row r="435" spans="3:8">
      <c r="C435" s="232"/>
      <c r="D435" s="32"/>
      <c r="E435" s="2"/>
      <c r="F435" s="211"/>
      <c r="G435" s="32"/>
      <c r="H435" s="32"/>
    </row>
    <row r="436" spans="3:8">
      <c r="C436" s="232"/>
      <c r="D436" s="32"/>
      <c r="E436" s="2"/>
      <c r="F436" s="211"/>
      <c r="G436" s="32"/>
      <c r="H436" s="32"/>
    </row>
    <row r="437" spans="3:8">
      <c r="C437" s="232"/>
      <c r="D437" s="32"/>
      <c r="E437" s="2"/>
      <c r="F437" s="211"/>
      <c r="G437" s="32"/>
      <c r="H437" s="32"/>
    </row>
    <row r="438" spans="3:8">
      <c r="C438" s="232"/>
      <c r="D438" s="32"/>
      <c r="E438" s="2"/>
      <c r="F438" s="211"/>
      <c r="G438" s="32"/>
      <c r="H438" s="32"/>
    </row>
    <row r="439" spans="3:8">
      <c r="C439" s="232"/>
      <c r="D439" s="32"/>
      <c r="E439" s="2"/>
      <c r="F439" s="211"/>
      <c r="G439" s="32"/>
      <c r="H439" s="32"/>
    </row>
    <row r="440" spans="3:8">
      <c r="C440" s="232"/>
      <c r="D440" s="32"/>
      <c r="E440" s="2"/>
      <c r="F440" s="211"/>
      <c r="G440" s="32"/>
      <c r="H440" s="32"/>
    </row>
    <row r="441" spans="3:8">
      <c r="C441" s="232"/>
      <c r="D441" s="32"/>
      <c r="E441" s="2"/>
      <c r="F441" s="211"/>
      <c r="G441" s="32"/>
      <c r="H441" s="32"/>
    </row>
    <row r="442" spans="3:8" ht="14.1">
      <c r="C442" s="235"/>
      <c r="D442" s="235"/>
      <c r="E442" s="236"/>
      <c r="F442" s="237"/>
      <c r="G442" s="32"/>
      <c r="H442" s="32"/>
    </row>
    <row r="443" spans="3:8">
      <c r="C443" s="232"/>
      <c r="D443" s="32"/>
      <c r="E443" s="2"/>
      <c r="F443" s="211"/>
      <c r="G443" s="32"/>
      <c r="H443" s="32"/>
    </row>
    <row r="444" spans="3:8">
      <c r="C444" s="232"/>
      <c r="D444" s="32"/>
      <c r="E444" s="2"/>
      <c r="F444" s="211"/>
      <c r="G444" s="32"/>
      <c r="H444" s="32"/>
    </row>
    <row r="445" spans="3:8">
      <c r="C445" s="232"/>
      <c r="D445" s="32"/>
      <c r="E445" s="2"/>
      <c r="F445" s="211"/>
      <c r="G445" s="32"/>
      <c r="H445" s="32"/>
    </row>
    <row r="446" spans="3:8">
      <c r="C446" s="232"/>
      <c r="D446" s="32"/>
      <c r="E446" s="2"/>
      <c r="F446" s="211"/>
      <c r="G446" s="32"/>
      <c r="H446" s="32"/>
    </row>
    <row r="447" spans="3:8">
      <c r="C447" s="232"/>
      <c r="D447" s="32"/>
      <c r="E447" s="2"/>
      <c r="F447" s="211"/>
      <c r="G447" s="32"/>
      <c r="H447" s="32"/>
    </row>
    <row r="448" spans="3:8">
      <c r="C448" s="232"/>
      <c r="D448" s="32"/>
      <c r="E448" s="2"/>
      <c r="F448" s="211"/>
      <c r="G448" s="32"/>
      <c r="H448" s="32"/>
    </row>
    <row r="449" spans="3:8">
      <c r="C449" s="232"/>
      <c r="D449" s="32"/>
      <c r="E449" s="2"/>
      <c r="F449" s="211"/>
      <c r="G449" s="32"/>
      <c r="H449" s="32"/>
    </row>
    <row r="450" spans="3:8">
      <c r="C450" s="232"/>
      <c r="D450" s="32"/>
      <c r="E450" s="2"/>
      <c r="F450" s="211"/>
      <c r="G450" s="32"/>
      <c r="H450" s="32"/>
    </row>
    <row r="451" spans="3:8">
      <c r="C451" s="232"/>
      <c r="D451" s="32"/>
      <c r="E451" s="2"/>
      <c r="F451" s="211"/>
      <c r="G451" s="32"/>
      <c r="H451" s="32"/>
    </row>
    <row r="452" spans="3:8">
      <c r="C452" s="232"/>
      <c r="D452" s="32"/>
      <c r="E452" s="2"/>
      <c r="F452" s="211"/>
      <c r="G452" s="32"/>
      <c r="H452" s="32"/>
    </row>
    <row r="453" spans="3:8">
      <c r="C453" s="232"/>
      <c r="D453" s="32"/>
      <c r="E453" s="2"/>
      <c r="F453" s="211"/>
      <c r="G453" s="32"/>
      <c r="H453" s="32"/>
    </row>
    <row r="454" spans="3:8">
      <c r="C454" s="232"/>
      <c r="D454" s="32"/>
      <c r="E454" s="2"/>
      <c r="F454" s="211"/>
      <c r="G454" s="32"/>
      <c r="H454" s="32"/>
    </row>
    <row r="455" spans="3:8">
      <c r="C455" s="232"/>
      <c r="D455" s="32"/>
      <c r="E455" s="2"/>
      <c r="F455" s="211"/>
      <c r="G455" s="32"/>
      <c r="H455" s="32"/>
    </row>
    <row r="456" spans="3:8">
      <c r="C456" s="232"/>
      <c r="D456" s="32"/>
      <c r="E456" s="2"/>
      <c r="F456" s="211"/>
      <c r="G456" s="32"/>
      <c r="H456" s="32"/>
    </row>
    <row r="457" spans="3:8">
      <c r="C457" s="232"/>
      <c r="D457" s="32"/>
      <c r="E457" s="2"/>
      <c r="F457" s="211"/>
      <c r="G457" s="32"/>
      <c r="H457" s="32"/>
    </row>
    <row r="458" spans="3:8">
      <c r="C458" s="232"/>
      <c r="D458" s="32"/>
      <c r="E458" s="2"/>
      <c r="F458" s="211"/>
      <c r="G458" s="32"/>
      <c r="H458" s="32"/>
    </row>
    <row r="459" spans="3:8">
      <c r="C459" s="232"/>
      <c r="D459" s="32"/>
      <c r="E459" s="2"/>
      <c r="F459" s="211"/>
      <c r="G459" s="32"/>
      <c r="H459" s="32"/>
    </row>
    <row r="460" spans="3:8">
      <c r="C460" s="232"/>
      <c r="D460" s="32"/>
      <c r="E460" s="2"/>
      <c r="F460" s="211"/>
      <c r="G460" s="32"/>
      <c r="H460" s="32"/>
    </row>
    <row r="461" spans="3:8">
      <c r="C461" s="232"/>
      <c r="D461" s="32"/>
      <c r="E461" s="2"/>
      <c r="F461" s="211"/>
      <c r="G461" s="32"/>
      <c r="H461" s="32"/>
    </row>
    <row r="462" spans="3:8">
      <c r="C462" s="232"/>
      <c r="D462" s="32"/>
      <c r="E462" s="2"/>
      <c r="F462" s="211"/>
      <c r="G462" s="32"/>
      <c r="H462" s="32"/>
    </row>
    <row r="463" spans="3:8">
      <c r="C463" s="232"/>
      <c r="D463" s="32"/>
      <c r="E463" s="2"/>
      <c r="F463" s="211"/>
      <c r="G463" s="32"/>
      <c r="H463" s="32"/>
    </row>
  </sheetData>
  <sortState xmlns:xlrd2="http://schemas.microsoft.com/office/spreadsheetml/2017/richdata2" ref="A2:B244">
    <sortCondition ref="A2:A244"/>
    <sortCondition ref="B2:B244"/>
  </sortState>
  <conditionalFormatting sqref="A2:B244">
    <cfRule type="top10" dxfId="0" priority="1" rank="10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F8F9-9A5C-4D1F-B98A-FEAAF5D85EA8}">
  <dimension ref="A1:H8"/>
  <sheetViews>
    <sheetView workbookViewId="0">
      <selection activeCell="F5" sqref="F5"/>
    </sheetView>
  </sheetViews>
  <sheetFormatPr defaultRowHeight="14.1"/>
  <cols>
    <col min="1" max="1" width="6.6171875" style="193" customWidth="1"/>
    <col min="2" max="8" width="6.6171875" style="69" customWidth="1"/>
  </cols>
  <sheetData>
    <row r="1" spans="1:8" s="23" customFormat="1" ht="24" customHeight="1">
      <c r="A1" s="193"/>
      <c r="B1" s="195" t="s">
        <v>16</v>
      </c>
      <c r="C1" s="195" t="s">
        <v>4</v>
      </c>
      <c r="D1" s="195" t="s">
        <v>99</v>
      </c>
      <c r="E1" s="195" t="s">
        <v>40</v>
      </c>
      <c r="F1" s="195" t="s">
        <v>100</v>
      </c>
      <c r="G1" s="195" t="s">
        <v>17</v>
      </c>
      <c r="H1" s="195" t="s">
        <v>101</v>
      </c>
    </row>
    <row r="2" spans="1:8" ht="24" customHeight="1">
      <c r="A2" s="194" t="s">
        <v>16</v>
      </c>
      <c r="C2" s="192">
        <v>2.2882538000000001</v>
      </c>
      <c r="D2" s="192">
        <v>0.87403699999999995</v>
      </c>
      <c r="E2" s="192">
        <v>2.2795380000000001</v>
      </c>
      <c r="F2" s="192">
        <v>0.90011799999999997</v>
      </c>
      <c r="G2" s="192">
        <v>0.82533880000000004</v>
      </c>
      <c r="H2" s="192">
        <v>0.1648</v>
      </c>
    </row>
    <row r="3" spans="1:8" ht="24" customHeight="1">
      <c r="A3" s="194" t="s">
        <v>4</v>
      </c>
      <c r="B3" s="191">
        <v>89.986639999999994</v>
      </c>
      <c r="C3" s="191"/>
      <c r="D3" s="192"/>
      <c r="E3" s="192">
        <v>0.20449999999999999</v>
      </c>
      <c r="F3" s="192"/>
      <c r="G3" s="192">
        <v>1.5023899999999999</v>
      </c>
      <c r="H3" s="192">
        <v>2.2941400000000001</v>
      </c>
    </row>
    <row r="4" spans="1:8" ht="24" customHeight="1">
      <c r="A4" s="194" t="s">
        <v>99</v>
      </c>
      <c r="B4" s="191">
        <v>66.201099999999997</v>
      </c>
      <c r="C4" s="191"/>
      <c r="D4" s="191"/>
      <c r="E4" s="192">
        <v>1.5723</v>
      </c>
      <c r="F4" s="192"/>
      <c r="G4" s="192">
        <v>0.55639899999999998</v>
      </c>
      <c r="H4" s="192">
        <v>0.82149000000000005</v>
      </c>
    </row>
    <row r="5" spans="1:8" ht="24" customHeight="1">
      <c r="A5" s="194" t="s">
        <v>40</v>
      </c>
      <c r="B5" s="191">
        <v>95.115200000000002</v>
      </c>
      <c r="C5" s="191">
        <v>5.0170000000000003</v>
      </c>
      <c r="D5" s="191">
        <v>110.71</v>
      </c>
      <c r="E5" s="191"/>
      <c r="F5" s="192">
        <v>1.400058</v>
      </c>
      <c r="G5" s="192">
        <v>1.47065</v>
      </c>
      <c r="H5" s="192">
        <v>2.3000959999999999</v>
      </c>
    </row>
    <row r="6" spans="1:8" ht="24" customHeight="1">
      <c r="A6" s="194" t="s">
        <v>100</v>
      </c>
      <c r="B6" s="191">
        <v>104.70637000000001</v>
      </c>
      <c r="C6" s="191"/>
      <c r="D6" s="191"/>
      <c r="E6" s="191">
        <v>88.975999999999999</v>
      </c>
      <c r="F6" s="191"/>
      <c r="G6" s="192">
        <v>7.5042700000000004E-2</v>
      </c>
      <c r="H6" s="192">
        <v>0.95530000000000004</v>
      </c>
    </row>
    <row r="7" spans="1:8" ht="24" customHeight="1">
      <c r="A7" s="194" t="s">
        <v>17</v>
      </c>
      <c r="B7" s="191">
        <v>104.28872</v>
      </c>
      <c r="C7" s="191">
        <v>82.196399999999997</v>
      </c>
      <c r="D7" s="191">
        <v>0</v>
      </c>
      <c r="E7" s="191">
        <v>89.991399999999999</v>
      </c>
      <c r="F7" s="191">
        <v>109.31399999999999</v>
      </c>
      <c r="H7" s="192">
        <v>0.88061400000000001</v>
      </c>
    </row>
    <row r="8" spans="1:8" ht="24" customHeight="1">
      <c r="A8" s="194" t="s">
        <v>101</v>
      </c>
      <c r="B8" s="191">
        <v>0</v>
      </c>
      <c r="C8" s="191">
        <v>94.105999999999995</v>
      </c>
      <c r="D8" s="191">
        <v>76.777600000000007</v>
      </c>
      <c r="E8" s="191">
        <v>99.207400000000007</v>
      </c>
      <c r="F8" s="191">
        <v>114.31100000000001</v>
      </c>
      <c r="G8" s="191">
        <v>294.74599999999998</v>
      </c>
      <c r="H8" s="1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E41A-F4D6-48CC-8A54-84B31567E57F}">
  <dimension ref="A2:X65"/>
  <sheetViews>
    <sheetView topLeftCell="A16" zoomScaleNormal="100" workbookViewId="0">
      <selection activeCell="C15" sqref="C15"/>
    </sheetView>
  </sheetViews>
  <sheetFormatPr defaultRowHeight="13.8"/>
  <cols>
    <col min="1" max="1" width="8.046875" style="69" customWidth="1"/>
    <col min="2" max="4" width="8.046875" customWidth="1"/>
    <col min="5" max="6" width="8.046875" style="27" customWidth="1"/>
    <col min="7" max="7" width="8.046875" customWidth="1"/>
    <col min="12" max="25" width="8.42578125" customWidth="1"/>
  </cols>
  <sheetData>
    <row r="2" spans="1:11">
      <c r="A2" s="33"/>
      <c r="C2" s="34"/>
      <c r="D2" s="35" t="str">
        <f>"x phi+"</f>
        <v>x phi+</v>
      </c>
      <c r="E2" s="36" t="str">
        <f>"x phi+"</f>
        <v>x phi+</v>
      </c>
      <c r="F2" s="37" t="str">
        <f>"x phi-"</f>
        <v>x phi-</v>
      </c>
      <c r="G2" s="34" t="str">
        <f>"x phi-"</f>
        <v>x phi-</v>
      </c>
      <c r="H2" s="35" t="str">
        <f>"/2"</f>
        <v>/2</v>
      </c>
      <c r="I2" s="34" t="str">
        <f>"/2"</f>
        <v>/2</v>
      </c>
      <c r="J2" s="35" t="str">
        <f>"/rad2"</f>
        <v>/rad2</v>
      </c>
      <c r="K2" s="34" t="str">
        <f>"1/rad2"</f>
        <v>1/rad2</v>
      </c>
    </row>
    <row r="3" spans="1:11" ht="14.1" thickBot="1">
      <c r="A3" s="38"/>
      <c r="B3" s="39" t="s">
        <v>18</v>
      </c>
      <c r="C3" s="40" t="s">
        <v>19</v>
      </c>
      <c r="D3" s="39" t="s">
        <v>18</v>
      </c>
      <c r="E3" s="41" t="s">
        <v>19</v>
      </c>
      <c r="F3" s="42" t="s">
        <v>18</v>
      </c>
      <c r="G3" s="40" t="s">
        <v>19</v>
      </c>
      <c r="H3" s="39" t="s">
        <v>18</v>
      </c>
      <c r="I3" s="43" t="s">
        <v>19</v>
      </c>
      <c r="J3" s="39" t="s">
        <v>18</v>
      </c>
      <c r="K3" s="43" t="s">
        <v>19</v>
      </c>
    </row>
    <row r="4" spans="1:11">
      <c r="A4" s="33" t="str">
        <f>"1/rad2"</f>
        <v>1/rad2</v>
      </c>
      <c r="B4" s="44">
        <f t="shared" ref="B4:B15" si="0">5280*C4</f>
        <v>3733.5238046649706</v>
      </c>
      <c r="C4" s="45">
        <f>1/SQRT(2)</f>
        <v>0.70710678118654746</v>
      </c>
      <c r="D4" s="44">
        <f t="shared" ref="D4:D15" si="1">5280*E4</f>
        <v>6040.9684137547456</v>
      </c>
      <c r="E4" s="46">
        <f t="shared" ref="E4:E15" si="2">C4*(1+SQRT(5))/2</f>
        <v>1.1441228056353685</v>
      </c>
      <c r="F4" s="47">
        <f t="shared" ref="F4:F15" si="3">5280*G4</f>
        <v>2307.444609089775</v>
      </c>
      <c r="G4" s="48">
        <f t="shared" ref="G4:G15" si="4">2 * C4 / (1+SQRT(5))</f>
        <v>0.43701602444882104</v>
      </c>
      <c r="H4" s="44">
        <f t="shared" ref="H4:H15" si="5">5280*I4</f>
        <v>1866.7619023324853</v>
      </c>
      <c r="I4" s="49">
        <f t="shared" ref="I4:I15" si="6">C4/2</f>
        <v>0.35355339059327373</v>
      </c>
      <c r="J4" s="44">
        <f t="shared" ref="J4:J15" si="7">5280*K4</f>
        <v>2639.9999999999995</v>
      </c>
      <c r="K4" s="49">
        <f t="shared" ref="K4:K15" si="8">C4/SQRT(2)</f>
        <v>0.49999999999999994</v>
      </c>
    </row>
    <row r="5" spans="1:11">
      <c r="A5" s="33" t="str">
        <f>"1/2"</f>
        <v>1/2</v>
      </c>
      <c r="B5" s="44">
        <f t="shared" si="0"/>
        <v>2640</v>
      </c>
      <c r="C5" s="48">
        <f>1/2</f>
        <v>0.5</v>
      </c>
      <c r="D5" s="44">
        <f t="shared" si="1"/>
        <v>4271.6097302997223</v>
      </c>
      <c r="E5" s="46">
        <f t="shared" si="2"/>
        <v>0.80901699437494745</v>
      </c>
      <c r="F5" s="47">
        <f t="shared" si="3"/>
        <v>1631.6097302997223</v>
      </c>
      <c r="G5" s="48">
        <f t="shared" si="4"/>
        <v>0.3090169943749474</v>
      </c>
      <c r="H5" s="44">
        <f t="shared" si="5"/>
        <v>1320</v>
      </c>
      <c r="I5" s="49">
        <f t="shared" si="6"/>
        <v>0.25</v>
      </c>
      <c r="J5" s="44">
        <f t="shared" si="7"/>
        <v>1866.7619023324853</v>
      </c>
      <c r="K5" s="49">
        <f t="shared" si="8"/>
        <v>0.35355339059327373</v>
      </c>
    </row>
    <row r="6" spans="1:11" ht="14.4" thickBot="1">
      <c r="A6" s="38" t="str">
        <f>"1"</f>
        <v>1</v>
      </c>
      <c r="B6" s="50">
        <f t="shared" si="0"/>
        <v>5280</v>
      </c>
      <c r="C6" s="51">
        <v>1</v>
      </c>
      <c r="D6" s="50">
        <f t="shared" si="1"/>
        <v>8543.2194605994446</v>
      </c>
      <c r="E6" s="52">
        <f t="shared" si="2"/>
        <v>1.6180339887498949</v>
      </c>
      <c r="F6" s="53">
        <f t="shared" si="3"/>
        <v>3263.2194605994446</v>
      </c>
      <c r="G6" s="54">
        <f t="shared" si="4"/>
        <v>0.61803398874989479</v>
      </c>
      <c r="H6" s="50">
        <f t="shared" si="5"/>
        <v>2640</v>
      </c>
      <c r="I6" s="55">
        <f t="shared" si="6"/>
        <v>0.5</v>
      </c>
      <c r="J6" s="50">
        <f t="shared" si="7"/>
        <v>3733.5238046649706</v>
      </c>
      <c r="K6" s="55">
        <f t="shared" si="8"/>
        <v>0.70710678118654746</v>
      </c>
    </row>
    <row r="7" spans="1:11" ht="14.1">
      <c r="A7" s="33" t="str">
        <f>"rad2"</f>
        <v>rad2</v>
      </c>
      <c r="B7" s="44">
        <f t="shared" si="0"/>
        <v>7467.0476093299421</v>
      </c>
      <c r="C7" s="48">
        <f>SQRT(2)</f>
        <v>1.4142135623730951</v>
      </c>
      <c r="D7" s="56">
        <f t="shared" si="1"/>
        <v>12081.936827509493</v>
      </c>
      <c r="E7" s="57">
        <f t="shared" si="2"/>
        <v>2.2882456112707374</v>
      </c>
      <c r="F7" s="58">
        <f t="shared" si="3"/>
        <v>4614.8892181795509</v>
      </c>
      <c r="G7" s="59">
        <f t="shared" si="4"/>
        <v>0.87403204889764219</v>
      </c>
      <c r="H7" s="44">
        <f t="shared" si="5"/>
        <v>3733.5238046649711</v>
      </c>
      <c r="I7" s="49">
        <f t="shared" si="6"/>
        <v>0.70710678118654757</v>
      </c>
      <c r="J7" s="44">
        <f t="shared" si="7"/>
        <v>5280</v>
      </c>
      <c r="K7" s="60">
        <f t="shared" si="8"/>
        <v>1</v>
      </c>
    </row>
    <row r="8" spans="1:11" ht="14.1">
      <c r="A8" s="33" t="str">
        <f>"rad3"</f>
        <v>rad3</v>
      </c>
      <c r="B8" s="56">
        <f t="shared" si="0"/>
        <v>9145.2282639636724</v>
      </c>
      <c r="C8" s="59">
        <f>SQRT(3)</f>
        <v>1.7320508075688772</v>
      </c>
      <c r="D8" s="44">
        <f t="shared" si="1"/>
        <v>14797.290165969416</v>
      </c>
      <c r="E8" s="46">
        <f t="shared" si="2"/>
        <v>2.8025170768881469</v>
      </c>
      <c r="F8" s="47">
        <f t="shared" si="3"/>
        <v>5652.0619020057438</v>
      </c>
      <c r="G8" s="48">
        <f t="shared" si="4"/>
        <v>1.0704662693192697</v>
      </c>
      <c r="H8" s="44">
        <f t="shared" si="5"/>
        <v>4572.6141319818362</v>
      </c>
      <c r="I8" s="49">
        <f t="shared" si="6"/>
        <v>0.8660254037844386</v>
      </c>
      <c r="J8" s="44">
        <f t="shared" si="7"/>
        <v>6466.6529209475893</v>
      </c>
      <c r="K8" s="49">
        <f t="shared" si="8"/>
        <v>1.2247448713915889</v>
      </c>
    </row>
    <row r="9" spans="1:11" ht="14.1" thickBot="1">
      <c r="A9" s="38" t="str">
        <f>"rad5"</f>
        <v>rad5</v>
      </c>
      <c r="B9" s="50">
        <f t="shared" si="0"/>
        <v>11806.438921198891</v>
      </c>
      <c r="C9" s="54">
        <f>SQRT(5)</f>
        <v>2.2360679774997898</v>
      </c>
      <c r="D9" s="50">
        <f t="shared" si="1"/>
        <v>19103.219460599448</v>
      </c>
      <c r="E9" s="52">
        <f t="shared" si="2"/>
        <v>3.6180339887498953</v>
      </c>
      <c r="F9" s="53">
        <f t="shared" si="3"/>
        <v>7296.7805394005545</v>
      </c>
      <c r="G9" s="54">
        <f t="shared" si="4"/>
        <v>1.3819660112501051</v>
      </c>
      <c r="H9" s="50">
        <f t="shared" si="5"/>
        <v>5903.2194605994455</v>
      </c>
      <c r="I9" s="55">
        <f t="shared" si="6"/>
        <v>1.1180339887498949</v>
      </c>
      <c r="J9" s="50">
        <f t="shared" si="7"/>
        <v>8348.413022844521</v>
      </c>
      <c r="K9" s="55">
        <f t="shared" si="8"/>
        <v>1.5811388300841895</v>
      </c>
    </row>
    <row r="10" spans="1:11" ht="14.1">
      <c r="A10" s="33" t="str">
        <f>"phi+"</f>
        <v>phi+</v>
      </c>
      <c r="B10" s="44">
        <f t="shared" si="0"/>
        <v>8543.2194605994446</v>
      </c>
      <c r="C10" s="48">
        <f>(1+SQRT(5))/2</f>
        <v>1.6180339887498949</v>
      </c>
      <c r="D10" s="44">
        <f t="shared" si="1"/>
        <v>13823.219460599445</v>
      </c>
      <c r="E10" s="46">
        <f t="shared" si="2"/>
        <v>2.6180339887498949</v>
      </c>
      <c r="F10" s="47">
        <f t="shared" si="3"/>
        <v>5280</v>
      </c>
      <c r="G10" s="61">
        <f t="shared" si="4"/>
        <v>1</v>
      </c>
      <c r="H10" s="44">
        <f t="shared" si="5"/>
        <v>4271.6097302997223</v>
      </c>
      <c r="I10" s="49">
        <f t="shared" si="6"/>
        <v>0.80901699437494745</v>
      </c>
      <c r="J10" s="44">
        <f t="shared" si="7"/>
        <v>6040.9684137547456</v>
      </c>
      <c r="K10" s="49">
        <f t="shared" si="8"/>
        <v>1.1441228056353685</v>
      </c>
    </row>
    <row r="11" spans="1:11" ht="14.1" thickBot="1">
      <c r="A11" s="38" t="str">
        <f>"phi+^2"</f>
        <v>phi+^2</v>
      </c>
      <c r="B11" s="50">
        <f t="shared" si="0"/>
        <v>13823.219460599445</v>
      </c>
      <c r="C11" s="54">
        <f>C10^2</f>
        <v>2.6180339887498949</v>
      </c>
      <c r="D11" s="50">
        <f t="shared" si="1"/>
        <v>22366.438921198889</v>
      </c>
      <c r="E11" s="52">
        <f t="shared" si="2"/>
        <v>4.2360679774997898</v>
      </c>
      <c r="F11" s="53">
        <f t="shared" si="3"/>
        <v>8543.2194605994446</v>
      </c>
      <c r="G11" s="54">
        <f t="shared" si="4"/>
        <v>1.6180339887498949</v>
      </c>
      <c r="H11" s="50">
        <f t="shared" si="5"/>
        <v>6911.6097302997223</v>
      </c>
      <c r="I11" s="55">
        <f t="shared" si="6"/>
        <v>1.3090169943749475</v>
      </c>
      <c r="J11" s="50">
        <f t="shared" si="7"/>
        <v>9774.4922184197167</v>
      </c>
      <c r="K11" s="55">
        <f t="shared" si="8"/>
        <v>1.851229586821916</v>
      </c>
    </row>
    <row r="12" spans="1:11" ht="14.1">
      <c r="A12" s="33" t="str">
        <f>"phi-"</f>
        <v>phi-</v>
      </c>
      <c r="B12" s="44">
        <f t="shared" si="0"/>
        <v>3263.2194605994446</v>
      </c>
      <c r="C12" s="48">
        <f>1/C10</f>
        <v>0.61803398874989479</v>
      </c>
      <c r="D12" s="44">
        <f t="shared" si="1"/>
        <v>5279.9999999999991</v>
      </c>
      <c r="E12" s="62">
        <f t="shared" si="2"/>
        <v>0.99999999999999989</v>
      </c>
      <c r="F12" s="47">
        <f t="shared" si="3"/>
        <v>2016.780539400555</v>
      </c>
      <c r="G12" s="48">
        <f t="shared" si="4"/>
        <v>0.3819660112501051</v>
      </c>
      <c r="H12" s="44">
        <f t="shared" si="5"/>
        <v>1631.6097302997223</v>
      </c>
      <c r="I12" s="49">
        <f t="shared" si="6"/>
        <v>0.3090169943749474</v>
      </c>
      <c r="J12" s="44">
        <f t="shared" si="7"/>
        <v>2307.444609089775</v>
      </c>
      <c r="K12" s="49">
        <f t="shared" si="8"/>
        <v>0.43701602444882098</v>
      </c>
    </row>
    <row r="13" spans="1:11">
      <c r="A13" s="63" t="str">
        <f>"phi-^2"</f>
        <v>phi-^2</v>
      </c>
      <c r="B13" s="64">
        <f t="shared" si="0"/>
        <v>2016.780539400555</v>
      </c>
      <c r="C13" s="65">
        <f>C12^2</f>
        <v>0.3819660112501051</v>
      </c>
      <c r="D13" s="64">
        <f t="shared" si="1"/>
        <v>3263.2194605994446</v>
      </c>
      <c r="E13" s="66">
        <f t="shared" si="2"/>
        <v>0.61803398874989479</v>
      </c>
      <c r="F13" s="67">
        <f t="shared" si="3"/>
        <v>1246.4389211988894</v>
      </c>
      <c r="G13" s="65">
        <f t="shared" si="4"/>
        <v>0.23606797749978967</v>
      </c>
      <c r="H13" s="64">
        <f t="shared" si="5"/>
        <v>1008.3902697002775</v>
      </c>
      <c r="I13" s="68">
        <f t="shared" si="6"/>
        <v>0.19098300562505255</v>
      </c>
      <c r="J13" s="64">
        <f t="shared" si="7"/>
        <v>1426.0791955751956</v>
      </c>
      <c r="K13" s="68">
        <f t="shared" si="8"/>
        <v>0.27009075673772642</v>
      </c>
    </row>
    <row r="14" spans="1:11">
      <c r="A14" s="69" t="s">
        <v>20</v>
      </c>
      <c r="B14" s="44">
        <f t="shared" si="0"/>
        <v>6716.2637494342844</v>
      </c>
      <c r="C14" s="48">
        <f>SQRT(C10)</f>
        <v>1.272019649514069</v>
      </c>
      <c r="D14" s="44">
        <f t="shared" si="1"/>
        <v>10867.14302399348</v>
      </c>
      <c r="E14" s="46">
        <f t="shared" si="2"/>
        <v>2.0581710272714924</v>
      </c>
      <c r="F14" s="47">
        <f t="shared" si="3"/>
        <v>4150.8792745591945</v>
      </c>
      <c r="G14" s="48">
        <f t="shared" si="4"/>
        <v>0.78615137775742328</v>
      </c>
      <c r="H14" s="44">
        <f t="shared" si="5"/>
        <v>3358.1318747171422</v>
      </c>
      <c r="I14" s="49">
        <f t="shared" si="6"/>
        <v>0.63600982475703449</v>
      </c>
      <c r="J14" s="44">
        <f t="shared" si="7"/>
        <v>4749.1156414623692</v>
      </c>
      <c r="K14" s="49">
        <f t="shared" si="8"/>
        <v>0.89945371997393364</v>
      </c>
    </row>
    <row r="15" spans="1:11">
      <c r="A15" s="69" t="s">
        <v>21</v>
      </c>
      <c r="B15" s="44">
        <f t="shared" si="0"/>
        <v>9498.2312829247403</v>
      </c>
      <c r="C15" s="48">
        <f>C14*C7</f>
        <v>1.7989074399478675</v>
      </c>
      <c r="D15" s="44">
        <f t="shared" si="1"/>
        <v>15368.461048779751</v>
      </c>
      <c r="E15" s="46">
        <f t="shared" si="2"/>
        <v>2.9106933804507102</v>
      </c>
      <c r="F15" s="47">
        <f t="shared" si="3"/>
        <v>5870.2297658550087</v>
      </c>
      <c r="G15" s="48">
        <f t="shared" si="4"/>
        <v>1.1117859405028425</v>
      </c>
      <c r="H15" s="44">
        <f t="shared" si="5"/>
        <v>4749.1156414623701</v>
      </c>
      <c r="I15" s="49">
        <f t="shared" si="6"/>
        <v>0.89945371997393375</v>
      </c>
      <c r="J15" s="44">
        <f t="shared" si="7"/>
        <v>6716.2637494342844</v>
      </c>
      <c r="K15" s="49">
        <f t="shared" si="8"/>
        <v>1.272019649514069</v>
      </c>
    </row>
    <row r="16" spans="1:11">
      <c r="B16" s="44"/>
      <c r="C16" s="49"/>
      <c r="D16" s="44"/>
      <c r="E16" s="70"/>
      <c r="F16" s="47"/>
      <c r="G16" s="49"/>
      <c r="H16" s="44"/>
      <c r="I16" s="49"/>
    </row>
    <row r="17" spans="1:20">
      <c r="B17" s="44"/>
      <c r="C17" s="49"/>
      <c r="D17" s="44"/>
      <c r="E17" s="70"/>
      <c r="F17" s="47"/>
      <c r="G17" s="49"/>
      <c r="H17" s="44"/>
    </row>
    <row r="18" spans="1:20" ht="14.1">
      <c r="I18" s="71" t="s">
        <v>6</v>
      </c>
      <c r="J18" s="71" t="s">
        <v>22</v>
      </c>
      <c r="K18" s="71" t="s">
        <v>23</v>
      </c>
      <c r="L18" s="71" t="s">
        <v>24</v>
      </c>
      <c r="M18" s="71" t="s">
        <v>25</v>
      </c>
      <c r="N18" s="71" t="s">
        <v>26</v>
      </c>
      <c r="O18" s="71" t="s">
        <v>27</v>
      </c>
      <c r="P18" s="71" t="s">
        <v>28</v>
      </c>
      <c r="Q18" s="71" t="s">
        <v>29</v>
      </c>
      <c r="R18" s="71" t="s">
        <v>30</v>
      </c>
      <c r="S18" s="71" t="s">
        <v>31</v>
      </c>
      <c r="T18" s="71" t="str">
        <f>"/2"</f>
        <v>/2</v>
      </c>
    </row>
    <row r="19" spans="1:20" ht="14.1">
      <c r="A19" s="72" t="s">
        <v>32</v>
      </c>
      <c r="B19" s="73">
        <v>1</v>
      </c>
      <c r="C19" s="73" t="s">
        <v>24</v>
      </c>
      <c r="D19" s="73" t="s">
        <v>25</v>
      </c>
      <c r="E19" s="73" t="str">
        <f>"/2"</f>
        <v>/2</v>
      </c>
      <c r="F19" s="73" t="s">
        <v>26</v>
      </c>
      <c r="G19" s="73" t="s">
        <v>27</v>
      </c>
      <c r="I19" s="74"/>
      <c r="J19" s="75">
        <v>0.5</v>
      </c>
      <c r="K19" s="76">
        <f>J19*5280</f>
        <v>2640</v>
      </c>
      <c r="L19" s="76">
        <f>K19*(1+SQRT(5))/2</f>
        <v>4271.6097302997223</v>
      </c>
      <c r="M19" s="76">
        <f>K19*(SQRT(5)-1)/2</f>
        <v>1631.6097302997225</v>
      </c>
      <c r="N19" s="76">
        <f>L19/2</f>
        <v>2135.8048651498611</v>
      </c>
      <c r="O19" s="76">
        <f>M19/2</f>
        <v>815.80486514986126</v>
      </c>
      <c r="P19" s="77">
        <f>K19*SQRT(2)</f>
        <v>3733.5238046649711</v>
      </c>
      <c r="Q19" s="77">
        <f>K19*SQRT(3)</f>
        <v>4572.6141319818362</v>
      </c>
      <c r="R19" s="77">
        <f>K19*SQRT(5)</f>
        <v>5903.2194605994455</v>
      </c>
      <c r="S19" s="77">
        <f>Q19/2</f>
        <v>2286.3070659909181</v>
      </c>
      <c r="T19" s="76">
        <f t="shared" ref="T19:T26" si="9">K19*0.5</f>
        <v>1320</v>
      </c>
    </row>
    <row r="20" spans="1:20">
      <c r="B20" s="78">
        <v>1</v>
      </c>
      <c r="C20" s="78">
        <f>(1+SQRT(5))/2</f>
        <v>1.6180339887498949</v>
      </c>
      <c r="D20" s="78">
        <f>(SQRT(5)-1)/2</f>
        <v>0.6180339887498949</v>
      </c>
      <c r="E20" s="78">
        <v>0.5</v>
      </c>
      <c r="F20" s="78">
        <f>C20/2</f>
        <v>0.80901699437494745</v>
      </c>
      <c r="G20" s="78">
        <f>D20/2</f>
        <v>0.30901699437494745</v>
      </c>
      <c r="I20" s="74"/>
      <c r="J20" s="75">
        <f>1/3</f>
        <v>0.33333333333333331</v>
      </c>
      <c r="K20" s="76">
        <f t="shared" ref="K20:K26" si="10">J20*5280</f>
        <v>1760</v>
      </c>
      <c r="L20" s="76">
        <f t="shared" ref="L20:L26" si="11">K20*(1+SQRT(5))/2</f>
        <v>2847.7398201998149</v>
      </c>
      <c r="M20" s="76">
        <f t="shared" ref="M20:M26" si="12">K20*(SQRT(5)-1)/2</f>
        <v>1087.7398201998151</v>
      </c>
      <c r="N20" s="76">
        <f t="shared" ref="N20:O26" si="13">L20/2</f>
        <v>1423.8699100999074</v>
      </c>
      <c r="O20" s="76">
        <f t="shared" si="13"/>
        <v>543.86991009990754</v>
      </c>
      <c r="P20" s="77">
        <f t="shared" ref="P20:P26" si="14">K20*SQRT(2)</f>
        <v>2489.0158697766474</v>
      </c>
      <c r="Q20" s="77">
        <f t="shared" ref="Q20:Q26" si="15">K20*SQRT(3)</f>
        <v>3048.4094213212238</v>
      </c>
      <c r="R20" s="77">
        <f t="shared" ref="R20:R26" si="16">K20*SQRT(5)</f>
        <v>3935.4796403996302</v>
      </c>
      <c r="S20" s="77">
        <f t="shared" ref="S20:S26" si="17">Q20/2</f>
        <v>1524.2047106606119</v>
      </c>
      <c r="T20" s="76">
        <f t="shared" si="9"/>
        <v>880</v>
      </c>
    </row>
    <row r="21" spans="1:20" ht="14.1">
      <c r="A21" s="79" t="s">
        <v>28</v>
      </c>
      <c r="B21" s="78">
        <f>SQRT(2)</f>
        <v>1.4142135623730951</v>
      </c>
      <c r="C21" s="80">
        <f>B21*C20</f>
        <v>2.2882456112707374</v>
      </c>
      <c r="D21" s="80">
        <f>B21*D20</f>
        <v>0.8740320488976423</v>
      </c>
      <c r="E21" s="78">
        <f>B21*E20</f>
        <v>0.70710678118654757</v>
      </c>
      <c r="F21" s="78">
        <f>E21*C20</f>
        <v>1.1441228056353687</v>
      </c>
      <c r="G21" s="78">
        <f>E21*D20</f>
        <v>0.43701602444882115</v>
      </c>
      <c r="I21" s="74"/>
      <c r="J21" s="75">
        <f>1/4</f>
        <v>0.25</v>
      </c>
      <c r="K21" s="76">
        <f t="shared" si="10"/>
        <v>1320</v>
      </c>
      <c r="L21" s="76">
        <f t="shared" si="11"/>
        <v>2135.8048651498611</v>
      </c>
      <c r="M21" s="76">
        <f t="shared" si="12"/>
        <v>815.80486514986126</v>
      </c>
      <c r="N21" s="76">
        <f t="shared" si="13"/>
        <v>1067.9024325749306</v>
      </c>
      <c r="O21" s="76">
        <f t="shared" si="13"/>
        <v>407.90243257493063</v>
      </c>
      <c r="P21" s="77">
        <f t="shared" si="14"/>
        <v>1866.7619023324855</v>
      </c>
      <c r="Q21" s="77">
        <f t="shared" si="15"/>
        <v>2286.3070659909181</v>
      </c>
      <c r="R21" s="77">
        <f t="shared" si="16"/>
        <v>2951.6097302997227</v>
      </c>
      <c r="S21" s="77">
        <f t="shared" si="17"/>
        <v>1143.153532995459</v>
      </c>
      <c r="T21" s="76">
        <f t="shared" si="9"/>
        <v>660</v>
      </c>
    </row>
    <row r="22" spans="1:20">
      <c r="A22" s="79" t="s">
        <v>29</v>
      </c>
      <c r="B22" s="78">
        <f>SQRT(3)</f>
        <v>1.7320508075688772</v>
      </c>
      <c r="C22" s="78">
        <f>B22*C20</f>
        <v>2.8025170768881469</v>
      </c>
      <c r="D22" s="78">
        <f>B22*D20</f>
        <v>1.0704662693192699</v>
      </c>
      <c r="E22" s="78">
        <f>E20*B22</f>
        <v>0.8660254037844386</v>
      </c>
      <c r="F22" s="78">
        <f>E22*C20</f>
        <v>1.4012585384440734</v>
      </c>
      <c r="G22" s="78">
        <f>E22*D20</f>
        <v>0.53523313465963496</v>
      </c>
      <c r="I22" s="74"/>
      <c r="J22" s="75">
        <f>1/5</f>
        <v>0.2</v>
      </c>
      <c r="K22" s="76">
        <f t="shared" si="10"/>
        <v>1056</v>
      </c>
      <c r="L22" s="76">
        <f t="shared" si="11"/>
        <v>1708.643892119889</v>
      </c>
      <c r="M22" s="76">
        <f t="shared" si="12"/>
        <v>652.64389211988896</v>
      </c>
      <c r="N22" s="76">
        <f t="shared" si="13"/>
        <v>854.32194605994448</v>
      </c>
      <c r="O22" s="76">
        <f t="shared" si="13"/>
        <v>326.32194605994448</v>
      </c>
      <c r="P22" s="77">
        <f t="shared" si="14"/>
        <v>1493.4095218659884</v>
      </c>
      <c r="Q22" s="77">
        <f t="shared" si="15"/>
        <v>1829.0456527927342</v>
      </c>
      <c r="R22" s="77">
        <f t="shared" si="16"/>
        <v>2361.2877842397779</v>
      </c>
      <c r="S22" s="77">
        <f t="shared" si="17"/>
        <v>914.52282639636712</v>
      </c>
      <c r="T22" s="76">
        <f t="shared" si="9"/>
        <v>528</v>
      </c>
    </row>
    <row r="23" spans="1:20">
      <c r="A23" s="79" t="s">
        <v>30</v>
      </c>
      <c r="B23" s="78">
        <f>SQRT(5)</f>
        <v>2.2360679774997898</v>
      </c>
      <c r="C23" s="78">
        <f>B23*C22</f>
        <v>6.2666186920259017</v>
      </c>
      <c r="D23" s="78">
        <f>B23*D22</f>
        <v>2.3936353458184851</v>
      </c>
      <c r="E23" s="78">
        <f>B23*E22</f>
        <v>1.9364916731037085</v>
      </c>
      <c r="F23" s="78">
        <f>E23*C22</f>
        <v>5.4270509831248424</v>
      </c>
      <c r="G23" s="78">
        <f>E23*D22</f>
        <v>2.0729490168751581</v>
      </c>
      <c r="I23" s="74"/>
      <c r="J23" s="75">
        <f>1/6</f>
        <v>0.16666666666666666</v>
      </c>
      <c r="K23" s="76">
        <f t="shared" si="10"/>
        <v>880</v>
      </c>
      <c r="L23" s="76">
        <f t="shared" si="11"/>
        <v>1423.8699100999074</v>
      </c>
      <c r="M23" s="76">
        <f t="shared" si="12"/>
        <v>543.86991009990754</v>
      </c>
      <c r="N23" s="76">
        <f t="shared" si="13"/>
        <v>711.93495504995371</v>
      </c>
      <c r="O23" s="76">
        <f t="shared" si="13"/>
        <v>271.93495504995377</v>
      </c>
      <c r="P23" s="77">
        <f t="shared" si="14"/>
        <v>1244.5079348883237</v>
      </c>
      <c r="Q23" s="77">
        <f t="shared" si="15"/>
        <v>1524.2047106606119</v>
      </c>
      <c r="R23" s="77">
        <f t="shared" si="16"/>
        <v>1967.7398201998151</v>
      </c>
      <c r="S23" s="77">
        <f t="shared" si="17"/>
        <v>762.10235533030595</v>
      </c>
      <c r="T23" s="76">
        <f t="shared" si="9"/>
        <v>440</v>
      </c>
    </row>
    <row r="24" spans="1:20" ht="14.1">
      <c r="A24" s="71" t="s">
        <v>33</v>
      </c>
      <c r="H24" s="3"/>
      <c r="I24" s="74"/>
      <c r="J24" s="75">
        <f>1/7</f>
        <v>0.14285714285714285</v>
      </c>
      <c r="K24" s="76">
        <f t="shared" si="10"/>
        <v>754.28571428571422</v>
      </c>
      <c r="L24" s="76">
        <f t="shared" si="11"/>
        <v>1220.4599229427777</v>
      </c>
      <c r="M24" s="76">
        <f t="shared" si="12"/>
        <v>466.17420865706356</v>
      </c>
      <c r="N24" s="76">
        <f t="shared" si="13"/>
        <v>610.22996147138883</v>
      </c>
      <c r="O24" s="76">
        <f t="shared" si="13"/>
        <v>233.08710432853178</v>
      </c>
      <c r="P24" s="77">
        <f t="shared" si="14"/>
        <v>1066.7210870471345</v>
      </c>
      <c r="Q24" s="77">
        <f t="shared" si="15"/>
        <v>1306.4611805662387</v>
      </c>
      <c r="R24" s="77">
        <f t="shared" si="16"/>
        <v>1686.6341315998413</v>
      </c>
      <c r="S24" s="77">
        <f t="shared" si="17"/>
        <v>653.23059028311934</v>
      </c>
      <c r="T24" s="76">
        <f t="shared" si="9"/>
        <v>377.14285714285711</v>
      </c>
    </row>
    <row r="25" spans="1:20">
      <c r="A25" s="74"/>
      <c r="B25" s="81">
        <f>CONVERT(B20,"mi","ft")</f>
        <v>5280</v>
      </c>
      <c r="C25" s="81">
        <f t="shared" ref="C25:G28" si="18">CONVERT(C20,"mi","ft")</f>
        <v>8543.2194605994446</v>
      </c>
      <c r="D25" s="81">
        <f t="shared" si="18"/>
        <v>3263.2194605994455</v>
      </c>
      <c r="E25" s="81">
        <f t="shared" si="18"/>
        <v>2640</v>
      </c>
      <c r="F25" s="81">
        <f t="shared" si="18"/>
        <v>4271.6097302997223</v>
      </c>
      <c r="G25" s="81">
        <f t="shared" si="18"/>
        <v>1631.6097302997227</v>
      </c>
      <c r="I25" s="74"/>
      <c r="J25" s="75">
        <f>1/8</f>
        <v>0.125</v>
      </c>
      <c r="K25" s="76">
        <f t="shared" si="10"/>
        <v>660</v>
      </c>
      <c r="L25" s="76">
        <f t="shared" si="11"/>
        <v>1067.9024325749306</v>
      </c>
      <c r="M25" s="76">
        <f t="shared" si="12"/>
        <v>407.90243257493063</v>
      </c>
      <c r="N25" s="76">
        <f t="shared" si="13"/>
        <v>533.95121628746529</v>
      </c>
      <c r="O25" s="76">
        <f t="shared" si="13"/>
        <v>203.95121628746531</v>
      </c>
      <c r="P25" s="77">
        <f t="shared" si="14"/>
        <v>933.38095116624277</v>
      </c>
      <c r="Q25" s="77">
        <f t="shared" si="15"/>
        <v>1143.153532995459</v>
      </c>
      <c r="R25" s="77">
        <f t="shared" si="16"/>
        <v>1475.8048651498614</v>
      </c>
      <c r="S25" s="77">
        <f t="shared" si="17"/>
        <v>571.57676649772952</v>
      </c>
      <c r="T25" s="76">
        <f t="shared" si="9"/>
        <v>330</v>
      </c>
    </row>
    <row r="26" spans="1:20">
      <c r="A26" s="74"/>
      <c r="B26" s="81">
        <f>CONVERT(B21,"mi","ft")</f>
        <v>7467.0476093299421</v>
      </c>
      <c r="C26" s="81">
        <f t="shared" si="18"/>
        <v>12081.936827509495</v>
      </c>
      <c r="D26" s="81">
        <f t="shared" si="18"/>
        <v>4614.8892181795518</v>
      </c>
      <c r="E26" s="81">
        <f t="shared" si="18"/>
        <v>3733.5238046649711</v>
      </c>
      <c r="F26" s="81">
        <f t="shared" si="18"/>
        <v>6040.9684137547474</v>
      </c>
      <c r="G26" s="81">
        <f t="shared" si="18"/>
        <v>2307.4446090897759</v>
      </c>
      <c r="H26" s="3"/>
      <c r="I26" s="74"/>
      <c r="J26" s="75">
        <f>1/9</f>
        <v>0.1111111111111111</v>
      </c>
      <c r="K26" s="76">
        <f t="shared" si="10"/>
        <v>586.66666666666663</v>
      </c>
      <c r="L26" s="76">
        <f t="shared" si="11"/>
        <v>949.24660673327162</v>
      </c>
      <c r="M26" s="76">
        <f t="shared" si="12"/>
        <v>362.57994006660499</v>
      </c>
      <c r="N26" s="76">
        <f t="shared" si="13"/>
        <v>474.62330336663581</v>
      </c>
      <c r="O26" s="76">
        <f t="shared" si="13"/>
        <v>181.2899700333025</v>
      </c>
      <c r="P26" s="77">
        <f t="shared" si="14"/>
        <v>829.67195659221579</v>
      </c>
      <c r="Q26" s="77">
        <f t="shared" si="15"/>
        <v>1016.1364737737413</v>
      </c>
      <c r="R26" s="77">
        <f t="shared" si="16"/>
        <v>1311.8265467998765</v>
      </c>
      <c r="S26" s="77">
        <f t="shared" si="17"/>
        <v>508.06823688687064</v>
      </c>
      <c r="T26" s="76">
        <f t="shared" si="9"/>
        <v>293.33333333333331</v>
      </c>
    </row>
    <row r="27" spans="1:20" ht="14.1">
      <c r="A27" s="74"/>
      <c r="B27" s="81">
        <f>CONVERT(B22,"mi","ft")</f>
        <v>9145.2282639636705</v>
      </c>
      <c r="C27" s="82">
        <f t="shared" si="18"/>
        <v>14797.290165969416</v>
      </c>
      <c r="D27" s="82">
        <f t="shared" si="18"/>
        <v>5652.0619020057457</v>
      </c>
      <c r="E27" s="81">
        <f t="shared" si="18"/>
        <v>4572.6141319818353</v>
      </c>
      <c r="F27" s="81">
        <f t="shared" si="18"/>
        <v>7398.6450829847081</v>
      </c>
      <c r="G27" s="81">
        <f t="shared" si="18"/>
        <v>2826.0309510028728</v>
      </c>
      <c r="I27" s="83" t="s">
        <v>34</v>
      </c>
      <c r="J27" s="83" t="s">
        <v>22</v>
      </c>
      <c r="K27" s="83" t="s">
        <v>23</v>
      </c>
      <c r="L27" s="83" t="s">
        <v>24</v>
      </c>
      <c r="M27" s="83" t="s">
        <v>25</v>
      </c>
      <c r="N27" s="83" t="s">
        <v>26</v>
      </c>
      <c r="O27" s="83" t="s">
        <v>27</v>
      </c>
      <c r="P27" s="83" t="s">
        <v>28</v>
      </c>
      <c r="Q27" s="83" t="s">
        <v>29</v>
      </c>
      <c r="R27" s="83" t="s">
        <v>30</v>
      </c>
      <c r="S27" s="83" t="s">
        <v>31</v>
      </c>
      <c r="T27" s="83" t="str">
        <f>"/2"</f>
        <v>/2</v>
      </c>
    </row>
    <row r="28" spans="1:20">
      <c r="A28" s="74"/>
      <c r="B28" s="81">
        <f>CONVERT(B23,"mi","ft")</f>
        <v>11806.438921198891</v>
      </c>
      <c r="C28" s="81">
        <f t="shared" si="18"/>
        <v>33087.746693896763</v>
      </c>
      <c r="D28" s="81">
        <f t="shared" si="18"/>
        <v>12638.394625921601</v>
      </c>
      <c r="E28" s="81">
        <f t="shared" si="18"/>
        <v>10224.676033987582</v>
      </c>
      <c r="F28" s="81">
        <f t="shared" si="18"/>
        <v>28654.829190899167</v>
      </c>
      <c r="G28" s="81">
        <f t="shared" si="18"/>
        <v>10945.170809100835</v>
      </c>
      <c r="I28" s="5"/>
      <c r="J28" s="84">
        <v>0.5</v>
      </c>
      <c r="K28" s="6">
        <f>J28*320</f>
        <v>160</v>
      </c>
      <c r="L28" s="6">
        <f>K28*(1+SQRT(5))/2</f>
        <v>258.88543819998318</v>
      </c>
      <c r="M28" s="6">
        <f>K28*(SQRT(5)-1)/2</f>
        <v>98.885438199983184</v>
      </c>
      <c r="N28" s="6">
        <f>L28/2</f>
        <v>129.44271909999159</v>
      </c>
      <c r="O28" s="6">
        <f>M28/2</f>
        <v>49.442719099991592</v>
      </c>
      <c r="P28" s="6">
        <f>K28*SQRT(2)</f>
        <v>226.27416997969522</v>
      </c>
      <c r="Q28" s="6">
        <f>K28*SQRT(3)</f>
        <v>277.12812921102034</v>
      </c>
      <c r="R28" s="6">
        <f>K28*SQRT(5)</f>
        <v>357.77087639996637</v>
      </c>
      <c r="S28" s="6">
        <f t="shared" ref="S28:S35" si="19">Q28/2</f>
        <v>138.56406460551017</v>
      </c>
      <c r="T28" s="6">
        <f t="shared" ref="T28:T35" si="20">K28*0.5</f>
        <v>80</v>
      </c>
    </row>
    <row r="29" spans="1:20" ht="14.1">
      <c r="A29" s="83" t="s">
        <v>35</v>
      </c>
      <c r="B29" s="5"/>
      <c r="C29" s="5"/>
      <c r="D29" s="5"/>
      <c r="E29" s="5"/>
      <c r="F29" s="5"/>
      <c r="I29" s="5"/>
      <c r="J29" s="84">
        <f>1/3</f>
        <v>0.33333333333333331</v>
      </c>
      <c r="K29" s="6">
        <f t="shared" ref="K29:K35" si="21">J29*320</f>
        <v>106.66666666666666</v>
      </c>
      <c r="L29" s="6">
        <f t="shared" ref="L29:L35" si="22">K29*(1+SQRT(5))/2</f>
        <v>172.59029213332209</v>
      </c>
      <c r="M29" s="6">
        <f t="shared" ref="M29:M35" si="23">K29*(SQRT(5)-1)/2</f>
        <v>65.923625466655452</v>
      </c>
      <c r="N29" s="6">
        <f t="shared" ref="N29:O35" si="24">L29/2</f>
        <v>86.295146066661047</v>
      </c>
      <c r="O29" s="6">
        <f t="shared" si="24"/>
        <v>32.961812733327726</v>
      </c>
      <c r="P29" s="6">
        <f t="shared" ref="P29:P35" si="25">K29*SQRT(2)</f>
        <v>150.84944665313014</v>
      </c>
      <c r="Q29" s="6">
        <f t="shared" ref="Q29:Q35" si="26">K29*SQRT(3)</f>
        <v>184.75208614068021</v>
      </c>
      <c r="R29" s="6">
        <f t="shared" ref="R29:R35" si="27">K29*SQRT(5)</f>
        <v>238.51391759997756</v>
      </c>
      <c r="S29" s="6">
        <f t="shared" si="19"/>
        <v>92.376043070340103</v>
      </c>
      <c r="T29" s="6">
        <f t="shared" si="20"/>
        <v>53.333333333333329</v>
      </c>
    </row>
    <row r="30" spans="1:20" ht="14.1">
      <c r="A30" s="83"/>
      <c r="B30" s="85">
        <f t="shared" ref="B30:G30" si="28">B20*320</f>
        <v>320</v>
      </c>
      <c r="C30" s="85">
        <f t="shared" si="28"/>
        <v>517.77087639996637</v>
      </c>
      <c r="D30" s="85">
        <f t="shared" si="28"/>
        <v>197.77087639996637</v>
      </c>
      <c r="E30" s="85">
        <f t="shared" si="28"/>
        <v>160</v>
      </c>
      <c r="F30" s="85">
        <f t="shared" si="28"/>
        <v>258.88543819998318</v>
      </c>
      <c r="G30" s="85">
        <f t="shared" si="28"/>
        <v>98.885438199983184</v>
      </c>
      <c r="I30" s="5"/>
      <c r="J30" s="84">
        <f>1/4</f>
        <v>0.25</v>
      </c>
      <c r="K30" s="6">
        <f t="shared" si="21"/>
        <v>80</v>
      </c>
      <c r="L30" s="6">
        <f t="shared" si="22"/>
        <v>129.44271909999159</v>
      </c>
      <c r="M30" s="6">
        <f t="shared" si="23"/>
        <v>49.442719099991592</v>
      </c>
      <c r="N30" s="6">
        <f t="shared" si="24"/>
        <v>64.721359549995796</v>
      </c>
      <c r="O30" s="6">
        <f t="shared" si="24"/>
        <v>24.721359549995796</v>
      </c>
      <c r="P30" s="6">
        <f t="shared" si="25"/>
        <v>113.13708498984761</v>
      </c>
      <c r="Q30" s="6">
        <f t="shared" si="26"/>
        <v>138.56406460551017</v>
      </c>
      <c r="R30" s="6">
        <f t="shared" si="27"/>
        <v>178.88543819998318</v>
      </c>
      <c r="S30" s="6">
        <f t="shared" si="19"/>
        <v>69.282032302755084</v>
      </c>
      <c r="T30" s="6">
        <f t="shared" si="20"/>
        <v>40</v>
      </c>
    </row>
    <row r="31" spans="1:20" ht="14.1">
      <c r="A31" s="83"/>
      <c r="B31" s="85">
        <f t="shared" ref="B31:G31" si="29">B22*320</f>
        <v>554.25625842204067</v>
      </c>
      <c r="C31" s="85">
        <f t="shared" si="29"/>
        <v>896.80546460420703</v>
      </c>
      <c r="D31" s="85">
        <f t="shared" si="29"/>
        <v>342.54920618216636</v>
      </c>
      <c r="E31" s="85">
        <f t="shared" si="29"/>
        <v>277.12812921102034</v>
      </c>
      <c r="F31" s="85">
        <f t="shared" si="29"/>
        <v>448.40273230210352</v>
      </c>
      <c r="G31" s="85">
        <f t="shared" si="29"/>
        <v>171.27460309108318</v>
      </c>
      <c r="I31" s="5"/>
      <c r="J31" s="84">
        <f>1/5</f>
        <v>0.2</v>
      </c>
      <c r="K31" s="6">
        <f t="shared" si="21"/>
        <v>64</v>
      </c>
      <c r="L31" s="6">
        <f t="shared" si="22"/>
        <v>103.55417527999327</v>
      </c>
      <c r="M31" s="6">
        <f t="shared" si="23"/>
        <v>39.554175279993274</v>
      </c>
      <c r="N31" s="6">
        <f t="shared" si="24"/>
        <v>51.777087639996637</v>
      </c>
      <c r="O31" s="6">
        <f t="shared" si="24"/>
        <v>19.777087639996637</v>
      </c>
      <c r="P31" s="6">
        <f t="shared" si="25"/>
        <v>90.509667991878089</v>
      </c>
      <c r="Q31" s="6">
        <f t="shared" si="26"/>
        <v>110.85125168440814</v>
      </c>
      <c r="R31" s="6">
        <f t="shared" si="27"/>
        <v>143.10835055998655</v>
      </c>
      <c r="S31" s="6">
        <f t="shared" si="19"/>
        <v>55.42562584220407</v>
      </c>
      <c r="T31" s="6">
        <f t="shared" si="20"/>
        <v>32</v>
      </c>
    </row>
    <row r="32" spans="1:20" ht="14.1">
      <c r="A32" s="83"/>
      <c r="B32" s="85">
        <f t="shared" ref="B32:G32" si="30">B21*320</f>
        <v>452.54833995939043</v>
      </c>
      <c r="C32" s="85">
        <f t="shared" si="30"/>
        <v>732.23859560663595</v>
      </c>
      <c r="D32" s="85">
        <f t="shared" si="30"/>
        <v>279.69025564724552</v>
      </c>
      <c r="E32" s="85">
        <f t="shared" si="30"/>
        <v>226.27416997969522</v>
      </c>
      <c r="F32" s="85">
        <f t="shared" si="30"/>
        <v>366.11929780331798</v>
      </c>
      <c r="G32" s="85">
        <f t="shared" si="30"/>
        <v>139.84512782362276</v>
      </c>
      <c r="I32" s="5"/>
      <c r="J32" s="84">
        <f>1/6</f>
        <v>0.16666666666666666</v>
      </c>
      <c r="K32" s="6">
        <f t="shared" si="21"/>
        <v>53.333333333333329</v>
      </c>
      <c r="L32" s="6">
        <f t="shared" si="22"/>
        <v>86.295146066661047</v>
      </c>
      <c r="M32" s="6">
        <f t="shared" si="23"/>
        <v>32.961812733327726</v>
      </c>
      <c r="N32" s="6">
        <f t="shared" si="24"/>
        <v>43.147573033330524</v>
      </c>
      <c r="O32" s="6">
        <f t="shared" si="24"/>
        <v>16.480906366663863</v>
      </c>
      <c r="P32" s="6">
        <f t="shared" si="25"/>
        <v>75.424723326565072</v>
      </c>
      <c r="Q32" s="6">
        <f t="shared" si="26"/>
        <v>92.376043070340103</v>
      </c>
      <c r="R32" s="6">
        <f t="shared" si="27"/>
        <v>119.25695879998878</v>
      </c>
      <c r="S32" s="6">
        <f t="shared" si="19"/>
        <v>46.188021535170051</v>
      </c>
      <c r="T32" s="6">
        <f t="shared" si="20"/>
        <v>26.666666666666664</v>
      </c>
    </row>
    <row r="33" spans="1:24">
      <c r="B33" s="85">
        <f t="shared" ref="B33:G33" si="31">B23*320</f>
        <v>715.54175279993274</v>
      </c>
      <c r="C33" s="85">
        <f t="shared" si="31"/>
        <v>2005.3179814482885</v>
      </c>
      <c r="D33" s="85">
        <f t="shared" si="31"/>
        <v>765.96331066191522</v>
      </c>
      <c r="E33" s="85">
        <f t="shared" si="31"/>
        <v>619.6773353931867</v>
      </c>
      <c r="F33" s="85">
        <f t="shared" si="31"/>
        <v>1736.6563145999496</v>
      </c>
      <c r="G33" s="85">
        <f t="shared" si="31"/>
        <v>663.34368540005062</v>
      </c>
      <c r="I33" s="5"/>
      <c r="J33" s="84">
        <f>1/7</f>
        <v>0.14285714285714285</v>
      </c>
      <c r="K33" s="6">
        <f t="shared" si="21"/>
        <v>45.714285714285708</v>
      </c>
      <c r="L33" s="6">
        <f t="shared" si="22"/>
        <v>73.967268057138043</v>
      </c>
      <c r="M33" s="6">
        <f t="shared" si="23"/>
        <v>28.252982342852334</v>
      </c>
      <c r="N33" s="6">
        <f t="shared" si="24"/>
        <v>36.983634028569021</v>
      </c>
      <c r="O33" s="6">
        <f t="shared" si="24"/>
        <v>14.126491171426167</v>
      </c>
      <c r="P33" s="6">
        <f t="shared" si="25"/>
        <v>64.649762851341478</v>
      </c>
      <c r="Q33" s="6">
        <f t="shared" si="26"/>
        <v>79.179465488862945</v>
      </c>
      <c r="R33" s="6">
        <f t="shared" si="27"/>
        <v>102.22025039999038</v>
      </c>
      <c r="S33" s="6">
        <f t="shared" si="19"/>
        <v>39.589732744431473</v>
      </c>
      <c r="T33" s="6">
        <f t="shared" si="20"/>
        <v>22.857142857142854</v>
      </c>
    </row>
    <row r="34" spans="1:24" ht="14.1">
      <c r="A34" s="86" t="s">
        <v>36</v>
      </c>
      <c r="B34" s="87"/>
      <c r="C34" s="88"/>
      <c r="D34" s="88"/>
      <c r="E34" s="88"/>
      <c r="F34" s="88"/>
      <c r="G34" s="88"/>
      <c r="I34" s="5"/>
      <c r="J34" s="84">
        <f>1/8</f>
        <v>0.125</v>
      </c>
      <c r="K34" s="6">
        <f t="shared" si="21"/>
        <v>40</v>
      </c>
      <c r="L34" s="6">
        <f t="shared" si="22"/>
        <v>64.721359549995796</v>
      </c>
      <c r="M34" s="6">
        <f t="shared" si="23"/>
        <v>24.721359549995796</v>
      </c>
      <c r="N34" s="6">
        <f t="shared" si="24"/>
        <v>32.360679774997898</v>
      </c>
      <c r="O34" s="6">
        <f t="shared" si="24"/>
        <v>12.360679774997898</v>
      </c>
      <c r="P34" s="6">
        <f t="shared" si="25"/>
        <v>56.568542494923804</v>
      </c>
      <c r="Q34" s="6">
        <f t="shared" si="26"/>
        <v>69.282032302755084</v>
      </c>
      <c r="R34" s="6">
        <f t="shared" si="27"/>
        <v>89.442719099991592</v>
      </c>
      <c r="S34" s="6">
        <f t="shared" si="19"/>
        <v>34.641016151377542</v>
      </c>
      <c r="T34" s="6">
        <f t="shared" si="20"/>
        <v>20</v>
      </c>
    </row>
    <row r="35" spans="1:24" ht="14.1">
      <c r="A35" s="86"/>
      <c r="B35" s="89">
        <f t="shared" ref="B35:G35" si="32">B20*80</f>
        <v>80</v>
      </c>
      <c r="C35" s="89">
        <f t="shared" si="32"/>
        <v>129.44271909999159</v>
      </c>
      <c r="D35" s="89">
        <f t="shared" si="32"/>
        <v>49.442719099991592</v>
      </c>
      <c r="E35" s="89">
        <f t="shared" si="32"/>
        <v>40</v>
      </c>
      <c r="F35" s="89">
        <f t="shared" si="32"/>
        <v>64.721359549995796</v>
      </c>
      <c r="G35" s="89">
        <f t="shared" si="32"/>
        <v>24.721359549995796</v>
      </c>
      <c r="I35" s="5"/>
      <c r="J35" s="84">
        <f>1/9</f>
        <v>0.1111111111111111</v>
      </c>
      <c r="K35" s="6">
        <f t="shared" si="21"/>
        <v>35.555555555555557</v>
      </c>
      <c r="L35" s="6">
        <f t="shared" si="22"/>
        <v>57.530097377774041</v>
      </c>
      <c r="M35" s="6">
        <f t="shared" si="23"/>
        <v>21.974541822218487</v>
      </c>
      <c r="N35" s="6">
        <f t="shared" si="24"/>
        <v>28.76504868888702</v>
      </c>
      <c r="O35" s="6">
        <f t="shared" si="24"/>
        <v>10.987270911109244</v>
      </c>
      <c r="P35" s="6">
        <f t="shared" si="25"/>
        <v>50.283148884376722</v>
      </c>
      <c r="Q35" s="6">
        <f t="shared" si="26"/>
        <v>61.58402871356008</v>
      </c>
      <c r="R35" s="6">
        <f t="shared" si="27"/>
        <v>79.504639199992525</v>
      </c>
      <c r="S35" s="6">
        <f t="shared" si="19"/>
        <v>30.79201435678004</v>
      </c>
      <c r="T35" s="6">
        <f t="shared" si="20"/>
        <v>17.777777777777779</v>
      </c>
    </row>
    <row r="36" spans="1:24" ht="14.1">
      <c r="A36" s="86"/>
      <c r="B36" s="89">
        <f t="shared" ref="B36:G36" si="33">B22*80</f>
        <v>138.56406460551017</v>
      </c>
      <c r="C36" s="89">
        <f t="shared" si="33"/>
        <v>224.20136615105176</v>
      </c>
      <c r="D36" s="89">
        <f t="shared" si="33"/>
        <v>85.63730154554159</v>
      </c>
      <c r="E36" s="89">
        <f t="shared" si="33"/>
        <v>69.282032302755084</v>
      </c>
      <c r="F36" s="89">
        <f t="shared" si="33"/>
        <v>112.10068307552588</v>
      </c>
      <c r="G36" s="89">
        <f t="shared" si="33"/>
        <v>42.818650772770795</v>
      </c>
      <c r="I36" s="86" t="s">
        <v>37</v>
      </c>
      <c r="J36" s="86" t="s">
        <v>22</v>
      </c>
      <c r="K36" s="86" t="s">
        <v>23</v>
      </c>
      <c r="L36" s="86" t="s">
        <v>24</v>
      </c>
      <c r="M36" s="86" t="s">
        <v>25</v>
      </c>
      <c r="N36" s="86" t="s">
        <v>26</v>
      </c>
      <c r="O36" s="86" t="s">
        <v>27</v>
      </c>
      <c r="P36" s="86" t="s">
        <v>28</v>
      </c>
      <c r="Q36" s="86" t="s">
        <v>29</v>
      </c>
      <c r="R36" s="86" t="s">
        <v>30</v>
      </c>
      <c r="S36" s="86" t="s">
        <v>31</v>
      </c>
      <c r="T36" s="86" t="str">
        <f>"/2"</f>
        <v>/2</v>
      </c>
    </row>
    <row r="37" spans="1:24" ht="14.1">
      <c r="A37" s="86"/>
      <c r="B37" s="89">
        <f t="shared" ref="B37:G37" si="34">B21*80</f>
        <v>113.13708498984761</v>
      </c>
      <c r="C37" s="89">
        <f t="shared" si="34"/>
        <v>183.05964890165899</v>
      </c>
      <c r="D37" s="89">
        <f t="shared" si="34"/>
        <v>69.92256391181138</v>
      </c>
      <c r="E37" s="89">
        <f t="shared" si="34"/>
        <v>56.568542494923804</v>
      </c>
      <c r="F37" s="89">
        <f t="shared" si="34"/>
        <v>91.529824450829494</v>
      </c>
      <c r="G37" s="89">
        <f t="shared" si="34"/>
        <v>34.96128195590569</v>
      </c>
      <c r="I37" s="86" t="str">
        <f>"1/2"</f>
        <v>1/2</v>
      </c>
      <c r="J37" s="7">
        <v>0.5</v>
      </c>
      <c r="K37" s="8">
        <f>J37*80</f>
        <v>40</v>
      </c>
      <c r="L37" s="8">
        <f>K37*(1+SQRT(5))/2</f>
        <v>64.721359549995796</v>
      </c>
      <c r="M37" s="8">
        <f>K37*(SQRT(5)-1)/2</f>
        <v>24.721359549995796</v>
      </c>
      <c r="N37" s="8">
        <f>L37/2</f>
        <v>32.360679774997898</v>
      </c>
      <c r="O37" s="8">
        <f>M37/2</f>
        <v>12.360679774997898</v>
      </c>
      <c r="P37" s="8">
        <f>K37*SQRT(2)</f>
        <v>56.568542494923804</v>
      </c>
      <c r="Q37" s="8">
        <f>K37*SQRT(3)</f>
        <v>69.282032302755084</v>
      </c>
      <c r="R37" s="8">
        <f>K37*SQRT(5)</f>
        <v>89.442719099991592</v>
      </c>
      <c r="S37" s="8">
        <f t="shared" ref="S37:S44" si="35">Q37/2</f>
        <v>34.641016151377542</v>
      </c>
      <c r="T37" s="8">
        <f t="shared" ref="T37:T44" si="36">K37*0.5</f>
        <v>20</v>
      </c>
    </row>
    <row r="38" spans="1:24" ht="14.1">
      <c r="B38" s="89">
        <f t="shared" ref="B38:G38" si="37">B23*80</f>
        <v>178.88543819998318</v>
      </c>
      <c r="C38" s="89">
        <f t="shared" si="37"/>
        <v>501.32949536207212</v>
      </c>
      <c r="D38" s="89">
        <f t="shared" si="37"/>
        <v>191.4908276654788</v>
      </c>
      <c r="E38" s="89">
        <f t="shared" si="37"/>
        <v>154.91933384829667</v>
      </c>
      <c r="F38" s="89">
        <f t="shared" si="37"/>
        <v>434.1640786499874</v>
      </c>
      <c r="G38" s="89">
        <f t="shared" si="37"/>
        <v>165.83592135001265</v>
      </c>
      <c r="I38" s="86" t="str">
        <f>"1/3"</f>
        <v>1/3</v>
      </c>
      <c r="J38" s="7">
        <f>1/3</f>
        <v>0.33333333333333331</v>
      </c>
      <c r="K38" s="8">
        <f t="shared" ref="K38:K44" si="38">J38*80</f>
        <v>26.666666666666664</v>
      </c>
      <c r="L38" s="8">
        <f t="shared" ref="L38:L44" si="39">K38*(1+SQRT(5))/2</f>
        <v>43.147573033330524</v>
      </c>
      <c r="M38" s="8">
        <f t="shared" ref="M38:M44" si="40">K38*(SQRT(5)-1)/2</f>
        <v>16.480906366663863</v>
      </c>
      <c r="N38" s="8">
        <f t="shared" ref="N38:O44" si="41">L38/2</f>
        <v>21.573786516665262</v>
      </c>
      <c r="O38" s="8">
        <f t="shared" si="41"/>
        <v>8.2404531833319314</v>
      </c>
      <c r="P38" s="8">
        <f t="shared" ref="P38:P44" si="42">K38*SQRT(2)</f>
        <v>37.712361663282536</v>
      </c>
      <c r="Q38" s="8">
        <f t="shared" ref="Q38:Q44" si="43">K38*SQRT(3)</f>
        <v>46.188021535170051</v>
      </c>
      <c r="R38" s="8">
        <f t="shared" ref="R38:R44" si="44">K38*SQRT(5)</f>
        <v>59.62847939999439</v>
      </c>
      <c r="S38" s="8">
        <f t="shared" si="35"/>
        <v>23.094010767585026</v>
      </c>
      <c r="T38" s="8">
        <f t="shared" si="36"/>
        <v>13.333333333333332</v>
      </c>
    </row>
    <row r="39" spans="1:24" ht="14.1">
      <c r="I39" s="86" t="str">
        <f>"1/4"</f>
        <v>1/4</v>
      </c>
      <c r="J39" s="7">
        <f>1/4</f>
        <v>0.25</v>
      </c>
      <c r="K39" s="8">
        <f t="shared" si="38"/>
        <v>20</v>
      </c>
      <c r="L39" s="8">
        <f t="shared" si="39"/>
        <v>32.360679774997898</v>
      </c>
      <c r="M39" s="8">
        <f t="shared" si="40"/>
        <v>12.360679774997898</v>
      </c>
      <c r="N39" s="8">
        <f t="shared" si="41"/>
        <v>16.180339887498949</v>
      </c>
      <c r="O39" s="8">
        <f t="shared" si="41"/>
        <v>6.180339887498949</v>
      </c>
      <c r="P39" s="8">
        <f t="shared" si="42"/>
        <v>28.284271247461902</v>
      </c>
      <c r="Q39" s="8">
        <f t="shared" si="43"/>
        <v>34.641016151377542</v>
      </c>
      <c r="R39" s="8">
        <f t="shared" si="44"/>
        <v>44.721359549995796</v>
      </c>
      <c r="S39" s="8">
        <f t="shared" si="35"/>
        <v>17.320508075688771</v>
      </c>
      <c r="T39" s="8">
        <f t="shared" si="36"/>
        <v>10</v>
      </c>
    </row>
    <row r="40" spans="1:24" ht="14.1">
      <c r="I40" s="86" t="str">
        <f>"1/5"</f>
        <v>1/5</v>
      </c>
      <c r="J40" s="7">
        <f>1/5</f>
        <v>0.2</v>
      </c>
      <c r="K40" s="8">
        <f t="shared" si="38"/>
        <v>16</v>
      </c>
      <c r="L40" s="8">
        <f t="shared" si="39"/>
        <v>25.888543819998318</v>
      </c>
      <c r="M40" s="8">
        <f t="shared" si="40"/>
        <v>9.8885438199983184</v>
      </c>
      <c r="N40" s="8">
        <f t="shared" si="41"/>
        <v>12.944271909999159</v>
      </c>
      <c r="O40" s="8">
        <f t="shared" si="41"/>
        <v>4.9442719099991592</v>
      </c>
      <c r="P40" s="8">
        <f t="shared" si="42"/>
        <v>22.627416997969522</v>
      </c>
      <c r="Q40" s="8">
        <f t="shared" si="43"/>
        <v>27.712812921102035</v>
      </c>
      <c r="R40" s="8">
        <f t="shared" si="44"/>
        <v>35.777087639996637</v>
      </c>
      <c r="S40" s="8">
        <f t="shared" si="35"/>
        <v>13.856406460551018</v>
      </c>
      <c r="T40" s="8">
        <f t="shared" si="36"/>
        <v>8</v>
      </c>
    </row>
    <row r="41" spans="1:24" ht="14.1">
      <c r="I41" s="86" t="str">
        <f>"1/6"</f>
        <v>1/6</v>
      </c>
      <c r="J41" s="7">
        <f>1/6</f>
        <v>0.16666666666666666</v>
      </c>
      <c r="K41" s="8">
        <f t="shared" si="38"/>
        <v>13.333333333333332</v>
      </c>
      <c r="L41" s="8">
        <f t="shared" si="39"/>
        <v>21.573786516665262</v>
      </c>
      <c r="M41" s="8">
        <f t="shared" si="40"/>
        <v>8.2404531833319314</v>
      </c>
      <c r="N41" s="8">
        <f t="shared" si="41"/>
        <v>10.786893258332631</v>
      </c>
      <c r="O41" s="8">
        <f t="shared" si="41"/>
        <v>4.1202265916659657</v>
      </c>
      <c r="P41" s="8">
        <f t="shared" si="42"/>
        <v>18.856180831641268</v>
      </c>
      <c r="Q41" s="8">
        <f t="shared" si="43"/>
        <v>23.094010767585026</v>
      </c>
      <c r="R41" s="8">
        <f t="shared" si="44"/>
        <v>29.814239699997195</v>
      </c>
      <c r="S41" s="8">
        <f t="shared" si="35"/>
        <v>11.547005383792513</v>
      </c>
      <c r="T41" s="8">
        <f t="shared" si="36"/>
        <v>6.6666666666666661</v>
      </c>
      <c r="X41">
        <v>18</v>
      </c>
    </row>
    <row r="42" spans="1:24" ht="14.1">
      <c r="I42" s="86" t="str">
        <f>"1/7"</f>
        <v>1/7</v>
      </c>
      <c r="J42" s="7">
        <f>1/7</f>
        <v>0.14285714285714285</v>
      </c>
      <c r="K42" s="8">
        <f t="shared" si="38"/>
        <v>11.428571428571427</v>
      </c>
      <c r="L42" s="8">
        <f t="shared" si="39"/>
        <v>18.491817014284511</v>
      </c>
      <c r="M42" s="8">
        <f t="shared" si="40"/>
        <v>7.0632455857130836</v>
      </c>
      <c r="N42" s="8">
        <f t="shared" si="41"/>
        <v>9.2459085071422553</v>
      </c>
      <c r="O42" s="8">
        <f t="shared" si="41"/>
        <v>3.5316227928565418</v>
      </c>
      <c r="P42" s="8">
        <f t="shared" si="42"/>
        <v>16.16244071283537</v>
      </c>
      <c r="Q42" s="8">
        <f t="shared" si="43"/>
        <v>19.794866372215736</v>
      </c>
      <c r="R42" s="8">
        <f t="shared" si="44"/>
        <v>25.555062599997594</v>
      </c>
      <c r="S42" s="8">
        <f t="shared" si="35"/>
        <v>9.8974331861078682</v>
      </c>
      <c r="T42" s="8">
        <f t="shared" si="36"/>
        <v>5.7142857142857135</v>
      </c>
      <c r="X42">
        <v>16.363636363636363</v>
      </c>
    </row>
    <row r="43" spans="1:24" ht="14.1">
      <c r="I43" s="86" t="str">
        <f>"1/8"</f>
        <v>1/8</v>
      </c>
      <c r="J43" s="7">
        <f>1/8</f>
        <v>0.125</v>
      </c>
      <c r="K43" s="8">
        <f t="shared" si="38"/>
        <v>10</v>
      </c>
      <c r="L43" s="8">
        <f t="shared" si="39"/>
        <v>16.180339887498949</v>
      </c>
      <c r="M43" s="8">
        <f t="shared" si="40"/>
        <v>6.180339887498949</v>
      </c>
      <c r="N43" s="8">
        <f t="shared" si="41"/>
        <v>8.0901699437494745</v>
      </c>
      <c r="O43" s="8">
        <f t="shared" si="41"/>
        <v>3.0901699437494745</v>
      </c>
      <c r="P43" s="8">
        <f t="shared" si="42"/>
        <v>14.142135623730951</v>
      </c>
      <c r="Q43" s="8">
        <f t="shared" si="43"/>
        <v>17.320508075688771</v>
      </c>
      <c r="R43" s="8">
        <f t="shared" si="44"/>
        <v>22.360679774997898</v>
      </c>
      <c r="S43" s="8">
        <f t="shared" si="35"/>
        <v>8.6602540378443855</v>
      </c>
      <c r="T43" s="8">
        <f t="shared" si="36"/>
        <v>5</v>
      </c>
      <c r="X43">
        <v>14.999999999999998</v>
      </c>
    </row>
    <row r="44" spans="1:24" ht="14.1">
      <c r="I44" s="86" t="str">
        <f>"1/9"</f>
        <v>1/9</v>
      </c>
      <c r="J44" s="7">
        <f>1/9</f>
        <v>0.1111111111111111</v>
      </c>
      <c r="K44" s="8">
        <f t="shared" si="38"/>
        <v>8.8888888888888893</v>
      </c>
      <c r="L44" s="8">
        <f t="shared" si="39"/>
        <v>14.38252434444351</v>
      </c>
      <c r="M44" s="8">
        <f t="shared" si="40"/>
        <v>5.4936354555546218</v>
      </c>
      <c r="N44" s="8">
        <f t="shared" si="41"/>
        <v>7.1912621722217551</v>
      </c>
      <c r="O44" s="8">
        <f t="shared" si="41"/>
        <v>2.7468177277773109</v>
      </c>
      <c r="P44" s="8">
        <f t="shared" si="42"/>
        <v>12.57078722109418</v>
      </c>
      <c r="Q44" s="8">
        <f t="shared" si="43"/>
        <v>15.39600717839002</v>
      </c>
      <c r="R44" s="8">
        <f t="shared" si="44"/>
        <v>19.876159799998131</v>
      </c>
      <c r="S44" s="8">
        <f t="shared" si="35"/>
        <v>7.69800358919501</v>
      </c>
      <c r="T44" s="8">
        <f t="shared" si="36"/>
        <v>4.4444444444444446</v>
      </c>
      <c r="X44">
        <v>13.846153846153847</v>
      </c>
    </row>
    <row r="45" spans="1:24">
      <c r="X45">
        <v>12.857142857142858</v>
      </c>
    </row>
    <row r="46" spans="1:24">
      <c r="X46">
        <v>12</v>
      </c>
    </row>
    <row r="47" spans="1:24">
      <c r="A47" s="9"/>
      <c r="C47" s="69"/>
      <c r="D47" s="69"/>
      <c r="E47"/>
      <c r="F47"/>
    </row>
    <row r="48" spans="1:24" ht="14.1">
      <c r="A48" s="9"/>
      <c r="E48"/>
      <c r="F48" s="69" t="s">
        <v>5</v>
      </c>
      <c r="R48" s="90" t="s">
        <v>34</v>
      </c>
    </row>
    <row r="49" spans="1:18" ht="14.4" thickBot="1">
      <c r="A49" s="91"/>
      <c r="B49" s="92" t="s">
        <v>38</v>
      </c>
      <c r="C49" s="92" t="s">
        <v>39</v>
      </c>
      <c r="D49" s="92" t="s">
        <v>40</v>
      </c>
      <c r="E49" s="92" t="s">
        <v>41</v>
      </c>
      <c r="F49" s="91" t="s">
        <v>42</v>
      </c>
      <c r="G49" s="92"/>
      <c r="H49" s="92" t="s">
        <v>38</v>
      </c>
      <c r="I49" s="92" t="s">
        <v>39</v>
      </c>
      <c r="J49" s="92" t="s">
        <v>40</v>
      </c>
      <c r="K49" s="92" t="s">
        <v>41</v>
      </c>
      <c r="L49" s="91" t="s">
        <v>42</v>
      </c>
      <c r="M49" s="93"/>
      <c r="N49" s="94" t="s">
        <v>38</v>
      </c>
      <c r="O49" s="94" t="s">
        <v>39</v>
      </c>
      <c r="P49" s="94" t="s">
        <v>40</v>
      </c>
      <c r="Q49" s="94" t="s">
        <v>41</v>
      </c>
      <c r="R49" s="95" t="s">
        <v>42</v>
      </c>
    </row>
    <row r="50" spans="1:18" ht="14.4" thickTop="1">
      <c r="A50" s="96" t="s">
        <v>38</v>
      </c>
      <c r="B50" s="27"/>
      <c r="C50" s="97">
        <f>B51/5280</f>
        <v>0.42140151515151514</v>
      </c>
      <c r="D50" s="98">
        <f>B52/5280</f>
        <v>1.571969696969697</v>
      </c>
      <c r="E50" s="99">
        <f>B53/5280</f>
        <v>0.87405303030303028</v>
      </c>
      <c r="F50" s="100">
        <f>B54/5280</f>
        <v>0.54545454545454541</v>
      </c>
      <c r="G50" s="101" t="s">
        <v>38</v>
      </c>
      <c r="H50" s="27"/>
      <c r="I50" s="97"/>
      <c r="J50" s="97"/>
      <c r="K50" s="102" t="s">
        <v>43</v>
      </c>
      <c r="L50" s="103"/>
      <c r="M50" s="104" t="s">
        <v>38</v>
      </c>
      <c r="N50" s="97"/>
      <c r="O50" s="97">
        <f>B51/320</f>
        <v>6.953125</v>
      </c>
      <c r="P50" s="97">
        <f>B52/320</f>
        <v>25.9375</v>
      </c>
      <c r="Q50" s="105">
        <f>B53/320</f>
        <v>14.421875</v>
      </c>
      <c r="R50" s="106">
        <f>B54/320</f>
        <v>9</v>
      </c>
    </row>
    <row r="51" spans="1:18" ht="14.1">
      <c r="A51" s="96" t="s">
        <v>39</v>
      </c>
      <c r="B51" s="27">
        <v>2225</v>
      </c>
      <c r="C51" s="27"/>
      <c r="D51" s="107">
        <f>C52/5280</f>
        <v>1.7320075757575757</v>
      </c>
      <c r="E51" s="108">
        <f>C53/5280</f>
        <v>0.55965909090909094</v>
      </c>
      <c r="F51" s="33"/>
      <c r="G51" s="101" t="s">
        <v>39</v>
      </c>
      <c r="H51" s="27"/>
      <c r="I51" s="27"/>
      <c r="J51" s="109" t="s">
        <v>44</v>
      </c>
      <c r="K51" s="110"/>
      <c r="L51" s="9"/>
      <c r="M51" s="104" t="s">
        <v>39</v>
      </c>
      <c r="N51" s="97">
        <f>B51/80</f>
        <v>27.8125</v>
      </c>
      <c r="O51" s="97"/>
      <c r="P51" s="111">
        <f>C52/320</f>
        <v>28.578125</v>
      </c>
      <c r="Q51" s="112">
        <f>C53/320</f>
        <v>9.234375</v>
      </c>
      <c r="R51" s="113"/>
    </row>
    <row r="52" spans="1:18" ht="14.1">
      <c r="A52" s="96" t="s">
        <v>40</v>
      </c>
      <c r="B52" s="27">
        <v>8300</v>
      </c>
      <c r="C52" s="114">
        <v>9145</v>
      </c>
      <c r="D52" s="97"/>
      <c r="E52" s="115">
        <f>D53/5280</f>
        <v>2.2882575757575756</v>
      </c>
      <c r="F52" s="116">
        <f>D54/5280</f>
        <v>1.481060606060606</v>
      </c>
      <c r="G52" s="101" t="s">
        <v>40</v>
      </c>
      <c r="H52" s="27"/>
      <c r="I52" s="114" t="s">
        <v>29</v>
      </c>
      <c r="J52" s="97"/>
      <c r="K52" s="117" t="s">
        <v>45</v>
      </c>
      <c r="L52" s="34"/>
      <c r="M52" s="104" t="s">
        <v>40</v>
      </c>
      <c r="N52" s="97">
        <f>B52/80</f>
        <v>103.75</v>
      </c>
      <c r="O52" s="111">
        <f>C52/80</f>
        <v>114.3125</v>
      </c>
      <c r="P52" s="97"/>
      <c r="Q52" s="118">
        <f>D53/320</f>
        <v>37.756250000000001</v>
      </c>
      <c r="R52" s="119">
        <f>D54/320</f>
        <v>24.4375</v>
      </c>
    </row>
    <row r="53" spans="1:18" ht="14.1">
      <c r="A53" s="96" t="s">
        <v>41</v>
      </c>
      <c r="B53" s="120">
        <v>4615</v>
      </c>
      <c r="C53" s="121">
        <v>2955</v>
      </c>
      <c r="D53" s="122">
        <v>12082</v>
      </c>
      <c r="F53" s="9"/>
      <c r="G53" s="101" t="s">
        <v>41</v>
      </c>
      <c r="H53" s="120" t="s">
        <v>46</v>
      </c>
      <c r="I53" s="121"/>
      <c r="J53" s="122" t="s">
        <v>47</v>
      </c>
      <c r="K53" s="27"/>
      <c r="L53" s="9"/>
      <c r="M53" s="104" t="s">
        <v>41</v>
      </c>
      <c r="N53" s="105">
        <f>B53/80</f>
        <v>57.6875</v>
      </c>
      <c r="O53" s="112">
        <f>C53/80</f>
        <v>36.9375</v>
      </c>
      <c r="P53" s="118">
        <f>D53/80</f>
        <v>151.02500000000001</v>
      </c>
      <c r="Q53" s="97"/>
      <c r="R53" s="123"/>
    </row>
    <row r="54" spans="1:18" ht="14.4" thickBot="1">
      <c r="A54" s="96" t="s">
        <v>48</v>
      </c>
      <c r="B54" s="124">
        <v>2880</v>
      </c>
      <c r="C54" s="27"/>
      <c r="D54" s="125">
        <v>7820</v>
      </c>
      <c r="F54" s="9"/>
      <c r="G54" s="101" t="s">
        <v>42</v>
      </c>
      <c r="H54" s="27"/>
      <c r="I54" s="27"/>
      <c r="J54" s="27"/>
      <c r="K54" s="27"/>
      <c r="L54" s="9"/>
      <c r="M54" s="126" t="s">
        <v>42</v>
      </c>
      <c r="N54" s="127">
        <f>B54/80</f>
        <v>36</v>
      </c>
      <c r="O54" s="128"/>
      <c r="P54" s="128">
        <f>D54/80</f>
        <v>97.75</v>
      </c>
      <c r="Q54" s="128"/>
      <c r="R54" s="129"/>
    </row>
    <row r="55" spans="1:18" ht="14.4" thickTop="1">
      <c r="A55" s="96" t="s">
        <v>38</v>
      </c>
      <c r="B55" s="27"/>
      <c r="C55" s="97"/>
      <c r="D55" s="98"/>
      <c r="E55" s="99">
        <f>B58/5280</f>
        <v>0.86344696969696966</v>
      </c>
      <c r="F55" s="100"/>
      <c r="G55" s="101" t="s">
        <v>38</v>
      </c>
      <c r="H55" s="27"/>
      <c r="I55" s="97"/>
      <c r="J55" s="98"/>
      <c r="K55" s="99">
        <f>(SQRT(5)-1)/SQRT(2)</f>
        <v>0.87403204889764219</v>
      </c>
      <c r="L55" s="103"/>
      <c r="M55" s="130" t="s">
        <v>37</v>
      </c>
      <c r="N55" s="131"/>
      <c r="O55" s="131">
        <f>MOD(B51,320)</f>
        <v>305</v>
      </c>
      <c r="P55" s="131">
        <f>MOD(B52,320)</f>
        <v>300</v>
      </c>
      <c r="Q55" s="132">
        <f>MOD(B53,320)</f>
        <v>135</v>
      </c>
      <c r="R55" s="133">
        <f>MOD(B54,320)</f>
        <v>0</v>
      </c>
    </row>
    <row r="56" spans="1:18" ht="14.1">
      <c r="A56" s="96" t="s">
        <v>39</v>
      </c>
      <c r="B56" s="27"/>
      <c r="C56" s="27"/>
      <c r="D56" s="107">
        <f>C57/5280</f>
        <v>1.7124999999999999</v>
      </c>
      <c r="E56" s="108"/>
      <c r="F56" s="33"/>
      <c r="G56" s="101" t="s">
        <v>39</v>
      </c>
      <c r="H56" s="27"/>
      <c r="I56" s="27"/>
      <c r="J56" s="107">
        <f>SQRT(3)</f>
        <v>1.7320508075688772</v>
      </c>
      <c r="K56" s="110"/>
      <c r="L56" s="9"/>
      <c r="N56" s="131">
        <f>MOD(B51,80)</f>
        <v>65</v>
      </c>
      <c r="O56" s="131"/>
      <c r="P56" s="134">
        <f>MOD(C52,320)</f>
        <v>185</v>
      </c>
      <c r="Q56" s="135">
        <f>MOD(C53,320)</f>
        <v>75</v>
      </c>
      <c r="R56" s="136"/>
    </row>
    <row r="57" spans="1:18" ht="14.1">
      <c r="A57" s="96" t="s">
        <v>40</v>
      </c>
      <c r="B57" s="27"/>
      <c r="C57" s="114">
        <v>9042</v>
      </c>
      <c r="D57" s="97"/>
      <c r="E57" s="115">
        <f>D58/5280</f>
        <v>2.2799242424242423</v>
      </c>
      <c r="F57" s="116"/>
      <c r="G57" s="101" t="s">
        <v>40</v>
      </c>
      <c r="H57" s="27"/>
      <c r="I57" s="137">
        <f>J56*5280</f>
        <v>9145.2282639636724</v>
      </c>
      <c r="J57" s="98"/>
      <c r="K57" s="115">
        <f>(SQRT(5)+1)/SQRT(2)</f>
        <v>2.288245611270737</v>
      </c>
      <c r="L57" s="34"/>
      <c r="N57" s="131">
        <f>MOD(B52,80)</f>
        <v>60</v>
      </c>
      <c r="O57" s="134">
        <f>MOD(C52,80)</f>
        <v>25</v>
      </c>
      <c r="P57" s="131"/>
      <c r="Q57" s="138">
        <f>MOD(D53,320)</f>
        <v>242</v>
      </c>
      <c r="R57" s="139">
        <f>MOD(D54,320)</f>
        <v>140</v>
      </c>
    </row>
    <row r="58" spans="1:18" ht="14.1">
      <c r="A58" s="96" t="s">
        <v>41</v>
      </c>
      <c r="B58" s="120">
        <v>4559</v>
      </c>
      <c r="C58" s="121"/>
      <c r="D58" s="122">
        <v>12038</v>
      </c>
      <c r="F58" s="9"/>
      <c r="G58" s="101" t="s">
        <v>41</v>
      </c>
      <c r="H58" s="140">
        <f>K55*5280</f>
        <v>4614.8892181795509</v>
      </c>
      <c r="I58" s="121"/>
      <c r="J58" s="141">
        <f>K57*5280</f>
        <v>12081.936827509491</v>
      </c>
      <c r="K58" s="27"/>
      <c r="L58" s="9"/>
      <c r="N58" s="132">
        <f>MOD(B53,80)</f>
        <v>55</v>
      </c>
      <c r="O58" s="135">
        <f>MOD(C53,80)</f>
        <v>75</v>
      </c>
      <c r="P58" s="138">
        <f>MOD(D53,80)</f>
        <v>2</v>
      </c>
      <c r="Q58" s="131"/>
      <c r="R58" s="136"/>
    </row>
    <row r="59" spans="1:18" ht="14.1">
      <c r="A59" s="96" t="s">
        <v>48</v>
      </c>
      <c r="B59" s="124">
        <v>2780</v>
      </c>
      <c r="C59" s="27"/>
      <c r="D59" s="125">
        <v>7760</v>
      </c>
      <c r="F59" s="9"/>
      <c r="G59" s="101" t="s">
        <v>42</v>
      </c>
      <c r="H59" s="27"/>
      <c r="I59" s="27"/>
      <c r="J59" s="27"/>
      <c r="K59" s="27"/>
      <c r="L59" s="9"/>
      <c r="N59" s="142">
        <f>MOD(B54,80)</f>
        <v>0</v>
      </c>
      <c r="O59" s="131"/>
      <c r="P59" s="131">
        <f>MOD(D54,80)</f>
        <v>60</v>
      </c>
      <c r="Q59" s="131"/>
      <c r="R59" s="136"/>
    </row>
    <row r="60" spans="1:18" ht="14.1">
      <c r="A60" s="96" t="s">
        <v>38</v>
      </c>
      <c r="B60" s="27"/>
      <c r="C60" s="97"/>
      <c r="D60" s="98"/>
      <c r="E60" s="143">
        <f>E50-E55</f>
        <v>1.0606060606060619E-2</v>
      </c>
      <c r="F60" s="100"/>
    </row>
    <row r="61" spans="1:18" ht="14.1">
      <c r="A61" s="96" t="s">
        <v>39</v>
      </c>
      <c r="B61" s="27"/>
      <c r="C61" s="27"/>
      <c r="D61" s="144">
        <f>D51-D56</f>
        <v>1.9507575757575779E-2</v>
      </c>
      <c r="E61" s="108"/>
      <c r="F61" s="33"/>
    </row>
    <row r="62" spans="1:18" ht="14.1">
      <c r="A62" s="96" t="s">
        <v>40</v>
      </c>
      <c r="B62" s="27"/>
      <c r="C62" s="114">
        <f>C52-C57</f>
        <v>103</v>
      </c>
      <c r="D62" s="97"/>
      <c r="E62" s="145">
        <f>E52-E57</f>
        <v>8.3333333333333037E-3</v>
      </c>
      <c r="F62" s="116"/>
    </row>
    <row r="63" spans="1:18" ht="14.1">
      <c r="A63" s="96" t="s">
        <v>41</v>
      </c>
      <c r="B63" s="120">
        <f>B53-B58</f>
        <v>56</v>
      </c>
      <c r="C63" s="121"/>
      <c r="D63" s="122">
        <f>D53-D58</f>
        <v>44</v>
      </c>
      <c r="F63" s="9"/>
    </row>
    <row r="64" spans="1:18" ht="14.1">
      <c r="A64" s="96" t="s">
        <v>48</v>
      </c>
      <c r="B64" s="124">
        <f>B54-B59</f>
        <v>100</v>
      </c>
      <c r="C64" s="27"/>
      <c r="D64" s="124">
        <f>D54-D59</f>
        <v>60</v>
      </c>
      <c r="F64" s="9"/>
      <c r="N64">
        <f>5280*N54/320</f>
        <v>594</v>
      </c>
    </row>
    <row r="65" spans="1:6">
      <c r="A65" s="9"/>
      <c r="E65"/>
      <c r="F6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2A8-919F-4E3D-8FB2-4AFF06DD01E6}">
  <dimension ref="A1:V53"/>
  <sheetViews>
    <sheetView topLeftCell="A24" workbookViewId="0">
      <selection activeCell="D22" sqref="D22"/>
    </sheetView>
  </sheetViews>
  <sheetFormatPr defaultRowHeight="13.8"/>
  <sheetData>
    <row r="1" spans="1:22" ht="14.1">
      <c r="A1" s="22" t="s">
        <v>22</v>
      </c>
      <c r="B1" s="22" t="str">
        <f>"pi/div rads"</f>
        <v>pi/div rads</v>
      </c>
      <c r="C1" s="146" t="s">
        <v>49</v>
      </c>
      <c r="D1" s="147" t="str">
        <f>"degrees"</f>
        <v>degrees</v>
      </c>
      <c r="E1" s="148">
        <v>135</v>
      </c>
      <c r="F1" s="148">
        <v>120</v>
      </c>
      <c r="G1" s="148">
        <v>108</v>
      </c>
      <c r="H1" s="148">
        <v>90</v>
      </c>
      <c r="I1" s="148">
        <v>72</v>
      </c>
      <c r="J1" s="148">
        <v>59.999999999999993</v>
      </c>
      <c r="K1" s="148">
        <v>45</v>
      </c>
      <c r="L1" s="148">
        <v>36</v>
      </c>
      <c r="M1" s="148">
        <v>29.999999999999996</v>
      </c>
      <c r="N1" s="148">
        <v>25.714285714285715</v>
      </c>
      <c r="O1" s="148">
        <v>22.5</v>
      </c>
      <c r="P1" s="149" t="str">
        <f>"20.0"</f>
        <v>20.0</v>
      </c>
      <c r="Q1" s="148">
        <v>18</v>
      </c>
      <c r="R1" s="148">
        <v>16.363636363636363</v>
      </c>
      <c r="S1" s="148">
        <v>14.999999999999998</v>
      </c>
      <c r="T1" s="148">
        <v>13.846153846153847</v>
      </c>
      <c r="U1" s="148">
        <v>12.857142857142858</v>
      </c>
      <c r="V1" s="148">
        <v>12</v>
      </c>
    </row>
    <row r="2" spans="1:22" ht="14.1">
      <c r="A2" s="2">
        <f>3/4</f>
        <v>0.75</v>
      </c>
      <c r="B2" s="2">
        <f t="shared" ref="B2:B19" si="0">PI()*A2</f>
        <v>2.3561944901923448</v>
      </c>
      <c r="C2" s="31">
        <f t="shared" ref="C2:C13" si="1">1/A2</f>
        <v>1.3333333333333333</v>
      </c>
      <c r="D2" s="148">
        <f t="shared" ref="D2:D19" si="2">DEGREES(B2)</f>
        <v>135</v>
      </c>
      <c r="E2" s="150"/>
      <c r="F2" s="150">
        <f t="shared" ref="F2:V2" si="3">F1-135</f>
        <v>-15</v>
      </c>
      <c r="G2" s="150">
        <f t="shared" si="3"/>
        <v>-27</v>
      </c>
      <c r="H2" s="150">
        <f t="shared" si="3"/>
        <v>-45</v>
      </c>
      <c r="I2" s="150">
        <f t="shared" si="3"/>
        <v>-63</v>
      </c>
      <c r="J2" s="150">
        <f t="shared" si="3"/>
        <v>-75</v>
      </c>
      <c r="K2" s="150">
        <f t="shared" si="3"/>
        <v>-90</v>
      </c>
      <c r="L2" s="150">
        <f t="shared" si="3"/>
        <v>-99</v>
      </c>
      <c r="M2" s="150">
        <f t="shared" si="3"/>
        <v>-105</v>
      </c>
      <c r="N2" s="150">
        <f t="shared" si="3"/>
        <v>-109.28571428571428</v>
      </c>
      <c r="O2" s="150">
        <f t="shared" si="3"/>
        <v>-112.5</v>
      </c>
      <c r="P2" s="150">
        <f t="shared" si="3"/>
        <v>-115</v>
      </c>
      <c r="Q2" s="150">
        <f t="shared" si="3"/>
        <v>-117</v>
      </c>
      <c r="R2" s="150">
        <f t="shared" si="3"/>
        <v>-118.63636363636364</v>
      </c>
      <c r="S2" s="150">
        <f t="shared" si="3"/>
        <v>-120</v>
      </c>
      <c r="T2" s="150">
        <f t="shared" si="3"/>
        <v>-121.15384615384616</v>
      </c>
      <c r="U2" s="150">
        <f t="shared" si="3"/>
        <v>-122.14285714285714</v>
      </c>
      <c r="V2" s="150">
        <f t="shared" si="3"/>
        <v>-123</v>
      </c>
    </row>
    <row r="3" spans="1:22" ht="14.1">
      <c r="A3" s="2">
        <f>2/3</f>
        <v>0.66666666666666663</v>
      </c>
      <c r="B3" s="2">
        <f t="shared" si="0"/>
        <v>2.0943951023931953</v>
      </c>
      <c r="C3" s="31">
        <f t="shared" si="1"/>
        <v>1.5</v>
      </c>
      <c r="D3" s="148">
        <f t="shared" si="2"/>
        <v>119.99999999999999</v>
      </c>
      <c r="E3" s="151">
        <f>E1-120</f>
        <v>15</v>
      </c>
      <c r="F3" s="150"/>
      <c r="G3" s="150">
        <f t="shared" ref="G3:V3" si="4">G1-120</f>
        <v>-12</v>
      </c>
      <c r="H3" s="150">
        <f t="shared" si="4"/>
        <v>-30</v>
      </c>
      <c r="I3" s="150">
        <f t="shared" si="4"/>
        <v>-48</v>
      </c>
      <c r="J3" s="150">
        <f t="shared" si="4"/>
        <v>-60.000000000000007</v>
      </c>
      <c r="K3" s="150">
        <f t="shared" si="4"/>
        <v>-75</v>
      </c>
      <c r="L3" s="150">
        <f t="shared" si="4"/>
        <v>-84</v>
      </c>
      <c r="M3" s="150">
        <f t="shared" si="4"/>
        <v>-90</v>
      </c>
      <c r="N3" s="150">
        <f t="shared" si="4"/>
        <v>-94.285714285714278</v>
      </c>
      <c r="O3" s="150">
        <f t="shared" si="4"/>
        <v>-97.5</v>
      </c>
      <c r="P3" s="150">
        <f t="shared" si="4"/>
        <v>-100</v>
      </c>
      <c r="Q3" s="150">
        <f t="shared" si="4"/>
        <v>-102</v>
      </c>
      <c r="R3" s="150">
        <f t="shared" si="4"/>
        <v>-103.63636363636364</v>
      </c>
      <c r="S3" s="150">
        <f t="shared" si="4"/>
        <v>-105</v>
      </c>
      <c r="T3" s="150">
        <f t="shared" si="4"/>
        <v>-106.15384615384616</v>
      </c>
      <c r="U3" s="150">
        <f t="shared" si="4"/>
        <v>-107.14285714285714</v>
      </c>
      <c r="V3" s="150">
        <f t="shared" si="4"/>
        <v>-108</v>
      </c>
    </row>
    <row r="4" spans="1:22" ht="14.1">
      <c r="A4">
        <f>3/5</f>
        <v>0.6</v>
      </c>
      <c r="B4" s="2">
        <f t="shared" si="0"/>
        <v>1.8849555921538759</v>
      </c>
      <c r="C4" s="31">
        <f t="shared" si="1"/>
        <v>1.6666666666666667</v>
      </c>
      <c r="D4" s="148">
        <f t="shared" si="2"/>
        <v>108</v>
      </c>
      <c r="E4" s="151">
        <f>E1-108</f>
        <v>27</v>
      </c>
      <c r="F4" s="151">
        <f>F1-108</f>
        <v>12</v>
      </c>
      <c r="G4" s="150"/>
      <c r="H4" s="150">
        <f t="shared" ref="H4:V4" si="5">H1-108</f>
        <v>-18</v>
      </c>
      <c r="I4" s="150">
        <f t="shared" si="5"/>
        <v>-36</v>
      </c>
      <c r="J4" s="150">
        <f t="shared" si="5"/>
        <v>-48.000000000000007</v>
      </c>
      <c r="K4" s="150">
        <f t="shared" si="5"/>
        <v>-63</v>
      </c>
      <c r="L4" s="150">
        <f t="shared" si="5"/>
        <v>-72</v>
      </c>
      <c r="M4" s="150">
        <f t="shared" si="5"/>
        <v>-78</v>
      </c>
      <c r="N4" s="150">
        <f t="shared" si="5"/>
        <v>-82.285714285714278</v>
      </c>
      <c r="O4" s="150">
        <f t="shared" si="5"/>
        <v>-85.5</v>
      </c>
      <c r="P4" s="150">
        <f t="shared" si="5"/>
        <v>-88</v>
      </c>
      <c r="Q4" s="150">
        <f t="shared" si="5"/>
        <v>-90</v>
      </c>
      <c r="R4" s="150">
        <f t="shared" si="5"/>
        <v>-91.63636363636364</v>
      </c>
      <c r="S4" s="150">
        <f t="shared" si="5"/>
        <v>-93</v>
      </c>
      <c r="T4" s="150">
        <f t="shared" si="5"/>
        <v>-94.15384615384616</v>
      </c>
      <c r="U4" s="150">
        <f t="shared" si="5"/>
        <v>-95.142857142857139</v>
      </c>
      <c r="V4" s="150">
        <f t="shared" si="5"/>
        <v>-96</v>
      </c>
    </row>
    <row r="5" spans="1:22" ht="14.1">
      <c r="A5" s="2">
        <v>0.5</v>
      </c>
      <c r="B5" s="2">
        <f t="shared" si="0"/>
        <v>1.5707963267948966</v>
      </c>
      <c r="C5" s="87">
        <f t="shared" si="1"/>
        <v>2</v>
      </c>
      <c r="D5" s="148">
        <f t="shared" si="2"/>
        <v>90</v>
      </c>
      <c r="E5" s="151">
        <f>E1-90</f>
        <v>45</v>
      </c>
      <c r="F5" s="151">
        <f>F1-90</f>
        <v>30</v>
      </c>
      <c r="G5" s="151">
        <f>G1-90</f>
        <v>18</v>
      </c>
      <c r="H5" s="150"/>
      <c r="I5" s="150">
        <f t="shared" ref="I5:V5" si="6">I1-90</f>
        <v>-18</v>
      </c>
      <c r="J5" s="150">
        <f t="shared" si="6"/>
        <v>-30.000000000000007</v>
      </c>
      <c r="K5" s="150">
        <f t="shared" si="6"/>
        <v>-45</v>
      </c>
      <c r="L5" s="150">
        <f t="shared" si="6"/>
        <v>-54</v>
      </c>
      <c r="M5" s="150">
        <f t="shared" si="6"/>
        <v>-60</v>
      </c>
      <c r="N5" s="150">
        <f t="shared" si="6"/>
        <v>-64.285714285714278</v>
      </c>
      <c r="O5" s="150">
        <f t="shared" si="6"/>
        <v>-67.5</v>
      </c>
      <c r="P5" s="150">
        <f t="shared" si="6"/>
        <v>-70</v>
      </c>
      <c r="Q5" s="150">
        <f t="shared" si="6"/>
        <v>-72</v>
      </c>
      <c r="R5" s="150">
        <f t="shared" si="6"/>
        <v>-73.63636363636364</v>
      </c>
      <c r="S5" s="150">
        <f t="shared" si="6"/>
        <v>-75</v>
      </c>
      <c r="T5" s="150">
        <f t="shared" si="6"/>
        <v>-76.15384615384616</v>
      </c>
      <c r="U5" s="150">
        <f t="shared" si="6"/>
        <v>-77.142857142857139</v>
      </c>
      <c r="V5" s="150">
        <f t="shared" si="6"/>
        <v>-78</v>
      </c>
    </row>
    <row r="6" spans="1:22" ht="14.1">
      <c r="A6">
        <f>2/5</f>
        <v>0.4</v>
      </c>
      <c r="B6" s="2">
        <f t="shared" si="0"/>
        <v>1.2566370614359172</v>
      </c>
      <c r="C6" s="87">
        <f t="shared" si="1"/>
        <v>2.5</v>
      </c>
      <c r="D6" s="148">
        <f t="shared" si="2"/>
        <v>72</v>
      </c>
      <c r="E6" s="151">
        <f>E1-72</f>
        <v>63</v>
      </c>
      <c r="F6" s="151">
        <f>F1-72</f>
        <v>48</v>
      </c>
      <c r="G6" s="151">
        <f>G1-72</f>
        <v>36</v>
      </c>
      <c r="H6" s="151">
        <f>H1-72</f>
        <v>18</v>
      </c>
      <c r="I6" s="151"/>
      <c r="J6" s="150">
        <f>J1-72</f>
        <v>-12.000000000000007</v>
      </c>
      <c r="K6" s="150">
        <f t="shared" ref="K6:V6" si="7">K1-72</f>
        <v>-27</v>
      </c>
      <c r="L6" s="150">
        <f t="shared" si="7"/>
        <v>-36</v>
      </c>
      <c r="M6" s="150">
        <f t="shared" si="7"/>
        <v>-42</v>
      </c>
      <c r="N6" s="150">
        <f t="shared" si="7"/>
        <v>-46.285714285714285</v>
      </c>
      <c r="O6" s="150">
        <f t="shared" si="7"/>
        <v>-49.5</v>
      </c>
      <c r="P6" s="150">
        <f t="shared" si="7"/>
        <v>-52</v>
      </c>
      <c r="Q6" s="150">
        <f>Q1-72</f>
        <v>-54</v>
      </c>
      <c r="R6" s="150">
        <f t="shared" si="7"/>
        <v>-55.63636363636364</v>
      </c>
      <c r="S6" s="150">
        <f t="shared" si="7"/>
        <v>-57</v>
      </c>
      <c r="T6" s="150">
        <f t="shared" si="7"/>
        <v>-58.153846153846153</v>
      </c>
      <c r="U6" s="150">
        <f t="shared" si="7"/>
        <v>-59.142857142857139</v>
      </c>
      <c r="V6" s="150">
        <f t="shared" si="7"/>
        <v>-60</v>
      </c>
    </row>
    <row r="7" spans="1:22" ht="14.1">
      <c r="A7" s="2">
        <f>1/3</f>
        <v>0.33333333333333331</v>
      </c>
      <c r="B7" s="2">
        <f t="shared" si="0"/>
        <v>1.0471975511965976</v>
      </c>
      <c r="C7" s="87">
        <f t="shared" si="1"/>
        <v>3</v>
      </c>
      <c r="D7" s="148">
        <f t="shared" si="2"/>
        <v>59.999999999999993</v>
      </c>
      <c r="E7" s="151">
        <f>E1-60</f>
        <v>75</v>
      </c>
      <c r="F7" s="151">
        <f>F1-60</f>
        <v>60</v>
      </c>
      <c r="G7" s="151">
        <f>G1-60</f>
        <v>48</v>
      </c>
      <c r="H7" s="151">
        <f>H1-60</f>
        <v>30</v>
      </c>
      <c r="I7" s="151">
        <f>I1-60</f>
        <v>12</v>
      </c>
      <c r="J7" s="151"/>
      <c r="K7" s="150">
        <f t="shared" ref="K7:V7" si="8">K1-60</f>
        <v>-15</v>
      </c>
      <c r="L7" s="150">
        <f t="shared" si="8"/>
        <v>-24</v>
      </c>
      <c r="M7" s="150">
        <f t="shared" si="8"/>
        <v>-30.000000000000004</v>
      </c>
      <c r="N7" s="150">
        <f t="shared" si="8"/>
        <v>-34.285714285714285</v>
      </c>
      <c r="O7" s="150">
        <f t="shared" si="8"/>
        <v>-37.5</v>
      </c>
      <c r="P7" s="150">
        <f t="shared" si="8"/>
        <v>-40</v>
      </c>
      <c r="Q7" s="150">
        <f t="shared" si="8"/>
        <v>-42</v>
      </c>
      <c r="R7" s="150">
        <f t="shared" si="8"/>
        <v>-43.63636363636364</v>
      </c>
      <c r="S7" s="150">
        <f t="shared" si="8"/>
        <v>-45</v>
      </c>
      <c r="T7" s="150">
        <f t="shared" si="8"/>
        <v>-46.153846153846153</v>
      </c>
      <c r="U7" s="150">
        <f t="shared" si="8"/>
        <v>-47.142857142857139</v>
      </c>
      <c r="V7" s="150">
        <f t="shared" si="8"/>
        <v>-48</v>
      </c>
    </row>
    <row r="8" spans="1:22" ht="14.1">
      <c r="A8" s="2">
        <f>1/4</f>
        <v>0.25</v>
      </c>
      <c r="B8" s="2">
        <f t="shared" si="0"/>
        <v>0.78539816339744828</v>
      </c>
      <c r="C8" s="87">
        <f t="shared" si="1"/>
        <v>4</v>
      </c>
      <c r="D8" s="148">
        <f t="shared" si="2"/>
        <v>45</v>
      </c>
      <c r="E8" s="151">
        <f t="shared" ref="E8:J8" si="9">E1-45</f>
        <v>90</v>
      </c>
      <c r="F8" s="151">
        <f t="shared" si="9"/>
        <v>75</v>
      </c>
      <c r="G8" s="151">
        <f t="shared" si="9"/>
        <v>63</v>
      </c>
      <c r="H8" s="151">
        <f t="shared" si="9"/>
        <v>45</v>
      </c>
      <c r="I8" s="151">
        <f t="shared" si="9"/>
        <v>27</v>
      </c>
      <c r="J8" s="151">
        <f t="shared" si="9"/>
        <v>14.999999999999993</v>
      </c>
      <c r="K8" s="32"/>
      <c r="L8" s="150">
        <f t="shared" ref="L8:V8" si="10">L1-45</f>
        <v>-9</v>
      </c>
      <c r="M8" s="150">
        <f t="shared" si="10"/>
        <v>-15.000000000000004</v>
      </c>
      <c r="N8" s="150">
        <f t="shared" si="10"/>
        <v>-19.285714285714285</v>
      </c>
      <c r="O8" s="150">
        <f t="shared" si="10"/>
        <v>-22.5</v>
      </c>
      <c r="P8" s="150">
        <f t="shared" si="10"/>
        <v>-25</v>
      </c>
      <c r="Q8" s="150">
        <f t="shared" si="10"/>
        <v>-27</v>
      </c>
      <c r="R8" s="150">
        <f t="shared" si="10"/>
        <v>-28.636363636363637</v>
      </c>
      <c r="S8" s="150">
        <f t="shared" si="10"/>
        <v>-30</v>
      </c>
      <c r="T8" s="150">
        <f t="shared" si="10"/>
        <v>-31.153846153846153</v>
      </c>
      <c r="U8" s="150">
        <f t="shared" si="10"/>
        <v>-32.142857142857139</v>
      </c>
      <c r="V8" s="150">
        <f t="shared" si="10"/>
        <v>-33</v>
      </c>
    </row>
    <row r="9" spans="1:22" ht="14.1">
      <c r="A9" s="2">
        <f>1/5</f>
        <v>0.2</v>
      </c>
      <c r="B9" s="2">
        <f t="shared" si="0"/>
        <v>0.62831853071795862</v>
      </c>
      <c r="C9" s="87">
        <f t="shared" si="1"/>
        <v>5</v>
      </c>
      <c r="D9" s="148">
        <f t="shared" si="2"/>
        <v>36</v>
      </c>
      <c r="E9" s="151">
        <f t="shared" ref="E9:K9" si="11">E1-36</f>
        <v>99</v>
      </c>
      <c r="F9" s="151">
        <f t="shared" si="11"/>
        <v>84</v>
      </c>
      <c r="G9" s="151">
        <f t="shared" si="11"/>
        <v>72</v>
      </c>
      <c r="H9" s="151">
        <f t="shared" si="11"/>
        <v>54</v>
      </c>
      <c r="I9" s="151">
        <f t="shared" si="11"/>
        <v>36</v>
      </c>
      <c r="J9" s="151">
        <f t="shared" si="11"/>
        <v>23.999999999999993</v>
      </c>
      <c r="K9" s="151">
        <f t="shared" si="11"/>
        <v>9</v>
      </c>
      <c r="L9" s="32"/>
      <c r="M9" s="150">
        <f t="shared" ref="M9:V9" si="12">M1-36</f>
        <v>-6.0000000000000036</v>
      </c>
      <c r="N9" s="150">
        <f t="shared" si="12"/>
        <v>-10.285714285714285</v>
      </c>
      <c r="O9" s="150">
        <f t="shared" si="12"/>
        <v>-13.5</v>
      </c>
      <c r="P9" s="150">
        <f t="shared" si="12"/>
        <v>-16</v>
      </c>
      <c r="Q9" s="150">
        <f t="shared" si="12"/>
        <v>-18</v>
      </c>
      <c r="R9" s="150">
        <f t="shared" si="12"/>
        <v>-19.636363636363637</v>
      </c>
      <c r="S9" s="150">
        <f t="shared" si="12"/>
        <v>-21</v>
      </c>
      <c r="T9" s="150">
        <f t="shared" si="12"/>
        <v>-22.153846153846153</v>
      </c>
      <c r="U9" s="150">
        <f t="shared" si="12"/>
        <v>-23.142857142857142</v>
      </c>
      <c r="V9" s="150">
        <f t="shared" si="12"/>
        <v>-24</v>
      </c>
    </row>
    <row r="10" spans="1:22" ht="14.1">
      <c r="A10" s="2">
        <f>1/6</f>
        <v>0.16666666666666666</v>
      </c>
      <c r="B10" s="2">
        <f t="shared" si="0"/>
        <v>0.52359877559829882</v>
      </c>
      <c r="C10" s="87">
        <f t="shared" si="1"/>
        <v>6</v>
      </c>
      <c r="D10" s="148">
        <f t="shared" si="2"/>
        <v>29.999999999999996</v>
      </c>
      <c r="E10" s="151">
        <f t="shared" ref="E10:L10" si="13">E1-30</f>
        <v>105</v>
      </c>
      <c r="F10" s="151">
        <f t="shared" si="13"/>
        <v>90</v>
      </c>
      <c r="G10" s="151">
        <f t="shared" si="13"/>
        <v>78</v>
      </c>
      <c r="H10" s="151">
        <f t="shared" si="13"/>
        <v>60</v>
      </c>
      <c r="I10" s="151">
        <f t="shared" si="13"/>
        <v>42</v>
      </c>
      <c r="J10" s="151">
        <f t="shared" si="13"/>
        <v>29.999999999999993</v>
      </c>
      <c r="K10" s="151">
        <f t="shared" si="13"/>
        <v>15</v>
      </c>
      <c r="L10" s="151">
        <f t="shared" si="13"/>
        <v>6</v>
      </c>
      <c r="M10" s="32"/>
      <c r="N10" s="150">
        <f t="shared" ref="N10:V10" si="14">N1-30</f>
        <v>-4.2857142857142847</v>
      </c>
      <c r="O10" s="150">
        <f t="shared" si="14"/>
        <v>-7.5</v>
      </c>
      <c r="P10" s="150">
        <f t="shared" si="14"/>
        <v>-10</v>
      </c>
      <c r="Q10" s="150">
        <f t="shared" si="14"/>
        <v>-12</v>
      </c>
      <c r="R10" s="150">
        <f t="shared" si="14"/>
        <v>-13.636363636363637</v>
      </c>
      <c r="S10" s="150">
        <f t="shared" si="14"/>
        <v>-15.000000000000002</v>
      </c>
      <c r="T10" s="150">
        <f t="shared" si="14"/>
        <v>-16.153846153846153</v>
      </c>
      <c r="U10" s="150">
        <f t="shared" si="14"/>
        <v>-17.142857142857142</v>
      </c>
      <c r="V10" s="150">
        <f t="shared" si="14"/>
        <v>-18</v>
      </c>
    </row>
    <row r="11" spans="1:22" ht="14.1">
      <c r="A11" s="2">
        <f>1/7</f>
        <v>0.14285714285714285</v>
      </c>
      <c r="B11" s="2">
        <f t="shared" si="0"/>
        <v>0.44879895051282759</v>
      </c>
      <c r="C11" s="87">
        <f t="shared" si="1"/>
        <v>7</v>
      </c>
      <c r="D11" s="148">
        <f t="shared" si="2"/>
        <v>25.714285714285715</v>
      </c>
      <c r="E11" s="151">
        <f t="shared" ref="E11:M11" si="15">E1-25.7142857142857</f>
        <v>109.28571428571431</v>
      </c>
      <c r="F11" s="151">
        <f t="shared" si="15"/>
        <v>94.285714285714306</v>
      </c>
      <c r="G11" s="151">
        <f t="shared" si="15"/>
        <v>82.285714285714306</v>
      </c>
      <c r="H11" s="151">
        <f t="shared" si="15"/>
        <v>64.285714285714306</v>
      </c>
      <c r="I11" s="151">
        <f t="shared" si="15"/>
        <v>46.285714285714299</v>
      </c>
      <c r="J11" s="151">
        <f t="shared" si="15"/>
        <v>34.285714285714292</v>
      </c>
      <c r="K11" s="151">
        <f t="shared" si="15"/>
        <v>19.285714285714299</v>
      </c>
      <c r="L11" s="151">
        <f t="shared" si="15"/>
        <v>10.285714285714299</v>
      </c>
      <c r="M11" s="151">
        <f t="shared" si="15"/>
        <v>4.2857142857142954</v>
      </c>
      <c r="N11" s="32"/>
      <c r="O11" s="150">
        <f t="shared" ref="O11:V11" si="16">O1-25.7142857142857</f>
        <v>-3.2142857142857011</v>
      </c>
      <c r="P11" s="150">
        <f t="shared" si="16"/>
        <v>-5.7142857142857011</v>
      </c>
      <c r="Q11" s="150">
        <f t="shared" si="16"/>
        <v>-7.7142857142857011</v>
      </c>
      <c r="R11" s="150">
        <f t="shared" si="16"/>
        <v>-9.3506493506493378</v>
      </c>
      <c r="S11" s="150">
        <f t="shared" si="16"/>
        <v>-10.714285714285703</v>
      </c>
      <c r="T11" s="150">
        <f t="shared" si="16"/>
        <v>-11.868131868131854</v>
      </c>
      <c r="U11" s="150">
        <f t="shared" si="16"/>
        <v>-12.857142857142843</v>
      </c>
      <c r="V11" s="150">
        <f t="shared" si="16"/>
        <v>-13.714285714285701</v>
      </c>
    </row>
    <row r="12" spans="1:22" ht="14.1">
      <c r="A12" s="2">
        <f>1/8</f>
        <v>0.125</v>
      </c>
      <c r="B12" s="2">
        <f t="shared" si="0"/>
        <v>0.39269908169872414</v>
      </c>
      <c r="C12" s="87">
        <f t="shared" si="1"/>
        <v>8</v>
      </c>
      <c r="D12" s="148">
        <f t="shared" si="2"/>
        <v>22.5</v>
      </c>
      <c r="E12" s="151">
        <f t="shared" ref="E12:N12" si="17">E1-22.5</f>
        <v>112.5</v>
      </c>
      <c r="F12" s="151">
        <f t="shared" si="17"/>
        <v>97.5</v>
      </c>
      <c r="G12" s="151">
        <f t="shared" si="17"/>
        <v>85.5</v>
      </c>
      <c r="H12" s="151">
        <f t="shared" si="17"/>
        <v>67.5</v>
      </c>
      <c r="I12" s="151">
        <f t="shared" si="17"/>
        <v>49.5</v>
      </c>
      <c r="J12" s="151">
        <f t="shared" si="17"/>
        <v>37.499999999999993</v>
      </c>
      <c r="K12" s="151">
        <f t="shared" si="17"/>
        <v>22.5</v>
      </c>
      <c r="L12" s="151">
        <f t="shared" si="17"/>
        <v>13.5</v>
      </c>
      <c r="M12" s="151">
        <f t="shared" si="17"/>
        <v>7.4999999999999964</v>
      </c>
      <c r="N12" s="151">
        <f t="shared" si="17"/>
        <v>3.2142857142857153</v>
      </c>
      <c r="O12" s="32"/>
      <c r="P12" s="150">
        <f t="shared" ref="P12:V12" si="18">P1-22.5</f>
        <v>-2.5</v>
      </c>
      <c r="Q12" s="150">
        <f t="shared" si="18"/>
        <v>-4.5</v>
      </c>
      <c r="R12" s="150">
        <f t="shared" si="18"/>
        <v>-6.1363636363636367</v>
      </c>
      <c r="S12" s="150">
        <f t="shared" si="18"/>
        <v>-7.5000000000000018</v>
      </c>
      <c r="T12" s="150">
        <f t="shared" si="18"/>
        <v>-8.6538461538461533</v>
      </c>
      <c r="U12" s="150">
        <f t="shared" si="18"/>
        <v>-9.6428571428571423</v>
      </c>
      <c r="V12" s="150">
        <f t="shared" si="18"/>
        <v>-10.5</v>
      </c>
    </row>
    <row r="13" spans="1:22" ht="14.1">
      <c r="A13" s="2">
        <f>1/9</f>
        <v>0.1111111111111111</v>
      </c>
      <c r="B13" s="2">
        <f t="shared" si="0"/>
        <v>0.3490658503988659</v>
      </c>
      <c r="C13" s="87">
        <f t="shared" si="1"/>
        <v>9</v>
      </c>
      <c r="D13" s="148">
        <f t="shared" si="2"/>
        <v>20</v>
      </c>
      <c r="E13" s="151">
        <f t="shared" ref="E13:O13" si="19">E1-20</f>
        <v>115</v>
      </c>
      <c r="F13" s="151">
        <f t="shared" si="19"/>
        <v>100</v>
      </c>
      <c r="G13" s="151">
        <f t="shared" si="19"/>
        <v>88</v>
      </c>
      <c r="H13" s="151">
        <f t="shared" si="19"/>
        <v>70</v>
      </c>
      <c r="I13" s="151">
        <f t="shared" si="19"/>
        <v>52</v>
      </c>
      <c r="J13" s="151">
        <f t="shared" si="19"/>
        <v>39.999999999999993</v>
      </c>
      <c r="K13" s="151">
        <f t="shared" si="19"/>
        <v>25</v>
      </c>
      <c r="L13" s="151">
        <f t="shared" si="19"/>
        <v>16</v>
      </c>
      <c r="M13" s="151">
        <f t="shared" si="19"/>
        <v>9.9999999999999964</v>
      </c>
      <c r="N13" s="151">
        <f t="shared" si="19"/>
        <v>5.7142857142857153</v>
      </c>
      <c r="O13" s="151">
        <f t="shared" si="19"/>
        <v>2.5</v>
      </c>
      <c r="P13" s="32"/>
      <c r="Q13" s="150">
        <f t="shared" ref="Q13:V13" si="20">Q1-20</f>
        <v>-2</v>
      </c>
      <c r="R13" s="150">
        <f t="shared" si="20"/>
        <v>-3.6363636363636367</v>
      </c>
      <c r="S13" s="150">
        <f t="shared" si="20"/>
        <v>-5.0000000000000018</v>
      </c>
      <c r="T13" s="150">
        <f t="shared" si="20"/>
        <v>-6.1538461538461533</v>
      </c>
      <c r="U13" s="150">
        <f t="shared" si="20"/>
        <v>-7.1428571428571423</v>
      </c>
      <c r="V13" s="150">
        <f t="shared" si="20"/>
        <v>-8</v>
      </c>
    </row>
    <row r="14" spans="1:22" ht="14.1">
      <c r="A14" s="2">
        <f t="shared" ref="A14:A19" si="21">1/C14</f>
        <v>0.1</v>
      </c>
      <c r="B14" s="2">
        <f t="shared" si="0"/>
        <v>0.31415926535897931</v>
      </c>
      <c r="C14">
        <v>10</v>
      </c>
      <c r="D14" s="148">
        <f t="shared" si="2"/>
        <v>18</v>
      </c>
      <c r="E14" s="151">
        <f t="shared" ref="E14:P14" si="22">E1-18</f>
        <v>117</v>
      </c>
      <c r="F14" s="151">
        <f t="shared" si="22"/>
        <v>102</v>
      </c>
      <c r="G14" s="151">
        <f t="shared" si="22"/>
        <v>90</v>
      </c>
      <c r="H14" s="151">
        <f t="shared" si="22"/>
        <v>72</v>
      </c>
      <c r="I14" s="151">
        <f t="shared" si="22"/>
        <v>54</v>
      </c>
      <c r="J14" s="151">
        <f t="shared" si="22"/>
        <v>41.999999999999993</v>
      </c>
      <c r="K14" s="151">
        <f t="shared" si="22"/>
        <v>27</v>
      </c>
      <c r="L14" s="151">
        <f t="shared" si="22"/>
        <v>18</v>
      </c>
      <c r="M14" s="151">
        <f t="shared" si="22"/>
        <v>11.999999999999996</v>
      </c>
      <c r="N14" s="151">
        <f t="shared" si="22"/>
        <v>7.7142857142857153</v>
      </c>
      <c r="O14" s="151">
        <f t="shared" si="22"/>
        <v>4.5</v>
      </c>
      <c r="P14" s="151">
        <f t="shared" si="22"/>
        <v>2</v>
      </c>
      <c r="Q14" s="150"/>
      <c r="R14" s="150">
        <f>R1-18</f>
        <v>-1.6363636363636367</v>
      </c>
      <c r="S14" s="150">
        <f>S1-18</f>
        <v>-3.0000000000000018</v>
      </c>
      <c r="T14" s="150">
        <f>T1-18</f>
        <v>-4.1538461538461533</v>
      </c>
      <c r="U14" s="150">
        <f>U1-18</f>
        <v>-5.1428571428571423</v>
      </c>
      <c r="V14" s="150">
        <f>V1-18</f>
        <v>-6</v>
      </c>
    </row>
    <row r="15" spans="1:22" ht="14.1">
      <c r="A15" s="2">
        <f t="shared" si="21"/>
        <v>9.0909090909090912E-2</v>
      </c>
      <c r="B15" s="2">
        <f t="shared" si="0"/>
        <v>0.28559933214452665</v>
      </c>
      <c r="C15">
        <v>11</v>
      </c>
      <c r="D15" s="148">
        <f t="shared" si="2"/>
        <v>16.363636363636363</v>
      </c>
      <c r="E15" s="151">
        <f t="shared" ref="E15:Q15" si="23">E1-16.3636363636364</f>
        <v>118.6363636363636</v>
      </c>
      <c r="F15" s="151">
        <f t="shared" si="23"/>
        <v>103.6363636363636</v>
      </c>
      <c r="G15" s="151">
        <f t="shared" si="23"/>
        <v>91.636363636363598</v>
      </c>
      <c r="H15" s="151">
        <f t="shared" si="23"/>
        <v>73.636363636363598</v>
      </c>
      <c r="I15" s="151">
        <f t="shared" si="23"/>
        <v>55.636363636363598</v>
      </c>
      <c r="J15" s="151">
        <f t="shared" si="23"/>
        <v>43.636363636363598</v>
      </c>
      <c r="K15" s="151">
        <f t="shared" si="23"/>
        <v>28.636363636363601</v>
      </c>
      <c r="L15" s="151">
        <f t="shared" si="23"/>
        <v>19.636363636363601</v>
      </c>
      <c r="M15" s="151">
        <f t="shared" si="23"/>
        <v>13.636363636363598</v>
      </c>
      <c r="N15" s="151">
        <f t="shared" si="23"/>
        <v>9.3506493506493165</v>
      </c>
      <c r="O15" s="151">
        <f t="shared" si="23"/>
        <v>6.1363636363636012</v>
      </c>
      <c r="P15" s="151">
        <f t="shared" si="23"/>
        <v>3.6363636363636012</v>
      </c>
      <c r="Q15" s="151">
        <f t="shared" si="23"/>
        <v>1.6363636363636012</v>
      </c>
      <c r="R15" s="151"/>
      <c r="S15" s="150">
        <f>S1-16.3636363636364</f>
        <v>-1.3636363636364006</v>
      </c>
      <c r="T15" s="150">
        <f>T1-16.3636363636364</f>
        <v>-2.5174825174825521</v>
      </c>
      <c r="U15" s="150">
        <f>U1-16.3636363636364</f>
        <v>-3.5064935064935412</v>
      </c>
      <c r="V15" s="150">
        <f>V1-16.3636363636364</f>
        <v>-4.3636363636363988</v>
      </c>
    </row>
    <row r="16" spans="1:22" ht="14.1">
      <c r="A16" s="2">
        <f t="shared" si="21"/>
        <v>8.3333333333333329E-2</v>
      </c>
      <c r="B16" s="2">
        <f t="shared" si="0"/>
        <v>0.26179938779914941</v>
      </c>
      <c r="C16">
        <v>12</v>
      </c>
      <c r="D16" s="148">
        <f t="shared" si="2"/>
        <v>14.999999999999998</v>
      </c>
      <c r="E16" s="151">
        <f t="shared" ref="E16:R16" si="24">E1-15</f>
        <v>120</v>
      </c>
      <c r="F16" s="151">
        <f t="shared" si="24"/>
        <v>105</v>
      </c>
      <c r="G16" s="151">
        <f t="shared" si="24"/>
        <v>93</v>
      </c>
      <c r="H16" s="151">
        <f t="shared" si="24"/>
        <v>75</v>
      </c>
      <c r="I16" s="151">
        <f t="shared" si="24"/>
        <v>57</v>
      </c>
      <c r="J16" s="151">
        <f t="shared" si="24"/>
        <v>44.999999999999993</v>
      </c>
      <c r="K16" s="151">
        <f t="shared" si="24"/>
        <v>30</v>
      </c>
      <c r="L16" s="151">
        <f t="shared" si="24"/>
        <v>21</v>
      </c>
      <c r="M16" s="151">
        <f t="shared" si="24"/>
        <v>14.999999999999996</v>
      </c>
      <c r="N16" s="151">
        <f t="shared" si="24"/>
        <v>10.714285714285715</v>
      </c>
      <c r="O16" s="151">
        <f t="shared" si="24"/>
        <v>7.5</v>
      </c>
      <c r="P16" s="151">
        <f t="shared" si="24"/>
        <v>5</v>
      </c>
      <c r="Q16" s="151">
        <f t="shared" si="24"/>
        <v>3</v>
      </c>
      <c r="R16" s="151">
        <f t="shared" si="24"/>
        <v>1.3636363636363633</v>
      </c>
      <c r="S16" s="150"/>
      <c r="T16" s="150">
        <f>T1-15</f>
        <v>-1.1538461538461533</v>
      </c>
      <c r="U16" s="150">
        <f>U1-15</f>
        <v>-2.1428571428571423</v>
      </c>
      <c r="V16" s="150">
        <f>V1-15</f>
        <v>-3</v>
      </c>
    </row>
    <row r="17" spans="1:22" ht="14.1">
      <c r="A17" s="2">
        <f t="shared" si="21"/>
        <v>7.6923076923076927E-2</v>
      </c>
      <c r="B17" s="2">
        <f t="shared" si="0"/>
        <v>0.24166097335306103</v>
      </c>
      <c r="C17">
        <v>13</v>
      </c>
      <c r="D17" s="148">
        <f t="shared" si="2"/>
        <v>13.846153846153847</v>
      </c>
      <c r="E17" s="151">
        <f t="shared" ref="E17:S17" si="25">E1-13.8461538461538</f>
        <v>121.1538461538462</v>
      </c>
      <c r="F17" s="151">
        <f t="shared" si="25"/>
        <v>106.1538461538462</v>
      </c>
      <c r="G17" s="151">
        <f t="shared" si="25"/>
        <v>94.153846153846203</v>
      </c>
      <c r="H17" s="151">
        <f t="shared" si="25"/>
        <v>76.153846153846203</v>
      </c>
      <c r="I17" s="151">
        <f t="shared" si="25"/>
        <v>58.153846153846203</v>
      </c>
      <c r="J17" s="151">
        <f t="shared" si="25"/>
        <v>46.153846153846189</v>
      </c>
      <c r="K17" s="151">
        <f t="shared" si="25"/>
        <v>31.153846153846199</v>
      </c>
      <c r="L17" s="151">
        <f t="shared" si="25"/>
        <v>22.153846153846199</v>
      </c>
      <c r="M17" s="151">
        <f t="shared" si="25"/>
        <v>16.153846153846196</v>
      </c>
      <c r="N17" s="151">
        <f t="shared" si="25"/>
        <v>11.868131868131915</v>
      </c>
      <c r="O17" s="151">
        <f t="shared" si="25"/>
        <v>8.6538461538461995</v>
      </c>
      <c r="P17" s="151">
        <f t="shared" si="25"/>
        <v>6.1538461538461995</v>
      </c>
      <c r="Q17" s="151">
        <f t="shared" si="25"/>
        <v>4.1538461538461995</v>
      </c>
      <c r="R17" s="151">
        <f t="shared" si="25"/>
        <v>2.5174825174825628</v>
      </c>
      <c r="S17" s="151">
        <f t="shared" si="25"/>
        <v>1.1538461538461977</v>
      </c>
      <c r="T17" s="151"/>
      <c r="U17" s="150">
        <f>U1-13.8461538461538</f>
        <v>-0.98901098901094286</v>
      </c>
      <c r="V17" s="150">
        <f>V1-13.8461538461538</f>
        <v>-1.8461538461538005</v>
      </c>
    </row>
    <row r="18" spans="1:22" ht="14.1">
      <c r="A18" s="2">
        <f t="shared" si="21"/>
        <v>7.1428571428571425E-2</v>
      </c>
      <c r="B18" s="2">
        <f t="shared" si="0"/>
        <v>0.22439947525641379</v>
      </c>
      <c r="C18">
        <v>14</v>
      </c>
      <c r="D18" s="148">
        <f t="shared" si="2"/>
        <v>12.857142857142858</v>
      </c>
      <c r="E18" s="151">
        <f t="shared" ref="E18:T18" si="26">E1-12.8571428571429</f>
        <v>122.1428571428571</v>
      </c>
      <c r="F18" s="151">
        <f t="shared" si="26"/>
        <v>107.1428571428571</v>
      </c>
      <c r="G18" s="151">
        <f t="shared" si="26"/>
        <v>95.142857142857096</v>
      </c>
      <c r="H18" s="151">
        <f t="shared" si="26"/>
        <v>77.142857142857096</v>
      </c>
      <c r="I18" s="151">
        <f t="shared" si="26"/>
        <v>59.142857142857096</v>
      </c>
      <c r="J18" s="151">
        <f t="shared" si="26"/>
        <v>47.142857142857096</v>
      </c>
      <c r="K18" s="151">
        <f t="shared" si="26"/>
        <v>32.142857142857096</v>
      </c>
      <c r="L18" s="151">
        <f t="shared" si="26"/>
        <v>23.1428571428571</v>
      </c>
      <c r="M18" s="151">
        <f t="shared" si="26"/>
        <v>17.142857142857096</v>
      </c>
      <c r="N18" s="151">
        <f t="shared" si="26"/>
        <v>12.857142857142815</v>
      </c>
      <c r="O18" s="151">
        <f t="shared" si="26"/>
        <v>9.6428571428570997</v>
      </c>
      <c r="P18" s="151">
        <f t="shared" si="26"/>
        <v>7.1428571428570997</v>
      </c>
      <c r="Q18" s="151">
        <f t="shared" si="26"/>
        <v>5.1428571428570997</v>
      </c>
      <c r="R18" s="151">
        <f t="shared" si="26"/>
        <v>3.506493506493463</v>
      </c>
      <c r="S18" s="151">
        <f t="shared" si="26"/>
        <v>2.1428571428570979</v>
      </c>
      <c r="T18" s="151">
        <f t="shared" si="26"/>
        <v>0.98901098901094642</v>
      </c>
      <c r="U18" s="151"/>
      <c r="V18" s="150">
        <f>V1-12.8571428571429</f>
        <v>-0.85714285714290028</v>
      </c>
    </row>
    <row r="19" spans="1:22" ht="14.1">
      <c r="A19" s="2">
        <f t="shared" si="21"/>
        <v>6.6666666666666666E-2</v>
      </c>
      <c r="B19" s="2">
        <f t="shared" si="0"/>
        <v>0.20943951023931953</v>
      </c>
      <c r="C19">
        <v>15</v>
      </c>
      <c r="D19" s="148">
        <f t="shared" si="2"/>
        <v>12</v>
      </c>
      <c r="E19" s="151">
        <f t="shared" ref="E19:U19" si="27">E1-12</f>
        <v>123</v>
      </c>
      <c r="F19" s="151">
        <f t="shared" si="27"/>
        <v>108</v>
      </c>
      <c r="G19" s="151">
        <f t="shared" si="27"/>
        <v>96</v>
      </c>
      <c r="H19" s="151">
        <f t="shared" si="27"/>
        <v>78</v>
      </c>
      <c r="I19" s="151">
        <f t="shared" si="27"/>
        <v>60</v>
      </c>
      <c r="J19" s="151">
        <f t="shared" si="27"/>
        <v>47.999999999999993</v>
      </c>
      <c r="K19" s="151">
        <f t="shared" si="27"/>
        <v>33</v>
      </c>
      <c r="L19" s="151">
        <f t="shared" si="27"/>
        <v>24</v>
      </c>
      <c r="M19" s="151">
        <f t="shared" si="27"/>
        <v>17.999999999999996</v>
      </c>
      <c r="N19" s="151">
        <f t="shared" si="27"/>
        <v>13.714285714285715</v>
      </c>
      <c r="O19" s="151">
        <f t="shared" si="27"/>
        <v>10.5</v>
      </c>
      <c r="P19" s="151">
        <f t="shared" si="27"/>
        <v>8</v>
      </c>
      <c r="Q19" s="151">
        <f t="shared" si="27"/>
        <v>6</v>
      </c>
      <c r="R19" s="151">
        <f t="shared" si="27"/>
        <v>4.3636363636363633</v>
      </c>
      <c r="S19" s="151">
        <f t="shared" si="27"/>
        <v>2.9999999999999982</v>
      </c>
      <c r="T19" s="151">
        <f t="shared" si="27"/>
        <v>1.8461538461538467</v>
      </c>
      <c r="U19" s="151">
        <f t="shared" si="27"/>
        <v>0.85714285714285765</v>
      </c>
      <c r="V19" s="151"/>
    </row>
    <row r="20" spans="1:22" ht="14.1">
      <c r="B20" s="152" t="s">
        <v>50</v>
      </c>
      <c r="C20" s="153" t="str">
        <f>"2*pi/phi^2"</f>
        <v>2*pi/phi^2</v>
      </c>
      <c r="D20" s="153">
        <v>222.5</v>
      </c>
      <c r="E20" s="154">
        <f t="shared" ref="E20:V20" si="28">222.5-E1</f>
        <v>87.5</v>
      </c>
      <c r="F20" s="154">
        <f t="shared" si="28"/>
        <v>102.5</v>
      </c>
      <c r="G20" s="154">
        <f t="shared" si="28"/>
        <v>114.5</v>
      </c>
      <c r="H20" s="154">
        <f t="shared" si="28"/>
        <v>132.5</v>
      </c>
      <c r="I20" s="154">
        <f t="shared" si="28"/>
        <v>150.5</v>
      </c>
      <c r="J20" s="154">
        <f t="shared" si="28"/>
        <v>162.5</v>
      </c>
      <c r="K20" s="154">
        <f t="shared" si="28"/>
        <v>177.5</v>
      </c>
      <c r="L20" s="154">
        <f t="shared" si="28"/>
        <v>186.5</v>
      </c>
      <c r="M20" s="154">
        <f t="shared" si="28"/>
        <v>192.5</v>
      </c>
      <c r="N20" s="154">
        <f t="shared" si="28"/>
        <v>196.78571428571428</v>
      </c>
      <c r="O20" s="155">
        <f t="shared" si="28"/>
        <v>200</v>
      </c>
      <c r="P20" s="154">
        <f t="shared" si="28"/>
        <v>202.5</v>
      </c>
      <c r="Q20" s="154">
        <f t="shared" si="28"/>
        <v>204.5</v>
      </c>
      <c r="R20" s="154">
        <f t="shared" si="28"/>
        <v>206.13636363636363</v>
      </c>
      <c r="S20" s="154">
        <f t="shared" si="28"/>
        <v>207.5</v>
      </c>
      <c r="T20" s="154">
        <f t="shared" si="28"/>
        <v>208.65384615384616</v>
      </c>
      <c r="U20" s="154">
        <f t="shared" si="28"/>
        <v>209.64285714285714</v>
      </c>
      <c r="V20" s="154">
        <f t="shared" si="28"/>
        <v>210.5</v>
      </c>
    </row>
    <row r="21" spans="1:22" ht="14.1">
      <c r="C21" s="153" t="str">
        <f>"2*pi/phi"</f>
        <v>2*pi/phi</v>
      </c>
      <c r="D21" s="153">
        <v>137.5</v>
      </c>
      <c r="E21" s="154">
        <f t="shared" ref="E21:V21" si="29">137.5-E1</f>
        <v>2.5</v>
      </c>
      <c r="F21" s="154">
        <f t="shared" si="29"/>
        <v>17.5</v>
      </c>
      <c r="G21" s="154">
        <f t="shared" si="29"/>
        <v>29.5</v>
      </c>
      <c r="H21" s="154">
        <f t="shared" si="29"/>
        <v>47.5</v>
      </c>
      <c r="I21" s="154">
        <f t="shared" si="29"/>
        <v>65.5</v>
      </c>
      <c r="J21" s="154">
        <f t="shared" si="29"/>
        <v>77.5</v>
      </c>
      <c r="K21" s="154">
        <f t="shared" si="29"/>
        <v>92.5</v>
      </c>
      <c r="L21" s="154">
        <f t="shared" si="29"/>
        <v>101.5</v>
      </c>
      <c r="M21" s="154">
        <f t="shared" si="29"/>
        <v>107.5</v>
      </c>
      <c r="N21" s="154">
        <f t="shared" si="29"/>
        <v>111.78571428571428</v>
      </c>
      <c r="O21" s="155">
        <f t="shared" si="29"/>
        <v>115</v>
      </c>
      <c r="P21" s="154">
        <f t="shared" si="29"/>
        <v>117.5</v>
      </c>
      <c r="Q21" s="154">
        <f t="shared" si="29"/>
        <v>119.5</v>
      </c>
      <c r="R21" s="154">
        <f t="shared" si="29"/>
        <v>121.13636363636364</v>
      </c>
      <c r="S21" s="154">
        <f t="shared" si="29"/>
        <v>122.5</v>
      </c>
      <c r="T21" s="154">
        <f t="shared" si="29"/>
        <v>123.65384615384616</v>
      </c>
      <c r="U21" s="154">
        <f t="shared" si="29"/>
        <v>124.64285714285714</v>
      </c>
      <c r="V21" s="154">
        <f t="shared" si="29"/>
        <v>125.5</v>
      </c>
    </row>
    <row r="23" spans="1:22" ht="14.1">
      <c r="A23" s="22" t="s">
        <v>51</v>
      </c>
    </row>
    <row r="24" spans="1:22" ht="14.1">
      <c r="B24" s="22" t="s">
        <v>52</v>
      </c>
      <c r="C24" s="22" t="s">
        <v>53</v>
      </c>
      <c r="D24" s="22" t="s">
        <v>54</v>
      </c>
      <c r="E24" s="22" t="s">
        <v>55</v>
      </c>
      <c r="F24" s="156">
        <v>1.61803398874989</v>
      </c>
      <c r="G24" s="157"/>
      <c r="M24" s="27"/>
    </row>
    <row r="25" spans="1:22" ht="14.1">
      <c r="A25" s="158" t="s">
        <v>56</v>
      </c>
      <c r="B25" t="s">
        <v>57</v>
      </c>
      <c r="C25" s="159">
        <f>SQRT(2)</f>
        <v>1.4142135623730951</v>
      </c>
      <c r="D25" s="160">
        <f>SQRT(3)</f>
        <v>1.7320508075688772</v>
      </c>
      <c r="E25" s="161">
        <f>SQRT(5)</f>
        <v>2.2360679774997898</v>
      </c>
      <c r="F25" s="162" t="s">
        <v>58</v>
      </c>
      <c r="G25" s="157"/>
      <c r="H25" t="s">
        <v>59</v>
      </c>
      <c r="K25" t="str">
        <f>"pi/rads"</f>
        <v>pi/rads</v>
      </c>
    </row>
    <row r="26" spans="1:22" ht="14.4" thickBot="1">
      <c r="A26" s="163" t="s">
        <v>60</v>
      </c>
      <c r="B26" s="164"/>
      <c r="C26" s="165">
        <f>DEGREES(ASIN(C25/E25))</f>
        <v>39.231520483592263</v>
      </c>
      <c r="D26" s="165">
        <f>DEGREES(ASIN(D25/E25))</f>
        <v>50.768479516407737</v>
      </c>
      <c r="E26" s="166">
        <v>90</v>
      </c>
      <c r="F26" s="167" t="s">
        <v>53</v>
      </c>
      <c r="G26" s="157"/>
      <c r="H26" s="2">
        <f>RADIANS(C26)/PI()</f>
        <v>0.21795289157551259</v>
      </c>
      <c r="I26" s="2">
        <f>RADIANS(D26)/PI()</f>
        <v>0.28204710842448744</v>
      </c>
      <c r="J26" s="168">
        <f>RADIANS(E26)/PI()</f>
        <v>0.5</v>
      </c>
      <c r="K26" s="31">
        <f>1/H26</f>
        <v>4.5881474330132352</v>
      </c>
      <c r="L26" s="31">
        <f t="shared" ref="L26" si="30">1/I26</f>
        <v>3.5455070097544725</v>
      </c>
      <c r="M26">
        <f>1/J26</f>
        <v>2</v>
      </c>
    </row>
    <row r="27" spans="1:22">
      <c r="B27" t="s">
        <v>61</v>
      </c>
      <c r="C27" s="169">
        <v>1</v>
      </c>
      <c r="D27" s="160">
        <f>SQRT(3)</f>
        <v>1.7320508075688772</v>
      </c>
      <c r="E27" s="169">
        <v>2</v>
      </c>
      <c r="F27" s="162" t="s">
        <v>58</v>
      </c>
      <c r="G27" s="157"/>
      <c r="J27" s="9"/>
    </row>
    <row r="28" spans="1:22" ht="14.1" thickBot="1">
      <c r="B28" s="164"/>
      <c r="C28" s="165">
        <f>DEGREES(ASIN(C27/E27))</f>
        <v>30.000000000000004</v>
      </c>
      <c r="D28" s="166">
        <v>60</v>
      </c>
      <c r="E28" s="166">
        <v>90</v>
      </c>
      <c r="F28" s="167" t="s">
        <v>53</v>
      </c>
      <c r="G28" s="157"/>
      <c r="H28" s="2">
        <f>RADIANS(C28)/PI()</f>
        <v>0.16666666666666669</v>
      </c>
      <c r="I28" s="2">
        <f>RADIANS(D28)/PI()</f>
        <v>0.33333333333333331</v>
      </c>
      <c r="J28" s="168">
        <f>RADIANS(E28)/PI()</f>
        <v>0.5</v>
      </c>
      <c r="K28">
        <f>1/H28</f>
        <v>5.9999999999999991</v>
      </c>
      <c r="L28">
        <f t="shared" ref="L28:M28" si="31">1/I28</f>
        <v>3</v>
      </c>
      <c r="M28">
        <f t="shared" si="31"/>
        <v>2</v>
      </c>
    </row>
    <row r="29" spans="1:22">
      <c r="B29" t="s">
        <v>62</v>
      </c>
      <c r="C29" s="159">
        <f>SQRT(2)</f>
        <v>1.4142135623730951</v>
      </c>
      <c r="D29" s="159">
        <f>SQRT(2)</f>
        <v>1.4142135623730951</v>
      </c>
      <c r="E29" s="169">
        <v>1</v>
      </c>
      <c r="F29" s="162" t="s">
        <v>58</v>
      </c>
      <c r="G29" s="157">
        <f>5*D29</f>
        <v>7.0710678118654755</v>
      </c>
      <c r="J29" s="9"/>
    </row>
    <row r="30" spans="1:22" ht="14.1" thickBot="1">
      <c r="B30" s="164"/>
      <c r="C30" s="166">
        <v>45</v>
      </c>
      <c r="D30" s="166">
        <v>45</v>
      </c>
      <c r="E30" s="166">
        <v>90</v>
      </c>
      <c r="F30" s="167" t="s">
        <v>53</v>
      </c>
      <c r="G30" s="157"/>
      <c r="H30" s="2">
        <f>RADIANS(C30)/PI()</f>
        <v>0.25</v>
      </c>
      <c r="I30" s="2">
        <f>RADIANS(D30)/PI()</f>
        <v>0.25</v>
      </c>
      <c r="J30" s="168">
        <f>RADIANS(E30)/PI()</f>
        <v>0.5</v>
      </c>
      <c r="K30">
        <f>1/H30</f>
        <v>4</v>
      </c>
      <c r="L30">
        <f t="shared" ref="L30:M30" si="32">1/I30</f>
        <v>4</v>
      </c>
      <c r="M30">
        <f t="shared" si="32"/>
        <v>2</v>
      </c>
    </row>
    <row r="31" spans="1:22">
      <c r="B31" s="170" t="str">
        <f>"3 - 4 - 5"</f>
        <v>3 - 4 - 5</v>
      </c>
      <c r="C31" s="169">
        <v>3</v>
      </c>
      <c r="D31" s="169">
        <v>4</v>
      </c>
      <c r="E31" s="169">
        <v>5</v>
      </c>
      <c r="F31" s="162" t="s">
        <v>58</v>
      </c>
      <c r="G31" s="157"/>
      <c r="J31" s="9"/>
    </row>
    <row r="32" spans="1:22" ht="14.1" thickBot="1">
      <c r="B32" s="164"/>
      <c r="C32" s="165">
        <f>DEGREES(ASIN(C31/E31))</f>
        <v>36.86989764584402</v>
      </c>
      <c r="D32" s="165">
        <f>DEGREES(ASIN(D31/E31))</f>
        <v>53.130102354155987</v>
      </c>
      <c r="E32" s="166">
        <v>90</v>
      </c>
      <c r="F32" s="167" t="s">
        <v>53</v>
      </c>
      <c r="G32" s="157"/>
      <c r="H32" s="2">
        <f>RADIANS(C32)/PI()</f>
        <v>0.20483276469913345</v>
      </c>
      <c r="I32" s="2">
        <f>RADIANS(D32)/PI()</f>
        <v>0.29516723530086664</v>
      </c>
      <c r="J32" s="168">
        <f>RADIANS(E32)/PI()</f>
        <v>0.5</v>
      </c>
      <c r="K32" s="31">
        <f>1/H32</f>
        <v>4.8820314536536182</v>
      </c>
      <c r="L32" s="31">
        <f t="shared" ref="L32:M32" si="33">1/I32</f>
        <v>3.3879099046365728</v>
      </c>
      <c r="M32">
        <f t="shared" si="33"/>
        <v>2</v>
      </c>
    </row>
    <row r="33" spans="1:13">
      <c r="B33" t="s">
        <v>63</v>
      </c>
      <c r="C33" s="169">
        <v>1</v>
      </c>
      <c r="D33" s="169">
        <v>2</v>
      </c>
      <c r="E33" s="161">
        <f>SQRT(5)</f>
        <v>2.2360679774997898</v>
      </c>
      <c r="F33" s="162" t="s">
        <v>58</v>
      </c>
      <c r="G33" s="157"/>
      <c r="J33" s="9"/>
      <c r="K33" s="31"/>
      <c r="L33" s="31"/>
    </row>
    <row r="34" spans="1:13" ht="14.1" thickBot="1">
      <c r="B34" s="164"/>
      <c r="C34" s="165">
        <f>DEGREES(ASIN(C33/E33))</f>
        <v>26.56505117707799</v>
      </c>
      <c r="D34" s="165">
        <f>DEGREES(ASIN(D33/E33))</f>
        <v>63.43494882292201</v>
      </c>
      <c r="E34" s="166">
        <v>90</v>
      </c>
      <c r="F34" s="167" t="s">
        <v>53</v>
      </c>
      <c r="G34" s="157"/>
      <c r="H34" s="2">
        <f>RADIANS(C34)/PI()</f>
        <v>0.14758361765043326</v>
      </c>
      <c r="I34" s="2">
        <f>RADIANS(D34)/PI()</f>
        <v>0.35241638234956674</v>
      </c>
      <c r="J34" s="168">
        <f>RADIANS(E34)/PI()</f>
        <v>0.5</v>
      </c>
      <c r="K34" s="31">
        <f>1/H34</f>
        <v>6.7758198092731483</v>
      </c>
      <c r="L34" s="31">
        <f t="shared" ref="L34:M34" si="34">1/I34</f>
        <v>2.8375525375210451</v>
      </c>
      <c r="M34">
        <f t="shared" si="34"/>
        <v>2</v>
      </c>
    </row>
    <row r="35" spans="1:13">
      <c r="B35" t="s">
        <v>64</v>
      </c>
      <c r="C35" s="169">
        <f>E35*SIN(RADIANS(C36))</f>
        <v>0.47552825814757532</v>
      </c>
      <c r="D35" s="171">
        <v>1.61803398874989</v>
      </c>
      <c r="E35" s="169">
        <f>D35*SIN(RADIANS(D36))</f>
        <v>1.5388417685876221</v>
      </c>
      <c r="F35" s="162" t="s">
        <v>58</v>
      </c>
      <c r="G35" s="172">
        <f>E35^4</f>
        <v>5.6075849718746698</v>
      </c>
      <c r="J35" s="9"/>
    </row>
    <row r="36" spans="1:13" ht="14.1" thickBot="1">
      <c r="B36" s="164"/>
      <c r="C36" s="166">
        <v>18</v>
      </c>
      <c r="D36" s="166">
        <v>72</v>
      </c>
      <c r="E36" s="166">
        <v>90</v>
      </c>
      <c r="F36" s="167" t="s">
        <v>53</v>
      </c>
      <c r="G36" s="157"/>
      <c r="H36" s="2">
        <f>RADIANS(C36)/PI()</f>
        <v>0.1</v>
      </c>
      <c r="I36" s="2">
        <f>RADIANS(D36)/PI()</f>
        <v>0.4</v>
      </c>
      <c r="J36" s="168">
        <f>RADIANS(E36)/PI()</f>
        <v>0.5</v>
      </c>
      <c r="K36">
        <f>1/H36</f>
        <v>10</v>
      </c>
      <c r="L36">
        <f t="shared" ref="L36:M36" si="35">1/I36</f>
        <v>2.5</v>
      </c>
      <c r="M36">
        <f t="shared" si="35"/>
        <v>2</v>
      </c>
    </row>
    <row r="37" spans="1:13">
      <c r="B37" t="s">
        <v>65</v>
      </c>
      <c r="C37" s="169">
        <f>E37*SIN(RADIANS(C38))</f>
        <v>1.3143277802978341</v>
      </c>
      <c r="D37" s="169">
        <v>2</v>
      </c>
      <c r="E37" s="161">
        <f>SQRT(5)</f>
        <v>2.2360679774997898</v>
      </c>
      <c r="F37" s="162" t="s">
        <v>58</v>
      </c>
      <c r="G37" s="157"/>
      <c r="J37" s="9"/>
    </row>
    <row r="38" spans="1:13" ht="14.1" thickBot="1">
      <c r="C38" s="173">
        <v>36</v>
      </c>
      <c r="D38" s="173">
        <v>54</v>
      </c>
      <c r="E38" s="166">
        <v>90</v>
      </c>
      <c r="F38" s="167" t="s">
        <v>53</v>
      </c>
      <c r="G38" s="157"/>
      <c r="H38" s="2">
        <f>RADIANS(C38)/PI()</f>
        <v>0.2</v>
      </c>
      <c r="I38" s="2">
        <f>RADIANS(D38)/PI()</f>
        <v>0.3</v>
      </c>
      <c r="J38" s="168">
        <f>RADIANS(E38)/PI()</f>
        <v>0.5</v>
      </c>
      <c r="K38">
        <f>1/H38</f>
        <v>5</v>
      </c>
      <c r="L38" s="31">
        <f t="shared" ref="L38:M38" si="36">1/I38</f>
        <v>3.3333333333333335</v>
      </c>
      <c r="M38">
        <f t="shared" si="36"/>
        <v>2</v>
      </c>
    </row>
    <row r="39" spans="1:13">
      <c r="B39" t="s">
        <v>66</v>
      </c>
      <c r="C39" s="169">
        <v>1</v>
      </c>
      <c r="D39" s="171">
        <v>1.61803398874989</v>
      </c>
      <c r="E39" s="161">
        <f>1.61803398874989^2</f>
        <v>2.6180339887498794</v>
      </c>
      <c r="F39" s="162" t="s">
        <v>58</v>
      </c>
      <c r="G39" s="157"/>
      <c r="J39" s="9"/>
    </row>
    <row r="40" spans="1:13" ht="14.1" thickBot="1">
      <c r="C40" s="165">
        <f>DEGREES(ASIN(1/1.61803398874989))</f>
        <v>38.172707627012386</v>
      </c>
      <c r="D40" s="165">
        <f>DEGREES(ACOS(1/1.61803398874989))</f>
        <v>51.827292372987614</v>
      </c>
      <c r="E40" s="166">
        <v>90</v>
      </c>
      <c r="F40" s="167" t="s">
        <v>53</v>
      </c>
      <c r="G40" s="157"/>
      <c r="H40" s="2">
        <f>RADIANS(C40)/PI()</f>
        <v>0.2120705979278466</v>
      </c>
      <c r="I40" s="2">
        <f>RADIANS(D40)/PI()</f>
        <v>0.28792940207215345</v>
      </c>
      <c r="J40" s="168">
        <f>RADIANS(E40)/PI()</f>
        <v>0.5</v>
      </c>
      <c r="K40" s="31">
        <f>1/H40</f>
        <v>4.7154108573798279</v>
      </c>
      <c r="L40" s="31">
        <f t="shared" ref="L40:M40" si="37">1/I40</f>
        <v>3.4730735826326127</v>
      </c>
      <c r="M40">
        <f t="shared" si="37"/>
        <v>2</v>
      </c>
    </row>
    <row r="41" spans="1:13">
      <c r="G41" s="157"/>
    </row>
    <row r="42" spans="1:13">
      <c r="G42" s="157"/>
    </row>
    <row r="44" spans="1:13" ht="14.1" thickBot="1">
      <c r="A44" s="4" t="s">
        <v>7</v>
      </c>
      <c r="B44" s="10" t="s">
        <v>8</v>
      </c>
      <c r="C44" s="10" t="s">
        <v>9</v>
      </c>
    </row>
    <row r="45" spans="1:13" ht="14.1" thickTop="1">
      <c r="A45" s="11"/>
      <c r="B45" s="12"/>
      <c r="C45" s="12"/>
    </row>
    <row r="46" spans="1:13">
      <c r="A46" s="13">
        <v>45</v>
      </c>
      <c r="B46" s="14">
        <v>72</v>
      </c>
      <c r="C46" s="14">
        <v>72</v>
      </c>
    </row>
    <row r="47" spans="1:13">
      <c r="A47" s="13">
        <v>90</v>
      </c>
      <c r="B47" s="14">
        <v>36</v>
      </c>
      <c r="C47" s="14">
        <v>90</v>
      </c>
    </row>
    <row r="48" spans="1:13">
      <c r="A48" s="13">
        <v>45</v>
      </c>
      <c r="B48" s="14">
        <v>72</v>
      </c>
      <c r="C48" s="14">
        <v>18</v>
      </c>
    </row>
    <row r="49" spans="1:3">
      <c r="A49" s="15"/>
      <c r="B49" s="16"/>
      <c r="C49" s="16"/>
    </row>
    <row r="50" spans="1:3">
      <c r="A50" s="17">
        <f t="shared" ref="A50:C51" si="38">RADIANS(A46)/PI()</f>
        <v>0.25</v>
      </c>
      <c r="B50" s="18">
        <f t="shared" si="38"/>
        <v>0.4</v>
      </c>
      <c r="C50" s="18">
        <f t="shared" si="38"/>
        <v>0.4</v>
      </c>
    </row>
    <row r="51" spans="1:3">
      <c r="A51" s="17">
        <f t="shared" si="38"/>
        <v>0.5</v>
      </c>
      <c r="B51" s="18">
        <f t="shared" si="38"/>
        <v>0.2</v>
      </c>
      <c r="C51" s="18">
        <f t="shared" si="38"/>
        <v>0.5</v>
      </c>
    </row>
    <row r="52" spans="1:3" ht="14.1">
      <c r="A52" s="17">
        <f>RADIANS(A48)/PI()</f>
        <v>0.25</v>
      </c>
      <c r="B52" s="18">
        <f>RADIANS(B48)/PI()</f>
        <v>0.4</v>
      </c>
      <c r="C52" s="19" t="str">
        <f>"1/10"</f>
        <v>1/10</v>
      </c>
    </row>
    <row r="53" spans="1:3">
      <c r="A53" s="20"/>
      <c r="B53" s="21"/>
      <c r="C53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07B7-EF44-482C-B74B-887CCC62CCC5}">
  <dimension ref="A1:P21"/>
  <sheetViews>
    <sheetView tabSelected="1" workbookViewId="0">
      <selection activeCell="D12" sqref="D12"/>
    </sheetView>
  </sheetViews>
  <sheetFormatPr defaultRowHeight="13.8"/>
  <cols>
    <col min="1" max="1" width="11.80859375" customWidth="1"/>
    <col min="2" max="2" width="10.1875" bestFit="1" customWidth="1"/>
    <col min="5" max="5" width="9.1875" bestFit="1" customWidth="1"/>
    <col min="6" max="6" width="9.1875" customWidth="1"/>
    <col min="8" max="8" width="8.76171875" style="211"/>
    <col min="12" max="12" width="8.76171875" style="211"/>
    <col min="13" max="13" width="9.76171875" customWidth="1"/>
    <col min="14" max="14" width="9.76171875" style="2" customWidth="1"/>
    <col min="15" max="15" width="9.76171875" customWidth="1"/>
    <col min="16" max="16" width="8.76171875" style="2"/>
  </cols>
  <sheetData>
    <row r="1" spans="1:12">
      <c r="A1" t="s">
        <v>12</v>
      </c>
      <c r="B1" t="s">
        <v>15</v>
      </c>
      <c r="C1" t="s">
        <v>13</v>
      </c>
      <c r="D1" t="s">
        <v>237</v>
      </c>
      <c r="E1" s="212">
        <f>((SQRT(5)+1)/2)^(ROW()-1)</f>
        <v>1</v>
      </c>
      <c r="F1" s="216">
        <f>E1*5280</f>
        <v>5280</v>
      </c>
      <c r="G1" s="212">
        <f>((SQRT(5)-1)/2)^(ROW()-1)</f>
        <v>1</v>
      </c>
      <c r="H1" s="216">
        <f>5280*G1</f>
        <v>5280</v>
      </c>
      <c r="I1" s="214">
        <f>SQRT(2)*((SQRT(5)+1)/2)^(ROW()-1)</f>
        <v>1.4142135623730951</v>
      </c>
      <c r="J1" s="217">
        <f>5280*I1</f>
        <v>7467.0476093299421</v>
      </c>
      <c r="K1" s="214">
        <f>SQRT(2)*((SQRT(5)-1)/2)^(ROW()-1)</f>
        <v>1.4142135623730951</v>
      </c>
      <c r="L1" s="217">
        <f>5280*K1</f>
        <v>7467.0476093299421</v>
      </c>
    </row>
    <row r="2" spans="1:12" ht="14.1">
      <c r="A2" s="206" t="s">
        <v>117</v>
      </c>
      <c r="B2" s="208">
        <f>(SQRT(5)+1)/2</f>
        <v>1.6180339887498949</v>
      </c>
      <c r="C2" s="26">
        <f t="shared" ref="C2:C12" si="0">B2</f>
        <v>1.6180339887498949</v>
      </c>
      <c r="D2" s="211">
        <f>B2*5280</f>
        <v>8543.2194605994446</v>
      </c>
      <c r="E2" s="212">
        <f t="shared" ref="E2:E9" si="1">((SQRT(5)+1)/2)^(ROW()-1)</f>
        <v>1.6180339887498949</v>
      </c>
      <c r="F2" s="216">
        <f t="shared" ref="F2:F9" si="2">E2*5280</f>
        <v>8543.2194605994446</v>
      </c>
      <c r="G2" s="212">
        <f t="shared" ref="G2:G16" si="3">((SQRT(5)-1)/2)^(ROW()-1)</f>
        <v>0.6180339887498949</v>
      </c>
      <c r="H2" s="216">
        <f t="shared" ref="H2:H16" si="4">5280*G2</f>
        <v>3263.219460599445</v>
      </c>
      <c r="I2" s="214">
        <f t="shared" ref="I2:I8" si="5">SQRT(2)*((SQRT(5)+1)/2)^(ROW()-1)</f>
        <v>2.2882456112707374</v>
      </c>
      <c r="J2" s="217">
        <f t="shared" ref="J2:J8" si="6">5280*I2</f>
        <v>12081.936827509493</v>
      </c>
      <c r="K2" s="214">
        <f t="shared" ref="K2:K16" si="7">SQRT(2)*((SQRT(5)-1)/2)^(ROW()-1)</f>
        <v>0.8740320488976423</v>
      </c>
      <c r="L2" s="217">
        <f t="shared" ref="L2:L16" si="8">5280*K2</f>
        <v>4614.8892181795518</v>
      </c>
    </row>
    <row r="3" spans="1:12" ht="14.1">
      <c r="A3" s="206" t="s">
        <v>118</v>
      </c>
      <c r="B3" s="207">
        <f>(SQRT(5)-1)/2</f>
        <v>0.6180339887498949</v>
      </c>
      <c r="C3" s="26">
        <f t="shared" si="0"/>
        <v>0.6180339887498949</v>
      </c>
      <c r="D3" s="211">
        <f t="shared" ref="D3:D18" si="9">B3*5280</f>
        <v>3263.219460599445</v>
      </c>
      <c r="E3" s="212">
        <f t="shared" si="1"/>
        <v>2.6180339887498949</v>
      </c>
      <c r="F3" s="216">
        <f t="shared" si="2"/>
        <v>13823.219460599445</v>
      </c>
      <c r="G3" s="212">
        <f t="shared" si="3"/>
        <v>0.38196601125010521</v>
      </c>
      <c r="H3" s="216">
        <f t="shared" si="4"/>
        <v>2016.7805394005554</v>
      </c>
      <c r="I3" s="214">
        <f t="shared" si="5"/>
        <v>3.7024591736438324</v>
      </c>
      <c r="J3" s="217">
        <f t="shared" si="6"/>
        <v>19548.984436839433</v>
      </c>
      <c r="K3" s="214">
        <f t="shared" si="7"/>
        <v>0.54018151347545307</v>
      </c>
      <c r="L3" s="217">
        <f t="shared" si="8"/>
        <v>2852.1583911503922</v>
      </c>
    </row>
    <row r="4" spans="1:12" ht="14.1">
      <c r="A4" s="206" t="s">
        <v>119</v>
      </c>
      <c r="B4" s="207">
        <f>SQRT(2)</f>
        <v>1.4142135623730951</v>
      </c>
      <c r="C4" s="26">
        <f t="shared" si="0"/>
        <v>1.4142135623730951</v>
      </c>
      <c r="D4" s="211">
        <f t="shared" si="9"/>
        <v>7467.0476093299421</v>
      </c>
      <c r="E4" s="212">
        <f t="shared" si="1"/>
        <v>4.2360679774997898</v>
      </c>
      <c r="F4" s="216">
        <f t="shared" si="2"/>
        <v>22366.438921198889</v>
      </c>
      <c r="G4" s="212">
        <f t="shared" si="3"/>
        <v>0.23606797749978975</v>
      </c>
      <c r="H4" s="216">
        <f t="shared" si="4"/>
        <v>1246.4389211988898</v>
      </c>
      <c r="I4" s="214">
        <f t="shared" si="5"/>
        <v>5.9907047849145698</v>
      </c>
      <c r="J4" s="217">
        <f t="shared" si="6"/>
        <v>31630.92126434893</v>
      </c>
      <c r="K4" s="214">
        <f t="shared" si="7"/>
        <v>0.33385053542218934</v>
      </c>
      <c r="L4" s="217">
        <f t="shared" si="8"/>
        <v>1762.7308270291596</v>
      </c>
    </row>
    <row r="5" spans="1:12" ht="14.1">
      <c r="A5" s="206" t="s">
        <v>106</v>
      </c>
      <c r="B5" s="209">
        <f>1/SQRT(2)</f>
        <v>0.70710678118654746</v>
      </c>
      <c r="C5" s="26">
        <f t="shared" si="0"/>
        <v>0.70710678118654746</v>
      </c>
      <c r="D5" s="211">
        <f t="shared" si="9"/>
        <v>3733.5238046649706</v>
      </c>
      <c r="E5" s="212">
        <f t="shared" si="1"/>
        <v>6.8541019662496847</v>
      </c>
      <c r="F5" s="216">
        <f t="shared" si="2"/>
        <v>36189.658381798334</v>
      </c>
      <c r="G5" s="212">
        <f t="shared" si="3"/>
        <v>0.14589803375031549</v>
      </c>
      <c r="H5" s="216">
        <f t="shared" si="4"/>
        <v>770.34161820166582</v>
      </c>
      <c r="I5" s="214">
        <f t="shared" si="5"/>
        <v>9.6931639585584026</v>
      </c>
      <c r="J5" s="217">
        <f t="shared" si="6"/>
        <v>51179.905701188363</v>
      </c>
      <c r="K5" s="214">
        <f t="shared" si="7"/>
        <v>0.20633097805326372</v>
      </c>
      <c r="L5" s="217">
        <f t="shared" si="8"/>
        <v>1089.4275641212325</v>
      </c>
    </row>
    <row r="6" spans="1:12" ht="14.1">
      <c r="A6" s="23" t="s">
        <v>104</v>
      </c>
      <c r="B6" s="205">
        <f>SQRT(3)</f>
        <v>1.7320508075688772</v>
      </c>
      <c r="C6" s="26">
        <f t="shared" si="0"/>
        <v>1.7320508075688772</v>
      </c>
      <c r="D6" s="211">
        <f t="shared" si="9"/>
        <v>9145.2282639636724</v>
      </c>
      <c r="E6" s="212">
        <f t="shared" si="1"/>
        <v>11.090169943749475</v>
      </c>
      <c r="F6" s="216">
        <f t="shared" si="2"/>
        <v>58556.097302997223</v>
      </c>
      <c r="G6" s="212">
        <f t="shared" si="3"/>
        <v>9.0169943749474263E-2</v>
      </c>
      <c r="H6" s="216">
        <f t="shared" si="4"/>
        <v>476.09730299722412</v>
      </c>
      <c r="I6" s="214">
        <f t="shared" si="5"/>
        <v>15.683868743472972</v>
      </c>
      <c r="J6" s="217">
        <f t="shared" si="6"/>
        <v>82810.826965537301</v>
      </c>
      <c r="K6" s="214">
        <f t="shared" si="7"/>
        <v>0.12751955736892559</v>
      </c>
      <c r="L6" s="217">
        <f t="shared" si="8"/>
        <v>673.30326290792709</v>
      </c>
    </row>
    <row r="7" spans="1:12">
      <c r="A7" t="s">
        <v>105</v>
      </c>
      <c r="B7" s="196">
        <f>SQRT(3)/2</f>
        <v>0.8660254037844386</v>
      </c>
      <c r="C7" s="26">
        <f t="shared" si="0"/>
        <v>0.8660254037844386</v>
      </c>
      <c r="D7" s="211">
        <f t="shared" si="9"/>
        <v>4572.6141319818362</v>
      </c>
      <c r="E7" s="212">
        <f t="shared" si="1"/>
        <v>17.944271909999159</v>
      </c>
      <c r="F7" s="216">
        <f t="shared" si="2"/>
        <v>94745.755684795557</v>
      </c>
      <c r="G7" s="212">
        <f t="shared" si="3"/>
        <v>5.5728090000841238E-2</v>
      </c>
      <c r="H7" s="216">
        <f t="shared" si="4"/>
        <v>294.24431520444176</v>
      </c>
      <c r="I7" s="214">
        <f t="shared" si="5"/>
        <v>25.377032702031375</v>
      </c>
      <c r="J7" s="217">
        <f t="shared" si="6"/>
        <v>133990.73266672567</v>
      </c>
      <c r="K7" s="214">
        <f t="shared" si="7"/>
        <v>7.8811420684338149E-2</v>
      </c>
      <c r="L7" s="217">
        <f t="shared" si="8"/>
        <v>416.12430121330544</v>
      </c>
    </row>
    <row r="8" spans="1:12">
      <c r="A8" t="s">
        <v>107</v>
      </c>
      <c r="B8" s="196">
        <v>2.6180339887498949</v>
      </c>
      <c r="C8" s="26">
        <f t="shared" si="0"/>
        <v>2.6180339887498949</v>
      </c>
      <c r="D8" s="211">
        <f t="shared" si="9"/>
        <v>13823.219460599445</v>
      </c>
      <c r="E8" s="212">
        <f t="shared" si="1"/>
        <v>29.034441853748636</v>
      </c>
      <c r="F8" s="216">
        <f t="shared" si="2"/>
        <v>153301.85298779281</v>
      </c>
      <c r="G8" s="212">
        <f t="shared" si="3"/>
        <v>3.4441853748633039E-2</v>
      </c>
      <c r="H8" s="216">
        <f t="shared" si="4"/>
        <v>181.85298779278244</v>
      </c>
      <c r="I8" s="214">
        <f t="shared" si="5"/>
        <v>41.060901445504349</v>
      </c>
      <c r="J8" s="217">
        <f t="shared" si="6"/>
        <v>216801.55963226297</v>
      </c>
      <c r="K8" s="214">
        <f t="shared" si="7"/>
        <v>4.8708136684587469E-2</v>
      </c>
      <c r="L8" s="217">
        <f t="shared" si="8"/>
        <v>257.17896169462182</v>
      </c>
    </row>
    <row r="9" spans="1:12" ht="14.1">
      <c r="A9" s="23" t="s">
        <v>108</v>
      </c>
      <c r="B9" s="205">
        <v>2.2882456112707374</v>
      </c>
      <c r="C9" s="26">
        <f t="shared" si="0"/>
        <v>2.2882456112707374</v>
      </c>
      <c r="D9" s="211">
        <f t="shared" si="9"/>
        <v>12081.936827509493</v>
      </c>
      <c r="E9" s="212">
        <f t="shared" si="1"/>
        <v>46.978713763747791</v>
      </c>
      <c r="F9" s="216">
        <f t="shared" si="2"/>
        <v>248047.60867258834</v>
      </c>
      <c r="G9" s="212">
        <f t="shared" si="3"/>
        <v>2.1286236252208195E-2</v>
      </c>
      <c r="H9" s="216">
        <f t="shared" si="4"/>
        <v>112.39132741165928</v>
      </c>
      <c r="I9" s="215"/>
      <c r="J9" s="215"/>
      <c r="K9" s="214">
        <f>SQRT(2)*((SQRT(5)-1)/2)^(ROW()-1)</f>
        <v>3.0103283999750673E-2</v>
      </c>
      <c r="L9" s="217">
        <f t="shared" si="8"/>
        <v>158.94533951868354</v>
      </c>
    </row>
    <row r="10" spans="1:12">
      <c r="A10" t="s">
        <v>109</v>
      </c>
      <c r="B10" s="196">
        <v>1.1441228056353685</v>
      </c>
      <c r="C10" s="26">
        <f t="shared" si="0"/>
        <v>1.1441228056353685</v>
      </c>
      <c r="D10" s="211">
        <f t="shared" si="9"/>
        <v>6040.9684137547456</v>
      </c>
      <c r="E10" s="213"/>
      <c r="F10" s="213"/>
      <c r="G10" s="212">
        <f t="shared" si="3"/>
        <v>1.3155617496424845E-2</v>
      </c>
      <c r="H10" s="216">
        <f t="shared" si="4"/>
        <v>69.461660381123181</v>
      </c>
      <c r="I10" s="215"/>
      <c r="J10" s="215"/>
      <c r="K10" s="214">
        <f t="shared" si="7"/>
        <v>1.86048526848368E-2</v>
      </c>
      <c r="L10" s="217">
        <f t="shared" si="8"/>
        <v>98.233622175938308</v>
      </c>
    </row>
    <row r="11" spans="1:12">
      <c r="A11" t="s">
        <v>110</v>
      </c>
      <c r="B11" s="196">
        <v>2.8025170768881469</v>
      </c>
      <c r="C11" s="26">
        <f t="shared" si="0"/>
        <v>2.8025170768881469</v>
      </c>
      <c r="D11" s="211">
        <f t="shared" si="9"/>
        <v>14797.290165969416</v>
      </c>
      <c r="E11" s="213"/>
      <c r="F11" s="213"/>
      <c r="G11" s="212">
        <f t="shared" si="3"/>
        <v>8.1306187557833535E-3</v>
      </c>
      <c r="H11" s="216">
        <f t="shared" si="4"/>
        <v>42.929667030536109</v>
      </c>
      <c r="I11" s="215"/>
      <c r="J11" s="215"/>
      <c r="K11" s="214">
        <f t="shared" si="7"/>
        <v>1.149843131491388E-2</v>
      </c>
      <c r="L11" s="217">
        <f t="shared" si="8"/>
        <v>60.711717342745281</v>
      </c>
    </row>
    <row r="12" spans="1:12">
      <c r="A12" t="s">
        <v>131</v>
      </c>
      <c r="B12" s="196">
        <f>B11*2</f>
        <v>5.6050341537762938</v>
      </c>
      <c r="C12" s="26">
        <f t="shared" si="0"/>
        <v>5.6050341537762938</v>
      </c>
      <c r="D12" s="211">
        <f t="shared" si="9"/>
        <v>29594.580331938832</v>
      </c>
      <c r="E12" s="213"/>
      <c r="F12" s="213"/>
      <c r="G12" s="212">
        <f t="shared" si="3"/>
        <v>5.0249987406414927E-3</v>
      </c>
      <c r="H12" s="216">
        <f t="shared" si="4"/>
        <v>26.531993350587083</v>
      </c>
      <c r="I12" s="215"/>
      <c r="J12" s="215"/>
      <c r="K12" s="214">
        <f t="shared" si="7"/>
        <v>7.1064213699229221E-3</v>
      </c>
      <c r="L12" s="217">
        <f t="shared" si="8"/>
        <v>37.521904833193027</v>
      </c>
    </row>
    <row r="13" spans="1:12">
      <c r="A13" t="s">
        <v>111</v>
      </c>
      <c r="B13" s="196">
        <v>1.4012585384440734</v>
      </c>
      <c r="C13" s="26">
        <f t="shared" ref="C13:C18" si="10">B13</f>
        <v>1.4012585384440734</v>
      </c>
      <c r="D13" s="211">
        <f t="shared" si="9"/>
        <v>7398.6450829847081</v>
      </c>
      <c r="E13" s="213"/>
      <c r="F13" s="213"/>
      <c r="G13" s="212">
        <f t="shared" si="3"/>
        <v>3.1056200151418603E-3</v>
      </c>
      <c r="H13" s="216">
        <f t="shared" si="4"/>
        <v>16.397673679949023</v>
      </c>
      <c r="I13" s="215"/>
      <c r="J13" s="215"/>
      <c r="K13" s="214">
        <f t="shared" si="7"/>
        <v>4.3920099449909558E-3</v>
      </c>
      <c r="L13" s="217">
        <f t="shared" si="8"/>
        <v>23.189812509552247</v>
      </c>
    </row>
    <row r="14" spans="1:12">
      <c r="A14" t="s">
        <v>112</v>
      </c>
      <c r="B14" s="196">
        <v>0.38196601125010521</v>
      </c>
      <c r="C14" s="26">
        <f t="shared" si="10"/>
        <v>0.38196601125010521</v>
      </c>
      <c r="D14" s="211">
        <f t="shared" si="9"/>
        <v>2016.7805394005554</v>
      </c>
      <c r="E14" s="213"/>
      <c r="F14" s="213"/>
      <c r="G14" s="212">
        <f t="shared" si="3"/>
        <v>1.9193787254996328E-3</v>
      </c>
      <c r="H14" s="216">
        <f t="shared" si="4"/>
        <v>10.134319670638062</v>
      </c>
      <c r="I14" s="215"/>
      <c r="J14" s="215"/>
      <c r="K14" s="214">
        <f t="shared" si="7"/>
        <v>2.7144114249319667E-3</v>
      </c>
      <c r="L14" s="217">
        <f t="shared" si="8"/>
        <v>14.332092323640785</v>
      </c>
    </row>
    <row r="15" spans="1:12" ht="14.1">
      <c r="A15" s="23" t="s">
        <v>113</v>
      </c>
      <c r="B15" s="205">
        <v>0.87403204889764197</v>
      </c>
      <c r="C15" s="26">
        <f t="shared" si="10"/>
        <v>0.87403204889764197</v>
      </c>
      <c r="D15" s="211">
        <f t="shared" si="9"/>
        <v>4614.88921817955</v>
      </c>
      <c r="E15" s="213"/>
      <c r="F15" s="213"/>
      <c r="G15" s="212">
        <f t="shared" si="3"/>
        <v>1.1862412896422277E-3</v>
      </c>
      <c r="H15" s="216">
        <f t="shared" si="4"/>
        <v>6.2633540093109623</v>
      </c>
      <c r="I15" s="215"/>
      <c r="J15" s="215"/>
      <c r="K15" s="214">
        <f t="shared" si="7"/>
        <v>1.6775985200589893E-3</v>
      </c>
      <c r="L15" s="217">
        <f t="shared" si="8"/>
        <v>8.8577201859114645</v>
      </c>
    </row>
    <row r="16" spans="1:12">
      <c r="A16" t="s">
        <v>114</v>
      </c>
      <c r="B16" s="196">
        <v>0.43701602444882109</v>
      </c>
      <c r="C16" s="26">
        <f t="shared" si="10"/>
        <v>0.43701602444882109</v>
      </c>
      <c r="D16" s="211">
        <f t="shared" si="9"/>
        <v>2307.4446090897754</v>
      </c>
      <c r="E16" s="213"/>
      <c r="F16" s="213"/>
      <c r="G16" s="212">
        <f t="shared" si="3"/>
        <v>7.3313743585740531E-4</v>
      </c>
      <c r="H16" s="216">
        <f t="shared" si="4"/>
        <v>3.8709656613271002</v>
      </c>
      <c r="I16" s="215"/>
      <c r="J16" s="215"/>
      <c r="K16" s="214">
        <f t="shared" si="7"/>
        <v>1.0368129048729778E-3</v>
      </c>
      <c r="L16" s="217">
        <f t="shared" si="8"/>
        <v>5.4743721377293229</v>
      </c>
    </row>
    <row r="17" spans="1:6">
      <c r="A17" t="s">
        <v>115</v>
      </c>
      <c r="B17" s="196">
        <v>1.0704662693192699</v>
      </c>
      <c r="C17" s="26">
        <f t="shared" si="10"/>
        <v>1.0704662693192699</v>
      </c>
      <c r="D17" s="211">
        <f t="shared" si="9"/>
        <v>5652.0619020057447</v>
      </c>
    </row>
    <row r="18" spans="1:6">
      <c r="A18" t="s">
        <v>116</v>
      </c>
      <c r="B18" s="196">
        <v>0.53523313465963496</v>
      </c>
      <c r="C18" s="26">
        <f t="shared" si="10"/>
        <v>0.53523313465963496</v>
      </c>
      <c r="D18" s="211">
        <f t="shared" si="9"/>
        <v>2826.0309510028724</v>
      </c>
    </row>
    <row r="19" spans="1:6">
      <c r="C19" s="26"/>
    </row>
    <row r="20" spans="1:6">
      <c r="B20" s="196"/>
      <c r="C20" s="26"/>
    </row>
    <row r="21" spans="1:6">
      <c r="E21" s="210"/>
      <c r="F21" s="210"/>
    </row>
  </sheetData>
  <phoneticPr fontId="4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DEF6-D03B-4393-AAF3-796CB188BBE2}">
  <dimension ref="A1:M50"/>
  <sheetViews>
    <sheetView zoomScaleNormal="100" workbookViewId="0">
      <selection activeCell="C12" sqref="C12"/>
    </sheetView>
  </sheetViews>
  <sheetFormatPr defaultRowHeight="13.8"/>
  <cols>
    <col min="1" max="1" width="8.76171875" style="9"/>
    <col min="14" max="14" width="8.28515625" bestFit="1" customWidth="1"/>
  </cols>
  <sheetData>
    <row r="1" spans="1:13" ht="14.1">
      <c r="A1" s="174" t="s">
        <v>67</v>
      </c>
      <c r="L1" s="22" t="s">
        <v>68</v>
      </c>
      <c r="M1" s="22"/>
    </row>
    <row r="2" spans="1:13" ht="14.1">
      <c r="A2" s="190">
        <v>5</v>
      </c>
      <c r="B2" t="s">
        <v>69</v>
      </c>
      <c r="L2" s="22"/>
      <c r="M2" s="22"/>
    </row>
    <row r="3" spans="1:13" ht="14.1">
      <c r="A3" s="175">
        <v>5.6050000000000004</v>
      </c>
      <c r="B3" s="69" t="s">
        <v>70</v>
      </c>
      <c r="C3" s="176" t="s">
        <v>71</v>
      </c>
      <c r="D3" s="176" t="s">
        <v>72</v>
      </c>
      <c r="E3" s="177" t="s">
        <v>73</v>
      </c>
      <c r="F3" s="27"/>
      <c r="G3" s="27"/>
      <c r="H3" s="27"/>
      <c r="L3" s="178">
        <v>108</v>
      </c>
      <c r="M3" s="69" t="s">
        <v>74</v>
      </c>
    </row>
    <row r="4" spans="1:13" ht="14.1">
      <c r="A4" s="175">
        <v>6</v>
      </c>
      <c r="B4" s="69" t="s">
        <v>75</v>
      </c>
      <c r="C4" s="69"/>
      <c r="D4" s="69"/>
      <c r="L4" s="178">
        <v>72</v>
      </c>
      <c r="M4" s="69" t="s">
        <v>76</v>
      </c>
    </row>
    <row r="5" spans="1:13" ht="14.1">
      <c r="A5" s="175">
        <v>6.5</v>
      </c>
      <c r="B5" s="69" t="s">
        <v>77</v>
      </c>
      <c r="C5" s="69" t="s">
        <v>78</v>
      </c>
      <c r="D5" s="69" t="s">
        <v>79</v>
      </c>
      <c r="E5" s="27"/>
      <c r="F5" s="27"/>
      <c r="G5" s="27"/>
      <c r="H5" s="27"/>
      <c r="L5" s="178">
        <v>60</v>
      </c>
      <c r="M5" s="69" t="s">
        <v>80</v>
      </c>
    </row>
    <row r="6" spans="1:13" s="202" customFormat="1" ht="14.1">
      <c r="A6" s="198">
        <v>7.1</v>
      </c>
      <c r="B6" s="199" t="s">
        <v>81</v>
      </c>
      <c r="C6" s="199" t="s">
        <v>82</v>
      </c>
      <c r="D6" s="199" t="s">
        <v>83</v>
      </c>
      <c r="E6" s="200" t="s">
        <v>84</v>
      </c>
      <c r="F6" s="200" t="s">
        <v>85</v>
      </c>
      <c r="G6" s="200" t="s">
        <v>86</v>
      </c>
      <c r="H6" s="200" t="s">
        <v>87</v>
      </c>
      <c r="I6" s="201" t="s">
        <v>88</v>
      </c>
      <c r="L6" s="203">
        <v>54</v>
      </c>
      <c r="M6" s="204" t="s">
        <v>89</v>
      </c>
    </row>
    <row r="7" spans="1:13" ht="14.1">
      <c r="A7" s="175">
        <v>7.5</v>
      </c>
      <c r="B7" s="69" t="s">
        <v>90</v>
      </c>
      <c r="C7" s="69"/>
      <c r="D7" s="69"/>
      <c r="L7" s="178">
        <v>18</v>
      </c>
      <c r="M7" s="69" t="s">
        <v>91</v>
      </c>
    </row>
    <row r="8" spans="1:13" ht="14.1">
      <c r="A8" s="175">
        <v>8</v>
      </c>
      <c r="B8" s="69" t="s">
        <v>92</v>
      </c>
      <c r="C8" s="69" t="s">
        <v>93</v>
      </c>
      <c r="D8" s="69"/>
    </row>
    <row r="9" spans="1:13" ht="14.1">
      <c r="A9" s="175">
        <v>8.66</v>
      </c>
      <c r="B9" s="69" t="s">
        <v>94</v>
      </c>
      <c r="C9" s="69"/>
      <c r="D9" s="69"/>
    </row>
    <row r="11" spans="1:13">
      <c r="A11" s="9">
        <f>SQRT(2)</f>
        <v>1.4142135623730951</v>
      </c>
      <c r="B11" s="69" t="s">
        <v>97</v>
      </c>
      <c r="C11">
        <v>89</v>
      </c>
    </row>
    <row r="12" spans="1:13" s="179" customFormat="1" ht="14.1"/>
    <row r="13" spans="1:13" ht="14.1">
      <c r="A13" s="197" t="s">
        <v>102</v>
      </c>
      <c r="B13" s="69" t="s">
        <v>103</v>
      </c>
    </row>
    <row r="15" spans="1:13">
      <c r="A15" s="9" t="s">
        <v>120</v>
      </c>
      <c r="B15" t="s">
        <v>130</v>
      </c>
    </row>
    <row r="30" spans="1:6">
      <c r="A30" s="69"/>
      <c r="E30" s="27"/>
      <c r="F30" s="27"/>
    </row>
    <row r="31" spans="1:6" ht="14.1">
      <c r="A31" s="69"/>
      <c r="B31" s="73" t="s">
        <v>24</v>
      </c>
      <c r="C31" s="73" t="s">
        <v>25</v>
      </c>
      <c r="D31" s="73" t="str">
        <f>"/2"</f>
        <v>/2</v>
      </c>
      <c r="E31" s="73" t="s">
        <v>26</v>
      </c>
      <c r="F31" s="73" t="s">
        <v>27</v>
      </c>
    </row>
    <row r="32" spans="1:6" ht="14.1">
      <c r="A32" s="180">
        <v>5.6007290100363498</v>
      </c>
      <c r="B32" s="181">
        <f>'[1]special nums'!C20*5.60072901003635</f>
        <v>9.0621699000163645</v>
      </c>
      <c r="C32" s="181">
        <f>'[1]special nums'!D20*5.60072901003635</f>
        <v>3.4614408899800155</v>
      </c>
      <c r="D32" s="182">
        <f>'[1]special nums'!E20*5.60072901003635</f>
        <v>2.8003645050181749</v>
      </c>
      <c r="E32" s="181">
        <f>'[1]special nums'!F20*5.60072901003635</f>
        <v>4.5310849500081822</v>
      </c>
      <c r="F32" s="182">
        <f>'[1]special nums'!G20*5.60072901003635</f>
        <v>1.7307204449900078</v>
      </c>
    </row>
    <row r="33" spans="1:6" ht="14.1">
      <c r="A33" s="183"/>
      <c r="B33" s="181">
        <f>'[1]special nums'!C22*5.60072901003635</f>
        <v>15.696138693649715</v>
      </c>
      <c r="C33" s="182">
        <f>'[1]special nums'!D22*5.60072901003635</f>
        <v>5.9953914888418192</v>
      </c>
      <c r="D33" s="181">
        <f>'[1]special nums'!E22*5.60072901003635</f>
        <v>4.8503736024039492</v>
      </c>
      <c r="E33" s="181">
        <f>'[1]special nums'!F22*5.60072901003635</f>
        <v>7.8480693468248575</v>
      </c>
      <c r="F33" s="182">
        <f>'[1]special nums'!G22*5.60072901003635</f>
        <v>2.9976957444209096</v>
      </c>
    </row>
    <row r="34" spans="1:6" ht="14.1">
      <c r="A34" s="183"/>
      <c r="B34" s="181">
        <f>'[1]special nums'!C21*5.60072901003635</f>
        <v>12.81584357713238</v>
      </c>
      <c r="C34" s="181">
        <f>'[1]special nums'!D21*5.60072901003635</f>
        <v>4.8952166519625351</v>
      </c>
      <c r="D34" s="181">
        <f>'[1]special nums'!E21*5.60072901003635</f>
        <v>3.9603134625849226</v>
      </c>
      <c r="E34" s="181">
        <f>'[1]special nums'!F21*5.60072901003635</f>
        <v>6.4079217885661901</v>
      </c>
      <c r="F34" s="181">
        <f>'[1]special nums'!G21*5.60072901003635</f>
        <v>2.4476083259812675</v>
      </c>
    </row>
    <row r="35" spans="1:6" ht="14.1">
      <c r="A35" s="183" t="s">
        <v>95</v>
      </c>
      <c r="B35" s="182" t="s">
        <v>96</v>
      </c>
      <c r="C35" s="181"/>
      <c r="D35" s="181"/>
      <c r="E35" s="181"/>
      <c r="F35" s="181"/>
    </row>
    <row r="36" spans="1:6" ht="14.1">
      <c r="A36" s="183">
        <f>SQRT(3)</f>
        <v>1.7320508075688772</v>
      </c>
      <c r="B36" s="184">
        <f>'[1]special nums'!C20*SQRT(3)</f>
        <v>2.8025170768881469</v>
      </c>
      <c r="C36" s="3">
        <f>'[1]special nums'!D20*SQRT(3)</f>
        <v>1.0704662693192699</v>
      </c>
      <c r="D36" s="3">
        <f>'[1]special nums'!E20*SQRT(3)</f>
        <v>0.8660254037844386</v>
      </c>
      <c r="E36" s="3">
        <f>'[1]special nums'!F20*SQRT(3)</f>
        <v>1.4012585384440734</v>
      </c>
      <c r="F36" s="3">
        <f>'[1]special nums'!G20*SQRT(3)</f>
        <v>0.53523313465963496</v>
      </c>
    </row>
    <row r="37" spans="1:6">
      <c r="A37" s="69"/>
      <c r="B37" s="3">
        <f>'[1]special nums'!C22*SQRT(3)</f>
        <v>4.8541019662496838</v>
      </c>
      <c r="C37" s="3">
        <f>'[1]special nums'!D22*SQRT(3)</f>
        <v>1.8541019662496847</v>
      </c>
      <c r="D37" s="3">
        <f>'[1]special nums'!E22*SQRT(3)</f>
        <v>1.4999999999999998</v>
      </c>
      <c r="E37" s="3">
        <f>'[1]special nums'!F22*SQRT(3)</f>
        <v>2.4270509831248419</v>
      </c>
      <c r="F37" s="3">
        <f>'[1]special nums'!G22*SQRT(3)</f>
        <v>0.92705098312484235</v>
      </c>
    </row>
    <row r="38" spans="1:6">
      <c r="A38" s="69"/>
      <c r="B38" s="3">
        <f>'[1]special nums'!C21*SQRT(3)</f>
        <v>3.96335765891742</v>
      </c>
      <c r="C38" s="3">
        <f>'[1]special nums'!D21*SQRT(3)</f>
        <v>1.5138679161342417</v>
      </c>
      <c r="D38" s="3">
        <f>'[1]special nums'!E21*SQRT(3)</f>
        <v>1.2247448713915892</v>
      </c>
      <c r="E38" s="3">
        <f>'[1]special nums'!F21*SQRT(3)</f>
        <v>1.98167882945871</v>
      </c>
      <c r="F38" s="3">
        <f>'[1]special nums'!G21*SQRT(3)</f>
        <v>0.75693395806712083</v>
      </c>
    </row>
    <row r="39" spans="1:6" ht="14.1">
      <c r="A39" s="185" t="str">
        <f>"2*phi*rad3 ="</f>
        <v>2*phi*rad3 =</v>
      </c>
      <c r="E39" s="27"/>
      <c r="F39" s="27"/>
    </row>
    <row r="40" spans="1:6" ht="14.1">
      <c r="A40" s="186">
        <f>B36*2</f>
        <v>5.6050341537762938</v>
      </c>
      <c r="B40" s="31">
        <f>'[1]special nums'!C20*5.605</f>
        <v>9.0690805069431608</v>
      </c>
      <c r="C40" s="31">
        <f>'[1]special nums'!D20*5.605</f>
        <v>3.4640805069431613</v>
      </c>
      <c r="D40" s="187">
        <f>'[1]special nums'!E20*5.605</f>
        <v>2.8025000000000002</v>
      </c>
      <c r="E40" s="31">
        <f>'[1]special nums'!F20*5.605</f>
        <v>4.5345402534715804</v>
      </c>
      <c r="F40" s="187">
        <f>'[1]special nums'!G20*5.605</f>
        <v>1.7320402534715806</v>
      </c>
    </row>
    <row r="41" spans="1:6" ht="14.1">
      <c r="A41" s="188">
        <f>5.605*SQRT(3)</f>
        <v>9.7081447764235573</v>
      </c>
      <c r="B41" s="31">
        <f>'[1]special nums'!C22*5.605</f>
        <v>15.708108215958065</v>
      </c>
      <c r="C41" s="187">
        <f>'[1]special nums'!D22*5.605</f>
        <v>5.9999634395345085</v>
      </c>
      <c r="D41" s="31">
        <f>'[1]special nums'!E22*5.605</f>
        <v>4.8540723882117787</v>
      </c>
      <c r="E41" s="31">
        <f>'[1]special nums'!F22*5.605</f>
        <v>7.8540541079790325</v>
      </c>
      <c r="F41" s="187">
        <f>'[1]special nums'!G22*5.605</f>
        <v>2.9999817197672543</v>
      </c>
    </row>
    <row r="42" spans="1:6">
      <c r="A42" s="188">
        <f>5.605*SQRT(2)</f>
        <v>7.9266670171011988</v>
      </c>
      <c r="B42" s="31">
        <f>'[1]special nums'!C21*5.605</f>
        <v>12.825616651172485</v>
      </c>
      <c r="C42" s="31">
        <f>'[1]special nums'!D21*5.605</f>
        <v>4.8989496340712853</v>
      </c>
      <c r="D42" s="31">
        <f>'[1]special nums'!E21*5.605</f>
        <v>3.9633335085505994</v>
      </c>
      <c r="E42" s="31">
        <f>'[1]special nums'!F21*5.605</f>
        <v>6.4128083255862425</v>
      </c>
      <c r="F42" s="31">
        <f>'[1]special nums'!G21*5.605</f>
        <v>2.4494748170356426</v>
      </c>
    </row>
    <row r="43" spans="1:6">
      <c r="A43" s="69"/>
      <c r="E43" s="27"/>
      <c r="F43" s="27"/>
    </row>
    <row r="44" spans="1:6">
      <c r="A44" s="189">
        <f>2880/5280</f>
        <v>0.54545454545454541</v>
      </c>
      <c r="B44" s="3">
        <f>'[1]special nums'!C20*2880/5280</f>
        <v>0.88256399386357898</v>
      </c>
      <c r="C44" s="3">
        <f>'[1]special nums'!D20*2880/5280</f>
        <v>0.33710944840903356</v>
      </c>
      <c r="D44" s="3">
        <f>'[1]special nums'!E20*2880/5280</f>
        <v>0.27272727272727271</v>
      </c>
      <c r="E44" s="3">
        <f>'[1]special nums'!F20*2880/5280</f>
        <v>0.44128199693178949</v>
      </c>
      <c r="F44" s="3">
        <f>'[1]special nums'!G20*2880/5280</f>
        <v>0.16855472420451678</v>
      </c>
    </row>
    <row r="45" spans="1:6">
      <c r="A45" s="69"/>
      <c r="B45" s="3">
        <f>'[1]special nums'!C22*2880/5280</f>
        <v>1.5286456783026254</v>
      </c>
      <c r="C45" s="3">
        <f>'[1]special nums'!D22*2880/5280</f>
        <v>0.58389069235596536</v>
      </c>
      <c r="D45" s="3">
        <f>'[1]special nums'!E22*2880/5280</f>
        <v>0.4723774929733302</v>
      </c>
      <c r="E45" s="3">
        <f>'[1]special nums'!F22*2880/5280</f>
        <v>0.76432283915131272</v>
      </c>
      <c r="F45" s="3">
        <f>'[1]special nums'!G22*2880/5280</f>
        <v>0.29194534617798268</v>
      </c>
    </row>
    <row r="46" spans="1:6">
      <c r="A46" s="69"/>
      <c r="B46" s="3">
        <f>'[1]special nums'!C21*2880/5280</f>
        <v>1.2481339697840386</v>
      </c>
      <c r="C46" s="3">
        <f>'[1]special nums'!D21*2880/5280</f>
        <v>0.47674475394416849</v>
      </c>
      <c r="D46" s="3">
        <f>'[1]special nums'!E21*2880/5280</f>
        <v>0.38569460791993504</v>
      </c>
      <c r="E46" s="3">
        <f>'[1]special nums'!F21*2880/5280</f>
        <v>0.62406698489201928</v>
      </c>
      <c r="F46" s="3">
        <f>'[1]special nums'!G21*2880/5280</f>
        <v>0.23837237697208424</v>
      </c>
    </row>
    <row r="47" spans="1:6">
      <c r="A47" s="69"/>
      <c r="E47" s="27"/>
      <c r="F47" s="27"/>
    </row>
    <row r="48" spans="1:6">
      <c r="A48" s="189">
        <f>7820/5280</f>
        <v>1.481060606060606</v>
      </c>
      <c r="B48" s="3">
        <f>'[1]special nums'!C20*7820/5280</f>
        <v>2.3964064000045791</v>
      </c>
      <c r="C48" s="3">
        <f>'[1]special nums'!D20*7820/5280</f>
        <v>0.9153457939439732</v>
      </c>
      <c r="D48" s="3">
        <f>'[1]special nums'!E20*7820/5280</f>
        <v>0.74053030303030298</v>
      </c>
      <c r="E48" s="3">
        <f>'[1]special nums'!F20*7820/5280</f>
        <v>1.1982032000022895</v>
      </c>
      <c r="F48" s="3">
        <f>'[1]special nums'!G20*7820/5280</f>
        <v>0.4576728969719866</v>
      </c>
    </row>
    <row r="49" spans="1:6">
      <c r="A49" s="69"/>
      <c r="B49" s="3">
        <f>'[1]special nums'!C22*7820/5280</f>
        <v>4.1506976403911571</v>
      </c>
      <c r="C49" s="3">
        <f>'[1]special nums'!D22*7820/5280</f>
        <v>1.5854254216054338</v>
      </c>
      <c r="D49" s="3">
        <f>'[1]special nums'!E22*7820/5280</f>
        <v>1.2826361093928618</v>
      </c>
      <c r="E49" s="3">
        <f>'[1]special nums'!F22*7820/5280</f>
        <v>2.0753488201955785</v>
      </c>
      <c r="F49" s="3">
        <f>'[1]special nums'!G22*7820/5280</f>
        <v>0.79271271080271688</v>
      </c>
    </row>
    <row r="50" spans="1:6">
      <c r="A50" s="69"/>
      <c r="B50" s="3">
        <f>'[1]special nums'!C21*7820/5280</f>
        <v>3.38903043184416</v>
      </c>
      <c r="C50" s="3">
        <f>'[1]special nums'!D21*7820/5280</f>
        <v>1.2944944360567354</v>
      </c>
      <c r="D50" s="3">
        <f>'[1]special nums'!E21*7820/5280</f>
        <v>1.0472679978937125</v>
      </c>
      <c r="E50" s="3">
        <f>'[1]special nums'!F21*7820/5280</f>
        <v>1.69451521592208</v>
      </c>
      <c r="F50" s="3">
        <f>'[1]special nums'!G21*7820/5280</f>
        <v>0.64724721802836771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51B017-D0B5-4717-8697-00BDD6861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start_points</vt:lpstr>
      <vt:lpstr>trypoints</vt:lpstr>
      <vt:lpstr>pairs</vt:lpstr>
      <vt:lpstr>linepairs</vt:lpstr>
      <vt:lpstr>geo inv</vt:lpstr>
      <vt:lpstr>nums</vt:lpstr>
      <vt:lpstr>angs</vt:lpstr>
      <vt:lpstr>magicnums</vt:lpstr>
      <vt:lpstr>notable</vt:lpstr>
      <vt:lpstr>magicnums</vt:lpstr>
      <vt:lpstr>magicvals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Abelin</dc:creator>
  <cp:lastModifiedBy>David Abelin</cp:lastModifiedBy>
  <dcterms:created xsi:type="dcterms:W3CDTF">2025-04-30T00:59:02Z</dcterms:created>
  <dcterms:modified xsi:type="dcterms:W3CDTF">2025-07-05T23:32:11Z</dcterms:modified>
</cp:coreProperties>
</file>